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<sst xmlns="http://schemas.openxmlformats.org/spreadsheetml/2006/main" count="7218" uniqueCount="4755">
  <si>
    <t>ASX Code</t>
  </si>
  <si>
    <t>Company Name</t>
  </si>
  <si>
    <t>Sector</t>
  </si>
  <si>
    <t>LivePrice</t>
  </si>
  <si>
    <t>PrevClose</t>
  </si>
  <si>
    <t>PE</t>
  </si>
  <si>
    <t>High52</t>
  </si>
  <si>
    <t>Low52</t>
  </si>
  <si>
    <t>MarketCap</t>
  </si>
  <si>
    <t>API_Price</t>
  </si>
  <si>
    <t>API_PrevClose</t>
  </si>
  <si>
    <t>API_High52</t>
  </si>
  <si>
    <t>API_Low52</t>
  </si>
  <si>
    <t>Life360 Inc. CDI 3:1 Foreign Exempt Xngs</t>
  </si>
  <si>
    <t>Software</t>
  </si>
  <si>
    <t>10X</t>
  </si>
  <si>
    <t>Exultant Mining Limited Ordinary</t>
  </si>
  <si>
    <t>Integrated Mining</t>
  </si>
  <si>
    <t>14D</t>
  </si>
  <si>
    <t>1414 Degrees Limited Ordinary</t>
  </si>
  <si>
    <t>Electrical Components &amp; Equipment</t>
  </si>
  <si>
    <t>1AD</t>
  </si>
  <si>
    <t>Adalta Limited Ordinary</t>
  </si>
  <si>
    <t>Biotechnology &amp; Medical Research</t>
  </si>
  <si>
    <t>1AE</t>
  </si>
  <si>
    <t>Aurora Energy Metals Limited Ordinary</t>
  </si>
  <si>
    <t>Uranium</t>
  </si>
  <si>
    <t>1AI</t>
  </si>
  <si>
    <t>Algorae Pharmaceuticals Limited Ordinary</t>
  </si>
  <si>
    <t>1CG</t>
  </si>
  <si>
    <t>One Click Group Limited Ordinary</t>
  </si>
  <si>
    <t>Financial Technology (Fintech)</t>
  </si>
  <si>
    <t>1GOV</t>
  </si>
  <si>
    <t>Vaneck 1-5 Year Australian Government Bond ETF</t>
  </si>
  <si>
    <t>ETF</t>
  </si>
  <si>
    <t>1MC</t>
  </si>
  <si>
    <t>Morella Corporation Limited Ordinary</t>
  </si>
  <si>
    <t>Specialty Mining &amp; Metals</t>
  </si>
  <si>
    <t>1TT</t>
  </si>
  <si>
    <t>Thrive Tribe Technologies Limited Ordinary</t>
  </si>
  <si>
    <t>28BB</t>
  </si>
  <si>
    <t>BetaShares 2028 Fixed Term Corp Bond Active ETF</t>
  </si>
  <si>
    <t>29BB</t>
  </si>
  <si>
    <t>BetaShares 2029 Fixed Term Corp Bond Active ETF</t>
  </si>
  <si>
    <t>29M</t>
  </si>
  <si>
    <t>29METALS Limited Ordinary</t>
  </si>
  <si>
    <t>30BB</t>
  </si>
  <si>
    <t>BetaShares 2030 Fixed Term Corp Bond Active ETF</t>
  </si>
  <si>
    <t>3DA</t>
  </si>
  <si>
    <t>Amaero Ltd Ordinary</t>
  </si>
  <si>
    <t>Industrial Machinery &amp; Equipment</t>
  </si>
  <si>
    <t>3DP</t>
  </si>
  <si>
    <t>Pointerra Limited Ordinary</t>
  </si>
  <si>
    <t>3PL</t>
  </si>
  <si>
    <t>3P Learning Limited. Ordinary</t>
  </si>
  <si>
    <t>4DS</t>
  </si>
  <si>
    <t>4DS Memory Limited Ordinary</t>
  </si>
  <si>
    <t>Computer Hardware</t>
  </si>
  <si>
    <t>4DX</t>
  </si>
  <si>
    <t>4DMEDICAL Limited Ordinary</t>
  </si>
  <si>
    <t>Advanced Medical Equipment &amp; Technology</t>
  </si>
  <si>
    <t>5EA</t>
  </si>
  <si>
    <t>5E Advanced Materials Inc. CDI 10:1</t>
  </si>
  <si>
    <t>5GG</t>
  </si>
  <si>
    <t>Pentanet Limited Ordinary</t>
  </si>
  <si>
    <t>Wireless Telecommunications Services</t>
  </si>
  <si>
    <t>5GN</t>
  </si>
  <si>
    <t>5G Networks Limited Ordinary</t>
  </si>
  <si>
    <t>Online Services</t>
  </si>
  <si>
    <t>5GOV</t>
  </si>
  <si>
    <t>Vaneck 5-10 Year Australian Government Bond ETF</t>
  </si>
  <si>
    <t>6KA</t>
  </si>
  <si>
    <t>6K Additive, Inc. CDI 1:1 US Person Prohibited Excluding QIB</t>
  </si>
  <si>
    <t>Aluminum</t>
  </si>
  <si>
    <t>88E</t>
  </si>
  <si>
    <t>88 Energy Limited Ordinary</t>
  </si>
  <si>
    <t>Oil &amp; Gas Exploration and Production</t>
  </si>
  <si>
    <t>8CO</t>
  </si>
  <si>
    <t>8COMMON Limited Ordinary</t>
  </si>
  <si>
    <t>8IH</t>
  </si>
  <si>
    <t>8I Holdings Ltd CDI 1:1</t>
  </si>
  <si>
    <t>Holding Companies</t>
  </si>
  <si>
    <t>A11</t>
  </si>
  <si>
    <t>Atlantic Lithium Limited Ordinary</t>
  </si>
  <si>
    <t>A1G</t>
  </si>
  <si>
    <t>African Gold Ltd. Ordinary</t>
  </si>
  <si>
    <t>Gold</t>
  </si>
  <si>
    <t>A1M</t>
  </si>
  <si>
    <t>AIC Mines Limited Ordinary</t>
  </si>
  <si>
    <t>A1N</t>
  </si>
  <si>
    <t>ARN Media Limited Ordinary</t>
  </si>
  <si>
    <t>Broadcasting</t>
  </si>
  <si>
    <t>A200</t>
  </si>
  <si>
    <t>BetaShares Australia 200 ETF</t>
  </si>
  <si>
    <t>A2M</t>
  </si>
  <si>
    <t>The A2 Milk Company Limited Ordinary</t>
  </si>
  <si>
    <t>Food Processing</t>
  </si>
  <si>
    <t>A300</t>
  </si>
  <si>
    <t>Global X Australia 300 ETF</t>
  </si>
  <si>
    <t>A3D</t>
  </si>
  <si>
    <t>Aurora Labs Limited Ordinary</t>
  </si>
  <si>
    <t>Electronic Equipment &amp; Parts</t>
  </si>
  <si>
    <t>A4N</t>
  </si>
  <si>
    <t>Alpha HPA Limited Ordinary</t>
  </si>
  <si>
    <t>Commodity Chemicals</t>
  </si>
  <si>
    <t>A8G</t>
  </si>
  <si>
    <t>Australasian Metals Limited Ordinary</t>
  </si>
  <si>
    <t>AA2</t>
  </si>
  <si>
    <t>Ariana Resources PLC CDI 1:10</t>
  </si>
  <si>
    <t>Materials</t>
  </si>
  <si>
    <t>AAA</t>
  </si>
  <si>
    <t>BetaShares Australian High Interest Cash ETF</t>
  </si>
  <si>
    <t>AAC</t>
  </si>
  <si>
    <t>Australian Agricultural Company Limited Ordinary</t>
  </si>
  <si>
    <t>AAI</t>
  </si>
  <si>
    <t>Alcoa Corporation CDI 1:1 Foreign Exempt NYSE</t>
  </si>
  <si>
    <t>Materials (Aluminum)</t>
  </si>
  <si>
    <t>AAJ</t>
  </si>
  <si>
    <t>Aruma Resources Limited Ordinary</t>
  </si>
  <si>
    <t>AAL</t>
  </si>
  <si>
    <t>Alfabs Australia Limited Ordinary</t>
  </si>
  <si>
    <t>Construction &amp; Engineering</t>
  </si>
  <si>
    <t>AAM</t>
  </si>
  <si>
    <t>Aumega Metals Ltd Ordinary</t>
  </si>
  <si>
    <t>AAP</t>
  </si>
  <si>
    <t>Australian Agricultural Projects Limited Ordinary</t>
  </si>
  <si>
    <t>Fishing &amp; Farming</t>
  </si>
  <si>
    <t>AAR</t>
  </si>
  <si>
    <t>Astral Resources NL Ordinary</t>
  </si>
  <si>
    <t>AASF</t>
  </si>
  <si>
    <t>Airlie Australian Share Fund - Active ETF</t>
  </si>
  <si>
    <t>AAU</t>
  </si>
  <si>
    <t>Antilles Gold Limited Ordinary</t>
  </si>
  <si>
    <t>ABB</t>
  </si>
  <si>
    <t>Aussie Broadband Limited Ordinary</t>
  </si>
  <si>
    <t>Integrated Telecommunications Services</t>
  </si>
  <si>
    <t>ABE</t>
  </si>
  <si>
    <t>Australian Bond Exchange Holdings Limited Ordinary</t>
  </si>
  <si>
    <t>Investment Banking &amp; Brokerage Services</t>
  </si>
  <si>
    <t>ABG</t>
  </si>
  <si>
    <t>Abacus Group Ordinary/Units Stapled Securities</t>
  </si>
  <si>
    <t>Real Estate Rental, Devel &amp; Operations</t>
  </si>
  <si>
    <t>ABR</t>
  </si>
  <si>
    <t>Albright Metals Ltd Ordinary</t>
  </si>
  <si>
    <t>ABV</t>
  </si>
  <si>
    <t>Advanced Braking Technology Ltd Ordinary</t>
  </si>
  <si>
    <t>Auto, Truck &amp; Motorcycle Parts</t>
  </si>
  <si>
    <t>ABX</t>
  </si>
  <si>
    <t>ABX Group Limited Ordinary</t>
  </si>
  <si>
    <t>ABY</t>
  </si>
  <si>
    <t>Adore Beauty Group Limited Ordinary</t>
  </si>
  <si>
    <t>Department Stores</t>
  </si>
  <si>
    <t>ACDC</t>
  </si>
  <si>
    <t>Global X Battery Tech &amp; Lithium ETF</t>
  </si>
  <si>
    <t>ACE</t>
  </si>
  <si>
    <t>Acusensus Limited Ordinary</t>
  </si>
  <si>
    <t>Communications &amp; Networking</t>
  </si>
  <si>
    <t>ACF</t>
  </si>
  <si>
    <t>Acrow Limited Ordinary</t>
  </si>
  <si>
    <t>Business Support Services</t>
  </si>
  <si>
    <t>ACL</t>
  </si>
  <si>
    <t>Australian Clinical Labs Limited Ordinary</t>
  </si>
  <si>
    <t>Healthcare Facilities &amp; Services</t>
  </si>
  <si>
    <t>ACM</t>
  </si>
  <si>
    <t>Australian Critical Minerals Limited Ordinary</t>
  </si>
  <si>
    <t>ACP</t>
  </si>
  <si>
    <t>Audalia Resources Limited Ordinary</t>
  </si>
  <si>
    <t>ACQ</t>
  </si>
  <si>
    <t>Acorn Capital Investment Fund Limited Ordinary</t>
  </si>
  <si>
    <t>Investment Management &amp; Fund Operators</t>
  </si>
  <si>
    <t>ACR</t>
  </si>
  <si>
    <t>Acrux Limited Ordinary</t>
  </si>
  <si>
    <t>Pharmaceuticals</t>
  </si>
  <si>
    <t>ACS</t>
  </si>
  <si>
    <t>Accent Resources NL Ordinary</t>
  </si>
  <si>
    <t>ACU</t>
  </si>
  <si>
    <t>Acumentis Group Limited Ordinary</t>
  </si>
  <si>
    <t>Real Estate Services</t>
  </si>
  <si>
    <t>ACW</t>
  </si>
  <si>
    <t>Actinogen Medical Limited Ordinary</t>
  </si>
  <si>
    <t>AD1</t>
  </si>
  <si>
    <t>Adneo Limited Ordinary</t>
  </si>
  <si>
    <t>IT Services &amp; Consulting</t>
  </si>
  <si>
    <t>AD8</t>
  </si>
  <si>
    <t>Audinate Group Limited Ordinary</t>
  </si>
  <si>
    <t>ADC</t>
  </si>
  <si>
    <t>Acdc Metals Ltd Ordinary</t>
  </si>
  <si>
    <t>ADD</t>
  </si>
  <si>
    <t>Adavale Resources Limited Ordinary</t>
  </si>
  <si>
    <t>ADEF</t>
  </si>
  <si>
    <t>Apostle Dundas Global Eqty Fund - Class D Active ETF</t>
  </si>
  <si>
    <t>ADG</t>
  </si>
  <si>
    <t>Adelong Gold Limited Ordinary</t>
  </si>
  <si>
    <t>ADH</t>
  </si>
  <si>
    <t>Adairs Limited Ordinary</t>
  </si>
  <si>
    <t>Home Furnishings Retailers</t>
  </si>
  <si>
    <t>ADN</t>
  </si>
  <si>
    <t>Andromeda Metals Limited Ordinary</t>
  </si>
  <si>
    <t>ADO</t>
  </si>
  <si>
    <t>Anteotech Ltd Ordinary</t>
  </si>
  <si>
    <t>ADR</t>
  </si>
  <si>
    <t>Adherium Limited Ordinary</t>
  </si>
  <si>
    <t>ADS</t>
  </si>
  <si>
    <t>Adslot Ltd. Ordinary</t>
  </si>
  <si>
    <t>ADV</t>
  </si>
  <si>
    <t>Ardiden Ltd Ordinary</t>
  </si>
  <si>
    <t>ADX</t>
  </si>
  <si>
    <t>ADX Energy Ltd Ordinary</t>
  </si>
  <si>
    <t>ADY</t>
  </si>
  <si>
    <t>Admiralty Resources NL Ordinary</t>
  </si>
  <si>
    <t>Steel</t>
  </si>
  <si>
    <t>AEBD</t>
  </si>
  <si>
    <t>BetaShares Ethical Australian Composite Bond ETF</t>
  </si>
  <si>
    <t>AEE</t>
  </si>
  <si>
    <t>Aura Energy Limited Ordinary</t>
  </si>
  <si>
    <t>AEF</t>
  </si>
  <si>
    <t>Australian Ethical Investment Limited Ordinary</t>
  </si>
  <si>
    <t>AEG</t>
  </si>
  <si>
    <t>Aland Equity Group Limited Ordinary Fully Paid</t>
  </si>
  <si>
    <t>AEI</t>
  </si>
  <si>
    <t>Aeris Environmental Ltd Ordinary</t>
  </si>
  <si>
    <t>Environmental Services &amp; Equipment</t>
  </si>
  <si>
    <t>AEL</t>
  </si>
  <si>
    <t>Amplitude Energy Limited Ordinary</t>
  </si>
  <si>
    <t>AEM</t>
  </si>
  <si>
    <t>Advanced Energy Minerals Ltd Ordinary</t>
  </si>
  <si>
    <t>Specialty Chemicals</t>
  </si>
  <si>
    <t>AER</t>
  </si>
  <si>
    <t>Aeeris Ltd Ordinary</t>
  </si>
  <si>
    <t>AESG</t>
  </si>
  <si>
    <t>iShares Global Aggregate Bond ESG (AUD Hedged) ETF</t>
  </si>
  <si>
    <t>AEU</t>
  </si>
  <si>
    <t>Atomic Eagle Ltd Ordinary</t>
  </si>
  <si>
    <t>AEV</t>
  </si>
  <si>
    <t>Avenira Limited Ordinary</t>
  </si>
  <si>
    <t>AFA</t>
  </si>
  <si>
    <t>ASF Group Limited Ordinary</t>
  </si>
  <si>
    <t>AFG</t>
  </si>
  <si>
    <t>Australian Finance Group Ltd Ordinary</t>
  </si>
  <si>
    <t>Consumer Lending</t>
  </si>
  <si>
    <t>AFI</t>
  </si>
  <si>
    <t>Australian Foundation Investment Company Limited Ordinary</t>
  </si>
  <si>
    <t>AFL</t>
  </si>
  <si>
    <t>AF Legal Group Ltd Ordinary</t>
  </si>
  <si>
    <t>Personal Services</t>
  </si>
  <si>
    <t>AFP</t>
  </si>
  <si>
    <t>AFT Pharmaceuticals Limited Ordinary Foreign Exempt NZX</t>
  </si>
  <si>
    <t>AGC</t>
  </si>
  <si>
    <t>Australian Gold and Copper Ltd Ordinary</t>
  </si>
  <si>
    <t>AGD</t>
  </si>
  <si>
    <t>Austral Gold Limited Ordinary</t>
  </si>
  <si>
    <t>AGE</t>
  </si>
  <si>
    <t>Alligator Energy Limited Ordinary</t>
  </si>
  <si>
    <t>AGGG</t>
  </si>
  <si>
    <t>iShares Core Global Aggregate Bond (AUD HDG) ETF</t>
  </si>
  <si>
    <t>AGI</t>
  </si>
  <si>
    <t>Ainsworth Game Technology Limited Ordinary</t>
  </si>
  <si>
    <t>Casinos &amp; Gaming</t>
  </si>
  <si>
    <t>AGL</t>
  </si>
  <si>
    <t>AGL Energy Limited Ordinary</t>
  </si>
  <si>
    <t>Multiline Utilities</t>
  </si>
  <si>
    <t>AGN</t>
  </si>
  <si>
    <t>Argenica Therapeutics Limited Ordinary</t>
  </si>
  <si>
    <t>AGR</t>
  </si>
  <si>
    <t>Aguia Resources Limited Ordinary</t>
  </si>
  <si>
    <t>Agricultural Chemicals</t>
  </si>
  <si>
    <t>AGVT</t>
  </si>
  <si>
    <t>BetaShares Australian Government Bond ETF</t>
  </si>
  <si>
    <t>AGX1</t>
  </si>
  <si>
    <t>Antipodes Global Value Active ETF</t>
  </si>
  <si>
    <t>AGY</t>
  </si>
  <si>
    <t>Argosy Minerals Limited Ordinary</t>
  </si>
  <si>
    <t>AHC</t>
  </si>
  <si>
    <t>Austco Healthcare Limited Ordinary</t>
  </si>
  <si>
    <t>Medical Equipment, Supplies &amp; Dist'n</t>
  </si>
  <si>
    <t>AHE</t>
  </si>
  <si>
    <t>Adheris Health Limited Ordinary</t>
  </si>
  <si>
    <t>AHF</t>
  </si>
  <si>
    <t>Australian Dairy Nutritionals Limited Ordinary</t>
  </si>
  <si>
    <t>AHK</t>
  </si>
  <si>
    <t>ARK Mines Limited Ordinary</t>
  </si>
  <si>
    <t>AHL</t>
  </si>
  <si>
    <t>Adrad Holdings Limited Ordinary</t>
  </si>
  <si>
    <t>AHN</t>
  </si>
  <si>
    <t>Athena Resources Limited Ordinary</t>
  </si>
  <si>
    <t>AHX</t>
  </si>
  <si>
    <t>Apiam Animal Health Limited Ordinary</t>
  </si>
  <si>
    <t>AI1</t>
  </si>
  <si>
    <t>Adisyn Ltd Ordinary</t>
  </si>
  <si>
    <t>AIA</t>
  </si>
  <si>
    <t>Auckland International Airport Limited Ordinary Foreign Exempt NZX</t>
  </si>
  <si>
    <t>Airport Operators &amp; Services</t>
  </si>
  <si>
    <t>AIH</t>
  </si>
  <si>
    <t>Advanced Innergy Holdings Limited Ordinary</t>
  </si>
  <si>
    <t>Energy</t>
  </si>
  <si>
    <t>AII</t>
  </si>
  <si>
    <t>Almonty Industries Inc. CDI 1:1</t>
  </si>
  <si>
    <t>AIM</t>
  </si>
  <si>
    <t>AI-Media Technologies Limited Ordinary</t>
  </si>
  <si>
    <t>AINF</t>
  </si>
  <si>
    <t>Global X AI Infrastructure ETF</t>
  </si>
  <si>
    <t>AIQ</t>
  </si>
  <si>
    <t>Alternative Investment Trust Ordinary Units</t>
  </si>
  <si>
    <t>AIS</t>
  </si>
  <si>
    <t>Aeris Resources Limited Ordinary</t>
  </si>
  <si>
    <t>AIV</t>
  </si>
  <si>
    <t>Activex Limited Ordinary</t>
  </si>
  <si>
    <t>AIZ</t>
  </si>
  <si>
    <t>Air New Zealand Limited Ordinary Foreign Exempt NZX</t>
  </si>
  <si>
    <t>Airlines</t>
  </si>
  <si>
    <t>AJL</t>
  </si>
  <si>
    <t>AJ Lucas Group Limited Ordinary</t>
  </si>
  <si>
    <t>Coal</t>
  </si>
  <si>
    <t>AJX</t>
  </si>
  <si>
    <t>Alexium International Group Limited Ordinary</t>
  </si>
  <si>
    <t>AKA</t>
  </si>
  <si>
    <t>Aureka Limited Ordinary</t>
  </si>
  <si>
    <t>AKG</t>
  </si>
  <si>
    <t>Academies Australasia Group Limited Ordinary</t>
  </si>
  <si>
    <t>School, College &amp; University</t>
  </si>
  <si>
    <t>AKM</t>
  </si>
  <si>
    <t>Aspire Mining Limited Ordinary</t>
  </si>
  <si>
    <t>AKN</t>
  </si>
  <si>
    <t>Auking Mining Limited Ordinary</t>
  </si>
  <si>
    <t>AKO</t>
  </si>
  <si>
    <t>Akora Resources Limited Ordinary</t>
  </si>
  <si>
    <t>AKP</t>
  </si>
  <si>
    <t>Audio Pixels Holdings Limited Ordinary</t>
  </si>
  <si>
    <t>Semiconductors</t>
  </si>
  <si>
    <t>AL3</t>
  </si>
  <si>
    <t>Aml3d Limited Ordinary</t>
  </si>
  <si>
    <t>ALA</t>
  </si>
  <si>
    <t>Arovella Therapeutics Limited Ordinary</t>
  </si>
  <si>
    <t>ALB</t>
  </si>
  <si>
    <t>Albion Resources Limited Ordinary</t>
  </si>
  <si>
    <t>ALC</t>
  </si>
  <si>
    <t>Alcidion Group Limited Ordinary</t>
  </si>
  <si>
    <t>ALD</t>
  </si>
  <si>
    <t>Ampol Limited Ordinary</t>
  </si>
  <si>
    <t>Oil &amp; Gas Refining and Marketing</t>
  </si>
  <si>
    <t>ALFA</t>
  </si>
  <si>
    <t>Vaneck Australian Long Short Complex ETF</t>
  </si>
  <si>
    <t>ALI</t>
  </si>
  <si>
    <t>Argo Global Listed Infrastructure Limited Ordinary</t>
  </si>
  <si>
    <t>ALK</t>
  </si>
  <si>
    <t>Alkane Resources Limited Ordinary</t>
  </si>
  <si>
    <t>ALL</t>
  </si>
  <si>
    <t>Aristocrat Leisure Limited Ordinary</t>
  </si>
  <si>
    <t>ALM</t>
  </si>
  <si>
    <t>Alma Metals Limited CDI 1:1</t>
  </si>
  <si>
    <t>ALPH</t>
  </si>
  <si>
    <t>Schroder Global Equity Alpha Fund - Active ETF</t>
  </si>
  <si>
    <t>ALQ</t>
  </si>
  <si>
    <t>ALS Limited Ordinary</t>
  </si>
  <si>
    <t>ALR</t>
  </si>
  <si>
    <t>Altair Minerals Limited Ordinary</t>
  </si>
  <si>
    <t>ALTB</t>
  </si>
  <si>
    <t>iShares 15+ Year Australian Government Bond ETF</t>
  </si>
  <si>
    <t>ALV</t>
  </si>
  <si>
    <t>Alvo Minerals Limited Ordinary</t>
  </si>
  <si>
    <t>ALX</t>
  </si>
  <si>
    <t>Atlas Arteria FPO Stap US Prohibited Excluding QIB/QP</t>
  </si>
  <si>
    <t>Highways &amp; Rail Tracks</t>
  </si>
  <si>
    <t>ALY</t>
  </si>
  <si>
    <t>Alchemy Resources Limited Ordinary</t>
  </si>
  <si>
    <t>AM5</t>
  </si>
  <si>
    <t>Antares Metals Limited Ordinary</t>
  </si>
  <si>
    <t>AM7</t>
  </si>
  <si>
    <t>Arcadia Minerals Limited CDI 1:1</t>
  </si>
  <si>
    <t>AMA</t>
  </si>
  <si>
    <t>AMA Group Limited Ordinary</t>
  </si>
  <si>
    <t>AMC</t>
  </si>
  <si>
    <t>Amcor PLC CDI 1:1 Foreign Exempt NYSE</t>
  </si>
  <si>
    <t>Non-Paper Containers &amp; Packaging</t>
  </si>
  <si>
    <t>AMD</t>
  </si>
  <si>
    <t>Arrow Minerals Ltd Ordinary</t>
  </si>
  <si>
    <t>AMH</t>
  </si>
  <si>
    <t>Amcil Limited Ordinary</t>
  </si>
  <si>
    <t>AMI</t>
  </si>
  <si>
    <t>Aurelia Metals Limited Ordinary</t>
  </si>
  <si>
    <t>AMN</t>
  </si>
  <si>
    <t>Agrimin Limited Ordinary</t>
  </si>
  <si>
    <t>AMO</t>
  </si>
  <si>
    <t>Ambertech Limited Ordinary</t>
  </si>
  <si>
    <t>Household Electronics</t>
  </si>
  <si>
    <t>AMP</t>
  </si>
  <si>
    <t>AMP Limited Ordinary</t>
  </si>
  <si>
    <t>Diversified Investment Services</t>
  </si>
  <si>
    <t>AMS</t>
  </si>
  <si>
    <t>Atomos Limited Ordinary</t>
  </si>
  <si>
    <t>AMU</t>
  </si>
  <si>
    <t>American Uranium Ltd Ordinary</t>
  </si>
  <si>
    <t>AMX</t>
  </si>
  <si>
    <t>Aerometrex Limited Ordinary</t>
  </si>
  <si>
    <t>Mining Support Services &amp; Equipment</t>
  </si>
  <si>
    <t>AN1</t>
  </si>
  <si>
    <t>Anagenics Limited Ordinary</t>
  </si>
  <si>
    <t>Other Specialty Retailers</t>
  </si>
  <si>
    <t>ANG</t>
  </si>
  <si>
    <t>Austin Engineering Limited Ordinary</t>
  </si>
  <si>
    <t>Heavy Machinery &amp; Vehicles</t>
  </si>
  <si>
    <t>ANN</t>
  </si>
  <si>
    <t>Ansell Limited Ordinary</t>
  </si>
  <si>
    <t>ANO</t>
  </si>
  <si>
    <t>Advance Zinctek Limited Ordinary</t>
  </si>
  <si>
    <t>ANR</t>
  </si>
  <si>
    <t>Anatara Lifesciences Ltd Ordinary</t>
  </si>
  <si>
    <t>ANX</t>
  </si>
  <si>
    <t>Anax Metals Limited Ordinary</t>
  </si>
  <si>
    <t>ANZ</t>
  </si>
  <si>
    <t>ANZ Group Holdings Limited Ordinary</t>
  </si>
  <si>
    <t>Banks</t>
  </si>
  <si>
    <t>AOA</t>
  </si>
  <si>
    <t>Ausmon Resources Limited Ordinary</t>
  </si>
  <si>
    <t>AOF</t>
  </si>
  <si>
    <t>Australian Unity Office Fund Ordinary Units</t>
  </si>
  <si>
    <t>Commercial REITs</t>
  </si>
  <si>
    <t>AOH</t>
  </si>
  <si>
    <t>Assetora Limited Ordinary</t>
  </si>
  <si>
    <t>AOK</t>
  </si>
  <si>
    <t>Australian Oil Company Limited Ordinary</t>
  </si>
  <si>
    <t>AON</t>
  </si>
  <si>
    <t>Apollo Minerals Limited Ordinary</t>
  </si>
  <si>
    <t>AOV</t>
  </si>
  <si>
    <t>Amotiv Limited Ordinary</t>
  </si>
  <si>
    <t>APA</t>
  </si>
  <si>
    <t>APA Group Units Stapled Securities</t>
  </si>
  <si>
    <t>Natural Gas Utilities</t>
  </si>
  <si>
    <t>APC</t>
  </si>
  <si>
    <t>APC Minerals Limited Ordinary</t>
  </si>
  <si>
    <t>APE</t>
  </si>
  <si>
    <t>Eagers Automotive Limited Ordinary</t>
  </si>
  <si>
    <t>Auto Vehicles, Parts &amp; Svc Retailers</t>
  </si>
  <si>
    <t>APL</t>
  </si>
  <si>
    <t>Associate Global Partners Limited Ordinary</t>
  </si>
  <si>
    <t>APW</t>
  </si>
  <si>
    <t>Aims Property Securities Fund Ordinary Units</t>
  </si>
  <si>
    <t>APX</t>
  </si>
  <si>
    <t>Appen Limited Ordinary</t>
  </si>
  <si>
    <t>APZ</t>
  </si>
  <si>
    <t>Aspen Group Ordinary/Units Stapled Securities</t>
  </si>
  <si>
    <t>AQC</t>
  </si>
  <si>
    <t>Australian Pacific Coal Limited Ordinary</t>
  </si>
  <si>
    <t>AQD</t>
  </si>
  <si>
    <t>Ausquest Limited Ordinary</t>
  </si>
  <si>
    <t>AQI</t>
  </si>
  <si>
    <t>Alicanto Minerals Limited Ordinary</t>
  </si>
  <si>
    <t>Precious Metals &amp; Minerals</t>
  </si>
  <si>
    <t>AQLT</t>
  </si>
  <si>
    <t>BetaShares Australian Quality ETF</t>
  </si>
  <si>
    <t>AQN</t>
  </si>
  <si>
    <t>Aquirian Limited Ordinary</t>
  </si>
  <si>
    <t>AQX</t>
  </si>
  <si>
    <t>Alice Queen Limited Ordinary</t>
  </si>
  <si>
    <t>AQZ</t>
  </si>
  <si>
    <t>Alliance Aviation Services Limited Ordinary</t>
  </si>
  <si>
    <t>AR1</t>
  </si>
  <si>
    <t>Austral Resources Australia Ltd Ordinary</t>
  </si>
  <si>
    <t>AR3</t>
  </si>
  <si>
    <t>Australian Rare Earths Limited Ordinary</t>
  </si>
  <si>
    <t>AR9</t>
  </si>
  <si>
    <t>Archtis Limited Ordinary</t>
  </si>
  <si>
    <t>ARA</t>
  </si>
  <si>
    <t>Ariadne Australia Limited Ordinary</t>
  </si>
  <si>
    <t>ARB</t>
  </si>
  <si>
    <t>ARB Corporation Limited Ordinary</t>
  </si>
  <si>
    <t>ARC</t>
  </si>
  <si>
    <t>ARC Funds Limited Ordinary</t>
  </si>
  <si>
    <t>ARD</t>
  </si>
  <si>
    <t>Argent Minerals Limited Ordinary</t>
  </si>
  <si>
    <t>ARF</t>
  </si>
  <si>
    <t>Arena Reit. Ordinary/Units Stapled Securities</t>
  </si>
  <si>
    <t>Specialized REITs</t>
  </si>
  <si>
    <t>ARG</t>
  </si>
  <si>
    <t>Argo Investments Limited Ordinary</t>
  </si>
  <si>
    <t>ARI</t>
  </si>
  <si>
    <t>Arika Resources Limited Ordinary</t>
  </si>
  <si>
    <t>ARL</t>
  </si>
  <si>
    <t>Ardea Resources Limited Ordinary</t>
  </si>
  <si>
    <t>ARMR</t>
  </si>
  <si>
    <t>BetaShares Global Defence ETF</t>
  </si>
  <si>
    <t>ARN</t>
  </si>
  <si>
    <t>Aldoro Resources Limited Ordinary</t>
  </si>
  <si>
    <t>ARR</t>
  </si>
  <si>
    <t>American Rare Earths Limited Ordinary</t>
  </si>
  <si>
    <t>ART</t>
  </si>
  <si>
    <t>Airtasker Limited Ordinary</t>
  </si>
  <si>
    <t>ARU</t>
  </si>
  <si>
    <t>Arafura Rare Earths Ltd Ordinary</t>
  </si>
  <si>
    <t>ARV</t>
  </si>
  <si>
    <t>Artemis Resources Limited Ordinary</t>
  </si>
  <si>
    <t>ARX</t>
  </si>
  <si>
    <t>Aroa Biosurgery Limited Ordinary</t>
  </si>
  <si>
    <t>AS1</t>
  </si>
  <si>
    <t>Asara Resources Limited Ordinary</t>
  </si>
  <si>
    <t>AS2</t>
  </si>
  <si>
    <t>Askari Metals Limited Ordinary</t>
  </si>
  <si>
    <t>ASAO</t>
  </si>
  <si>
    <t>Abrdn Sust Asian Opportunities Active ETF</t>
  </si>
  <si>
    <t>ASB</t>
  </si>
  <si>
    <t>Austal Limited Ordinary</t>
  </si>
  <si>
    <t>Aerospace &amp; Defense</t>
  </si>
  <si>
    <t>ASG</t>
  </si>
  <si>
    <t>Autosports Group Limited Ordinary</t>
  </si>
  <si>
    <t>ASH</t>
  </si>
  <si>
    <t>Ashley Services Group Limited Ordinary</t>
  </si>
  <si>
    <t>Employment Services</t>
  </si>
  <si>
    <t>ASIA</t>
  </si>
  <si>
    <t>BetaShares Asia Technology Tigers ETF</t>
  </si>
  <si>
    <t>ASK</t>
  </si>
  <si>
    <t>Abacus Storage King Ordinary/Units Stapled Securities</t>
  </si>
  <si>
    <t>ASL</t>
  </si>
  <si>
    <t>Andean Silver Limited Ordinary</t>
  </si>
  <si>
    <t>ASM</t>
  </si>
  <si>
    <t>Australian Strategic Materials Limited Ordinary</t>
  </si>
  <si>
    <t>ASN</t>
  </si>
  <si>
    <t>Anson Resources Limited Ordinary</t>
  </si>
  <si>
    <t>ASP</t>
  </si>
  <si>
    <t>Aspermont Limited Ordinary</t>
  </si>
  <si>
    <t>Consumer Publishing</t>
  </si>
  <si>
    <t>ASQ</t>
  </si>
  <si>
    <t>Australian Silica Quartz Group Ltd Ordinary</t>
  </si>
  <si>
    <t>ASV</t>
  </si>
  <si>
    <t>Asset Vision Co Ltd Ordinary</t>
  </si>
  <si>
    <t>ASX</t>
  </si>
  <si>
    <t>ASX Limited Ordinary</t>
  </si>
  <si>
    <t>Financial, Commodity Market Ops &amp; Svc</t>
  </si>
  <si>
    <t>AT1</t>
  </si>
  <si>
    <t>Atomo Diagnostics Limited Ordinary</t>
  </si>
  <si>
    <t>AT4</t>
  </si>
  <si>
    <t>American Tungsten &amp; Antimony Ltd Ordinary</t>
  </si>
  <si>
    <t>ATA</t>
  </si>
  <si>
    <t>Atturra Limited Ordinary</t>
  </si>
  <si>
    <t>ATC</t>
  </si>
  <si>
    <t>Altech Batteries Ltd Ordinary</t>
  </si>
  <si>
    <t>ATEC</t>
  </si>
  <si>
    <t>BetaShares S&amp;P/ASX Australian Technology ETF</t>
  </si>
  <si>
    <t>ATG</t>
  </si>
  <si>
    <t>Articore Group Limited Ordinary</t>
  </si>
  <si>
    <t>ATH</t>
  </si>
  <si>
    <t>Alterity Therapeutics Limited Ordinary</t>
  </si>
  <si>
    <t>ATM</t>
  </si>
  <si>
    <t>Aneka Tambang (Persero) TBK (PT) CDI 1:5</t>
  </si>
  <si>
    <t>7.71387E+13</t>
  </si>
  <si>
    <t>ATOM</t>
  </si>
  <si>
    <t>Global X Uranium ETF</t>
  </si>
  <si>
    <t>ATP</t>
  </si>
  <si>
    <t>Atlas Pearls Ltd Ordinary</t>
  </si>
  <si>
    <t>Apparel &amp; Accessories</t>
  </si>
  <si>
    <t>ATR</t>
  </si>
  <si>
    <t>Astron Limited Ordinary</t>
  </si>
  <si>
    <t>ATS</t>
  </si>
  <si>
    <t>Australis Oil &amp; Gas Limited Ordinary</t>
  </si>
  <si>
    <t>ATT</t>
  </si>
  <si>
    <t>Altitude Minerals Ltd Ordinary</t>
  </si>
  <si>
    <t>ATV</t>
  </si>
  <si>
    <t>Activeport Group Ltd Ordinary</t>
  </si>
  <si>
    <t>ATX</t>
  </si>
  <si>
    <t>Amplia Therapeutics Limited Ordinary</t>
  </si>
  <si>
    <t>AU1</t>
  </si>
  <si>
    <t>The Agency Group Australia Ltd Ordinary</t>
  </si>
  <si>
    <t>AUA</t>
  </si>
  <si>
    <t>Audeara Limited Ordinary</t>
  </si>
  <si>
    <t>AUB</t>
  </si>
  <si>
    <t>AUB Group Limited Ordinary</t>
  </si>
  <si>
    <t>Multiline Insurance &amp; Brokers</t>
  </si>
  <si>
    <t>AUC</t>
  </si>
  <si>
    <t>Ausgold Limited Ordinary</t>
  </si>
  <si>
    <t>AUDS</t>
  </si>
  <si>
    <t>BetaShares Strong Australian Dollar Complex ETF</t>
  </si>
  <si>
    <t>AUE</t>
  </si>
  <si>
    <t>Aurum Resources Limited Ordinary</t>
  </si>
  <si>
    <t>AUG</t>
  </si>
  <si>
    <t>Augustus Minerals Limited Ordinary</t>
  </si>
  <si>
    <t>AUI</t>
  </si>
  <si>
    <t>Australian United Investment Company Limited Ordinary</t>
  </si>
  <si>
    <t>AUK</t>
  </si>
  <si>
    <t>Aumake Limited Ordinary</t>
  </si>
  <si>
    <t>Food Retail &amp; Distribution</t>
  </si>
  <si>
    <t>AUMF</t>
  </si>
  <si>
    <t>iShares Edge MSCI Australia Multifactor ETF</t>
  </si>
  <si>
    <t>AUQ</t>
  </si>
  <si>
    <t>Alara Resources Limited Ordinary</t>
  </si>
  <si>
    <t>AUR</t>
  </si>
  <si>
    <t>Auris Minerals Limited Ordinary</t>
  </si>
  <si>
    <t>AUST</t>
  </si>
  <si>
    <t>BetaShares Managed Risk Australian Shares Complex ETF</t>
  </si>
  <si>
    <t>AUV</t>
  </si>
  <si>
    <t>Auravelle Metals Limited Ordinary</t>
  </si>
  <si>
    <t>AUZ</t>
  </si>
  <si>
    <t>Australian Mines Limited Ordinary</t>
  </si>
  <si>
    <t>AV1</t>
  </si>
  <si>
    <t>Adveritas Limited Ordinary</t>
  </si>
  <si>
    <t>AVA</t>
  </si>
  <si>
    <t>AVA Risk Group Limited Ordinary</t>
  </si>
  <si>
    <t>AVD</t>
  </si>
  <si>
    <t>Avada Group Limited Ordinary</t>
  </si>
  <si>
    <t>AVE</t>
  </si>
  <si>
    <t>Avecho Biotechnology Limited Ordinary</t>
  </si>
  <si>
    <t>AVG</t>
  </si>
  <si>
    <t>Australian Vintage Ltd Ordinary</t>
  </si>
  <si>
    <t>Distillers &amp; Wineries</t>
  </si>
  <si>
    <t>AVH</t>
  </si>
  <si>
    <t>Avita Medical Inc. CDI 5:1</t>
  </si>
  <si>
    <t>AVL</t>
  </si>
  <si>
    <t>Australian Vanadium Limited Ordinary</t>
  </si>
  <si>
    <t>AVM</t>
  </si>
  <si>
    <t>Advance Metals Limited Ordinary</t>
  </si>
  <si>
    <t>AVR</t>
  </si>
  <si>
    <t>Anteris Technologies Global Corp. CDI 1:1 US Prohibited</t>
  </si>
  <si>
    <t>AVW</t>
  </si>
  <si>
    <t>Avira Resources Ltd Ordinary</t>
  </si>
  <si>
    <t>AW1</t>
  </si>
  <si>
    <t>American West Metals Limited Ordinary</t>
  </si>
  <si>
    <t>AWJ</t>
  </si>
  <si>
    <t>Auric Mining Limited Ordinary</t>
  </si>
  <si>
    <t>AX1</t>
  </si>
  <si>
    <t>Accent Group Limited Ordinary</t>
  </si>
  <si>
    <t>Apparel &amp; Accessories Retailers</t>
  </si>
  <si>
    <t>AX8</t>
  </si>
  <si>
    <t>Accelerate Resources Limited Ordinary</t>
  </si>
  <si>
    <t>AXE</t>
  </si>
  <si>
    <t>Archer Materials Limited Ordinary</t>
  </si>
  <si>
    <t>AXI</t>
  </si>
  <si>
    <t>Axtec Limited Ordinary</t>
  </si>
  <si>
    <t>AXL</t>
  </si>
  <si>
    <t>Axel REE Limited Ordinary</t>
  </si>
  <si>
    <t>AXN</t>
  </si>
  <si>
    <t>Alliance Nickel Limited Ordinary</t>
  </si>
  <si>
    <t>AXP</t>
  </si>
  <si>
    <t>AXP Energy Limited Ordinary</t>
  </si>
  <si>
    <t>AYA</t>
  </si>
  <si>
    <t>Artrya Limited Ordinary</t>
  </si>
  <si>
    <t>AYLD</t>
  </si>
  <si>
    <t>Global X S&amp;P/ASX 200 Covered Call Complex ETF</t>
  </si>
  <si>
    <t>AYM</t>
  </si>
  <si>
    <t>Australia United Mining Limited Ordinary</t>
  </si>
  <si>
    <t>AYT</t>
  </si>
  <si>
    <t>Austin Metals Limited Ordinary</t>
  </si>
  <si>
    <t>AZ9</t>
  </si>
  <si>
    <t>Asian Battery Metals PLC CDI 1:1</t>
  </si>
  <si>
    <t>AZI</t>
  </si>
  <si>
    <t>Altamin Limited Ordinary</t>
  </si>
  <si>
    <t>AZJ</t>
  </si>
  <si>
    <t>Aurizon Holdings Limited Ordinary</t>
  </si>
  <si>
    <t>Ground Freight &amp; Logistics</t>
  </si>
  <si>
    <t>AZY</t>
  </si>
  <si>
    <t>Antipa Minerals Limited Ordinary</t>
  </si>
  <si>
    <t>B4P</t>
  </si>
  <si>
    <t>Beforepay Group Limited Ordinary</t>
  </si>
  <si>
    <t>BANK</t>
  </si>
  <si>
    <t>Global X Australian Bank Credit ETF</t>
  </si>
  <si>
    <t>BAOR</t>
  </si>
  <si>
    <t>Aoris INT Fund (Class B) (Unhedged) Active ETF</t>
  </si>
  <si>
    <t>BAP</t>
  </si>
  <si>
    <t>Bapcor Limited Ordinary</t>
  </si>
  <si>
    <t>BAS</t>
  </si>
  <si>
    <t>Bass Oil Limited Ordinary</t>
  </si>
  <si>
    <t>BB1</t>
  </si>
  <si>
    <t>Blinklab Limited Ordinary</t>
  </si>
  <si>
    <t>BBAB</t>
  </si>
  <si>
    <t>BetaShares Geared Short AUS GOV Bond Complex ETF</t>
  </si>
  <si>
    <t>BBC</t>
  </si>
  <si>
    <t>Bank Banking Corporation Limited Ordinary</t>
  </si>
  <si>
    <t>BBFD</t>
  </si>
  <si>
    <t>BetaShares Geared Short US TR Bond CH Complex ETF</t>
  </si>
  <si>
    <t>BBL</t>
  </si>
  <si>
    <t>Brisbane Broncos Limited Ordinary</t>
  </si>
  <si>
    <t>Leisure &amp; Recreation</t>
  </si>
  <si>
    <t>BBN</t>
  </si>
  <si>
    <t>Baby Bunting Group Limited Ordinary</t>
  </si>
  <si>
    <t>BBOZ</t>
  </si>
  <si>
    <t>BetaShares Australian Equities Strong Bear Complex ETF</t>
  </si>
  <si>
    <t>BBT</t>
  </si>
  <si>
    <t>Betr Entertainment Limited Ordinary</t>
  </si>
  <si>
    <t>BBUS</t>
  </si>
  <si>
    <t>BetaShares US EQY Strong Bear CCY H Complex ETF</t>
  </si>
  <si>
    <t>BC8</t>
  </si>
  <si>
    <t>Black Cat Syndicate Limited Ordinary</t>
  </si>
  <si>
    <t>BCA</t>
  </si>
  <si>
    <t>Black Canyon Limited Ordinary</t>
  </si>
  <si>
    <t>BCB</t>
  </si>
  <si>
    <t>Bowen Coking Coal Limited Ordinary</t>
  </si>
  <si>
    <t>BCC</t>
  </si>
  <si>
    <t>Beam Communications Holdings Limited Ordinary</t>
  </si>
  <si>
    <t>BCI</t>
  </si>
  <si>
    <t>BCI Minerals Limited Ordinary</t>
  </si>
  <si>
    <t>BCK</t>
  </si>
  <si>
    <t>Brockman Mining Limited Ordinary</t>
  </si>
  <si>
    <t>BCM</t>
  </si>
  <si>
    <t>Brazilian Critical Minerals Limited Ordinary</t>
  </si>
  <si>
    <t>BCN</t>
  </si>
  <si>
    <t>Beacon Minerals Limited Ordinary</t>
  </si>
  <si>
    <t>BCOM</t>
  </si>
  <si>
    <t>Global X Bloomberg Commodity Complex ETF</t>
  </si>
  <si>
    <t>BDM</t>
  </si>
  <si>
    <t>Burgundy Diamond Mines Limited Ordinary</t>
  </si>
  <si>
    <t>BDX</t>
  </si>
  <si>
    <t>Bcal Diagnostics Limited Ordinary</t>
  </si>
  <si>
    <t>BEAR</t>
  </si>
  <si>
    <t>BetaShares Australian Equities Bear Complex ETF</t>
  </si>
  <si>
    <t>BEL</t>
  </si>
  <si>
    <t>Bentley Capital Limited Ordinary</t>
  </si>
  <si>
    <t>BEMG</t>
  </si>
  <si>
    <t>BetaShares MSCI Emerging Markets Complex ETF</t>
  </si>
  <si>
    <t>BEN</t>
  </si>
  <si>
    <t>Bendigo and Adelaide Bank Limited Ordinary</t>
  </si>
  <si>
    <t>BEO</t>
  </si>
  <si>
    <t>Beonic Ltd Ordinary</t>
  </si>
  <si>
    <t>BEST</t>
  </si>
  <si>
    <t>ETFS US Quality ETF</t>
  </si>
  <si>
    <t>BET</t>
  </si>
  <si>
    <t>Betmakers Technology Group Ltd Ordinary</t>
  </si>
  <si>
    <t>BEZ</t>
  </si>
  <si>
    <t>Besra Gold Inc. CDI 1:1</t>
  </si>
  <si>
    <t>BFG</t>
  </si>
  <si>
    <t>Bell Financial Group Limited Ordinary</t>
  </si>
  <si>
    <t>BFL</t>
  </si>
  <si>
    <t>BSP Financial Group Limited Ordinary</t>
  </si>
  <si>
    <t>BGA</t>
  </si>
  <si>
    <t>Bega Cheese Limited Ordinary</t>
  </si>
  <si>
    <t>BGBL</t>
  </si>
  <si>
    <t>BetaShares Global Shares ETF</t>
  </si>
  <si>
    <t>BGD</t>
  </si>
  <si>
    <t>Barton Gold Holdings Limited Ordinary</t>
  </si>
  <si>
    <t>BGE</t>
  </si>
  <si>
    <t>Bridge Saas Limited Ordinary</t>
  </si>
  <si>
    <t>BGL</t>
  </si>
  <si>
    <t>Bellevue Gold Limited Ordinary</t>
  </si>
  <si>
    <t>BGP</t>
  </si>
  <si>
    <t>Briscoe Group Australasia Limited Ordinary Foreign Exempt NZX</t>
  </si>
  <si>
    <t>BGT</t>
  </si>
  <si>
    <t>Bio-Gene Technology Ltd Ordinary</t>
  </si>
  <si>
    <t>BHD</t>
  </si>
  <si>
    <t>Benjamin Hornigold Limited Ordinary</t>
  </si>
  <si>
    <t>BHL</t>
  </si>
  <si>
    <t>Black Horse Mining Limited Ordinary</t>
  </si>
  <si>
    <t>BHM</t>
  </si>
  <si>
    <t>Broken Hill Mines Limited Ordinary</t>
  </si>
  <si>
    <t>BHP</t>
  </si>
  <si>
    <t>BHP Group Limited Ordinary</t>
  </si>
  <si>
    <t>1.15666E+11</t>
  </si>
  <si>
    <t>BHYB</t>
  </si>
  <si>
    <t>BetaShares Australian Major Bank Hybrids Index ETF</t>
  </si>
  <si>
    <t>BILL</t>
  </si>
  <si>
    <t>iShares Core Cash ETF</t>
  </si>
  <si>
    <t>BIM</t>
  </si>
  <si>
    <t>Bindi Metals Limited Ordinary</t>
  </si>
  <si>
    <t>BIO</t>
  </si>
  <si>
    <t>Biome Australia Limited Ordinary</t>
  </si>
  <si>
    <t>BIS</t>
  </si>
  <si>
    <t>Bisalloy Steel Group Limited Ordinary</t>
  </si>
  <si>
    <t>BIT</t>
  </si>
  <si>
    <t>Biotron Limited Ordinary</t>
  </si>
  <si>
    <t>BKB</t>
  </si>
  <si>
    <t>Black Bear Minerals Limited Ordinary</t>
  </si>
  <si>
    <t>BKI</t>
  </si>
  <si>
    <t>BKI Investment Company Limited Ordinary</t>
  </si>
  <si>
    <t>BKT</t>
  </si>
  <si>
    <t>Black Rock Mining Limited Ordinary</t>
  </si>
  <si>
    <t>BKY</t>
  </si>
  <si>
    <t>Berkeley Energia Limited Ordinary</t>
  </si>
  <si>
    <t>BLG</t>
  </si>
  <si>
    <t>Bluglass Limited Ordinary</t>
  </si>
  <si>
    <t>BLU</t>
  </si>
  <si>
    <t>Blue Energy Limited Ordinary</t>
  </si>
  <si>
    <t>BLX</t>
  </si>
  <si>
    <t>Beacon Lighting Group Limited Ordinary</t>
  </si>
  <si>
    <t>Home Improvement Prod&amp;Svcs Retailers</t>
  </si>
  <si>
    <t>BLZ</t>
  </si>
  <si>
    <t>Blaze Minerals Limited Ordinary</t>
  </si>
  <si>
    <t>BM1</t>
  </si>
  <si>
    <t>Ballard Mining Limited Ordinary</t>
  </si>
  <si>
    <t>BM8</t>
  </si>
  <si>
    <t>Battery AGE Minerals Ltd Ordinary</t>
  </si>
  <si>
    <t>BMC</t>
  </si>
  <si>
    <t>BMC Minerals Ltd. CDI 1:1</t>
  </si>
  <si>
    <t>Materials (Base Metals)</t>
  </si>
  <si>
    <t>BMG</t>
  </si>
  <si>
    <t>BMG Resources Limited Ordinary</t>
  </si>
  <si>
    <t>BMH</t>
  </si>
  <si>
    <t>Baumart Holdings Limited Ordinary</t>
  </si>
  <si>
    <t>Courier, Postal, Air Freight&amp;Land Log</t>
  </si>
  <si>
    <t>BML</t>
  </si>
  <si>
    <t>Boab Metals Limited Ordinary</t>
  </si>
  <si>
    <t>BMM</t>
  </si>
  <si>
    <t>Bayan Mining and Minerals Limited Ordinary</t>
  </si>
  <si>
    <t>BMN</t>
  </si>
  <si>
    <t>Bannerman Energy Ltd Ordinary</t>
  </si>
  <si>
    <t>BMO</t>
  </si>
  <si>
    <t>Bastion Minerals Limited Ordinary</t>
  </si>
  <si>
    <t>BMR</t>
  </si>
  <si>
    <t>Ballymore Resources Limited Ordinary</t>
  </si>
  <si>
    <t>BMT</t>
  </si>
  <si>
    <t>Beamtree Holdings Limited Ordinary</t>
  </si>
  <si>
    <t>BNDS</t>
  </si>
  <si>
    <t>BetaShares Western Asset AUS Bond Active ETF</t>
  </si>
  <si>
    <t>BNKS</t>
  </si>
  <si>
    <t>BetaShares Global Banks Currency Hedged ETF</t>
  </si>
  <si>
    <t>BNL</t>
  </si>
  <si>
    <t>Blue Star Helium Limited Ordinary</t>
  </si>
  <si>
    <t>BNR</t>
  </si>
  <si>
    <t>Bulletin Resources Limited Ordinary</t>
  </si>
  <si>
    <t>BNZ</t>
  </si>
  <si>
    <t>Benz Mining Corp. CDI 1:1</t>
  </si>
  <si>
    <t>BOA</t>
  </si>
  <si>
    <t>BOA Resources Ltd Ordinary</t>
  </si>
  <si>
    <t>BOC</t>
  </si>
  <si>
    <t>Bougainville Copper Limited 1 Kina Ordinary</t>
  </si>
  <si>
    <t>BOE</t>
  </si>
  <si>
    <t>Boss Energy Ltd Ordinary</t>
  </si>
  <si>
    <t>BOL</t>
  </si>
  <si>
    <t>Boom Logistics Limited Ordinary</t>
  </si>
  <si>
    <t>BOND</t>
  </si>
  <si>
    <t>State Street SPDR S&amp;P/ASX iBoxx Australian Bond ETF</t>
  </si>
  <si>
    <t>BOQ</t>
  </si>
  <si>
    <t>Bank of Queensland Limited Ordinary</t>
  </si>
  <si>
    <t>BOT</t>
  </si>
  <si>
    <t>Botanix Pharmaceuticals Ltd Ordinary</t>
  </si>
  <si>
    <t>BP8</t>
  </si>
  <si>
    <t>BPH Global Ltd Ordinary</t>
  </si>
  <si>
    <t>BPG</t>
  </si>
  <si>
    <t>Black Pearl Group Limited Ordinary Foreign Exempt NZX</t>
  </si>
  <si>
    <t>Information Technology (Cloud/SaaS)</t>
  </si>
  <si>
    <t>BPH</t>
  </si>
  <si>
    <t>BPH Energy Ltd Ordinary</t>
  </si>
  <si>
    <t>BPM</t>
  </si>
  <si>
    <t>BPM Minerals Limited Ordinary</t>
  </si>
  <si>
    <t>BPP</t>
  </si>
  <si>
    <t>Babylon Pump &amp; Power Limited Ordinary</t>
  </si>
  <si>
    <t>BPT</t>
  </si>
  <si>
    <t>Beach Energy Limited Ordinary</t>
  </si>
  <si>
    <t>BRE</t>
  </si>
  <si>
    <t>Brazilian Rare Earths Limited Ordinary</t>
  </si>
  <si>
    <t>BRG</t>
  </si>
  <si>
    <t>Breville Group Limited Ordinary</t>
  </si>
  <si>
    <t>Appliances, Tools &amp; Housewares</t>
  </si>
  <si>
    <t>BRI</t>
  </si>
  <si>
    <t>Big River Industries Limited Ordinary</t>
  </si>
  <si>
    <t>Forest &amp; Wood Products</t>
  </si>
  <si>
    <t>BRK</t>
  </si>
  <si>
    <t>Brookside Energy Limited Ordinary</t>
  </si>
  <si>
    <t>BRL</t>
  </si>
  <si>
    <t>Bathurst Resources Limited Ordinary</t>
  </si>
  <si>
    <t>BRN</t>
  </si>
  <si>
    <t>Brainchip Holdings Ltd Ordinary</t>
  </si>
  <si>
    <t>BRU</t>
  </si>
  <si>
    <t>Buru Energy Limited Ordinary</t>
  </si>
  <si>
    <t>BRX</t>
  </si>
  <si>
    <t>Belararox Limited Ordinary</t>
  </si>
  <si>
    <t>BSA</t>
  </si>
  <si>
    <t>BSA Limited Ordinary</t>
  </si>
  <si>
    <t>BSL</t>
  </si>
  <si>
    <t>Bluescope Steel Limited Ordinary</t>
  </si>
  <si>
    <t>BSN</t>
  </si>
  <si>
    <t>Basin Energy Limited Ordinary</t>
  </si>
  <si>
    <t>BSUB</t>
  </si>
  <si>
    <t>BetaShares Australian Major Bank Subordinated Debt ETF</t>
  </si>
  <si>
    <t>BSX</t>
  </si>
  <si>
    <t>Blackstone Minerals Limited Ordinary</t>
  </si>
  <si>
    <t>BTC</t>
  </si>
  <si>
    <t>BTC Health Ltd Ordinary</t>
  </si>
  <si>
    <t>BTE</t>
  </si>
  <si>
    <t>Botala Energy Ltd Ordinary</t>
  </si>
  <si>
    <t>BTI</t>
  </si>
  <si>
    <t>Bailador Technology Investments Limited Ordinary</t>
  </si>
  <si>
    <t>BTL</t>
  </si>
  <si>
    <t>Beetaloo Energy Australia Limited Ordinary</t>
  </si>
  <si>
    <t>BTM</t>
  </si>
  <si>
    <t>Breakthrough Minerals Limited Ordinary</t>
  </si>
  <si>
    <t>BTN</t>
  </si>
  <si>
    <t>Butn Limited Ordinary</t>
  </si>
  <si>
    <t>Corporate Financial Services</t>
  </si>
  <si>
    <t>BTR</t>
  </si>
  <si>
    <t>Brightstar Resources Limited Ordinary</t>
  </si>
  <si>
    <t>BTXX</t>
  </si>
  <si>
    <t>Digitalx Bitcoin ETF</t>
  </si>
  <si>
    <t>BUB</t>
  </si>
  <si>
    <t>Bubs Australia Limited Ordinary</t>
  </si>
  <si>
    <t>BUGG</t>
  </si>
  <si>
    <t>Global X Cybersecurity ETF</t>
  </si>
  <si>
    <t>BUR</t>
  </si>
  <si>
    <t>Burley Minerals Ltd Ordinary</t>
  </si>
  <si>
    <t>BUS</t>
  </si>
  <si>
    <t>Bubalus Resources Limited Ordinary</t>
  </si>
  <si>
    <t>BUX</t>
  </si>
  <si>
    <t>Buxton Resources Limited Ordinary</t>
  </si>
  <si>
    <t>BUY</t>
  </si>
  <si>
    <t>Bounty Oil &amp; Gas NL Ordinary</t>
  </si>
  <si>
    <t>BVR</t>
  </si>
  <si>
    <t>Bellavista Resources Ltd Ordinary</t>
  </si>
  <si>
    <t>BVS</t>
  </si>
  <si>
    <t>Bravura Solutions Limited Ordinary</t>
  </si>
  <si>
    <t>BWF</t>
  </si>
  <si>
    <t>Blackwall Limited Ordinary</t>
  </si>
  <si>
    <t>BWN</t>
  </si>
  <si>
    <t>Bhagwan Marine Limited Ordinary</t>
  </si>
  <si>
    <t>Marine Port Services</t>
  </si>
  <si>
    <t>BWP</t>
  </si>
  <si>
    <t>BWP Group Ordinary/Units Stapled Securities</t>
  </si>
  <si>
    <t>BXB</t>
  </si>
  <si>
    <t>Brambles Limited Ordinary</t>
  </si>
  <si>
    <t>BXN</t>
  </si>
  <si>
    <t>Bioxyne Limited Ordinary</t>
  </si>
  <si>
    <t>C1X</t>
  </si>
  <si>
    <t>Cosmos Exploration Limited Ordinary</t>
  </si>
  <si>
    <t>C29</t>
  </si>
  <si>
    <t>C29 Metals Limited Ordinary</t>
  </si>
  <si>
    <t>C79</t>
  </si>
  <si>
    <t>Chrysos Corporation Limited Ordinary</t>
  </si>
  <si>
    <t>C7A</t>
  </si>
  <si>
    <t>Clara Resources Australia Ltd Ordinary</t>
  </si>
  <si>
    <t>CAA</t>
  </si>
  <si>
    <t>Capral Limited Ordinary</t>
  </si>
  <si>
    <t>CAE</t>
  </si>
  <si>
    <t>Cannindah Resources Limited Ordinary</t>
  </si>
  <si>
    <t>CAF</t>
  </si>
  <si>
    <t>Centrepoint Alliance Limited Ordinary</t>
  </si>
  <si>
    <t>CAM</t>
  </si>
  <si>
    <t>Clime Capital Limited Ordinary</t>
  </si>
  <si>
    <t>CAN</t>
  </si>
  <si>
    <t>Cann Group Limited Ordinary</t>
  </si>
  <si>
    <t>CAQ</t>
  </si>
  <si>
    <t>CAQ Holdings Limited Ordinary</t>
  </si>
  <si>
    <t>CAR</t>
  </si>
  <si>
    <t>Car Group Limited Ordinary</t>
  </si>
  <si>
    <t>CAT</t>
  </si>
  <si>
    <t>Catapult Sports Ltd Ordinary</t>
  </si>
  <si>
    <t>CAV</t>
  </si>
  <si>
    <t>Carnavale Resources Limited Ordinary</t>
  </si>
  <si>
    <t>CAY</t>
  </si>
  <si>
    <t>Canyon Resources Limited Ordinary</t>
  </si>
  <si>
    <t>CAZ</t>
  </si>
  <si>
    <t>Cazaly Resources Limited Ordinary</t>
  </si>
  <si>
    <t>CBA</t>
  </si>
  <si>
    <t>Commonwealth Bank of Australia. Ordinary</t>
  </si>
  <si>
    <t>2.69628E+11</t>
  </si>
  <si>
    <t>CBE</t>
  </si>
  <si>
    <t>Cobre Limited Ordinary</t>
  </si>
  <si>
    <t>CBL</t>
  </si>
  <si>
    <t>Control Bionics Limited Ordinary</t>
  </si>
  <si>
    <t>CBO</t>
  </si>
  <si>
    <t>Cobram Estate Olives Limited Ordinary</t>
  </si>
  <si>
    <t>CBY</t>
  </si>
  <si>
    <t>Canterbury Resources Limited Ordinary</t>
  </si>
  <si>
    <t>CC5</t>
  </si>
  <si>
    <t>Clever Culture Systems Limited Ordinary</t>
  </si>
  <si>
    <t>CC9</t>
  </si>
  <si>
    <t>Chariot Resources Ltd Ordinary</t>
  </si>
  <si>
    <t>CCA</t>
  </si>
  <si>
    <t>Change Financial Limited Ordinary</t>
  </si>
  <si>
    <t>Miscellaneous Fintech Infrastructure</t>
  </si>
  <si>
    <t>CCE</t>
  </si>
  <si>
    <t>Carnegie Clean Energy Limited Ordinary</t>
  </si>
  <si>
    <t>Electric Utilities</t>
  </si>
  <si>
    <t>CCG</t>
  </si>
  <si>
    <t>Comms Group Ltd Ordinary</t>
  </si>
  <si>
    <t>CCL</t>
  </si>
  <si>
    <t>Cuscal Limited Ordinary</t>
  </si>
  <si>
    <t>CCM</t>
  </si>
  <si>
    <t>Cadoux Limited Ordinary</t>
  </si>
  <si>
    <t>Construction Materials</t>
  </si>
  <si>
    <t>CCO</t>
  </si>
  <si>
    <t>The Calmer Co International Limited Ordinary</t>
  </si>
  <si>
    <t>CCP</t>
  </si>
  <si>
    <t>Credit Corp Group Limited Ordinary</t>
  </si>
  <si>
    <t>CCR</t>
  </si>
  <si>
    <t>Credit Clear Limited Ordinary</t>
  </si>
  <si>
    <t>CCV</t>
  </si>
  <si>
    <t>Cash Converters International Ordinary</t>
  </si>
  <si>
    <t>CCX</t>
  </si>
  <si>
    <t>City Chic Collective Limited Ordinary</t>
  </si>
  <si>
    <t>CD1</t>
  </si>
  <si>
    <t>CD Private Equity Fund I Ordinary Units</t>
  </si>
  <si>
    <t>CD2</t>
  </si>
  <si>
    <t>CD Private Equity Fund II Ordinary Units</t>
  </si>
  <si>
    <t>CD3</t>
  </si>
  <si>
    <t>CD Private Equity Fund III Ordinary Units</t>
  </si>
  <si>
    <t>CDA</t>
  </si>
  <si>
    <t>Codan Limited Ordinary</t>
  </si>
  <si>
    <t>CDE</t>
  </si>
  <si>
    <t>Codeifai Limited Ordinary</t>
  </si>
  <si>
    <t>CDM</t>
  </si>
  <si>
    <t>Cadence Capital Limited Ordinary</t>
  </si>
  <si>
    <t>CDO</t>
  </si>
  <si>
    <t>Cadence Opportunities Fund Limited Ordinary</t>
  </si>
  <si>
    <t>CDP</t>
  </si>
  <si>
    <t>Carindale Property Trust Ordinary Units</t>
  </si>
  <si>
    <t>CDR</t>
  </si>
  <si>
    <t>Codrus Minerals Limited Ordinary</t>
  </si>
  <si>
    <t>CDT</t>
  </si>
  <si>
    <t>Castle Minerals Limited Ordinary</t>
  </si>
  <si>
    <t>CEH</t>
  </si>
  <si>
    <t>Coast Entertainment Holdings Limited Ordinary</t>
  </si>
  <si>
    <t>CEL</t>
  </si>
  <si>
    <t>Challenger Gold Limited Ordinary</t>
  </si>
  <si>
    <t>CEN</t>
  </si>
  <si>
    <t>Contact Energy Limited Ordinary Foreign Exempt NZX</t>
  </si>
  <si>
    <t>CETF</t>
  </si>
  <si>
    <t>Vaneck FTSE China A50 ETF</t>
  </si>
  <si>
    <t>CF1</t>
  </si>
  <si>
    <t>Complii Fintech Solutions Ltd Ordinary</t>
  </si>
  <si>
    <t>CFLO</t>
  </si>
  <si>
    <t>BetaShares Global Cash Flow Kings ETF</t>
  </si>
  <si>
    <t>CG1</t>
  </si>
  <si>
    <t>Carbonxt Group Limited Ordinary</t>
  </si>
  <si>
    <t>CGF</t>
  </si>
  <si>
    <t>Challenger Limited Ordinary</t>
  </si>
  <si>
    <t>Life &amp; Health Insurance</t>
  </si>
  <si>
    <t>CGHE</t>
  </si>
  <si>
    <t>Claremont Global Fund (Hedged) Active ETF</t>
  </si>
  <si>
    <t>CGO</t>
  </si>
  <si>
    <t>CPT Global Limited Ordinary</t>
  </si>
  <si>
    <t>CGR</t>
  </si>
  <si>
    <t>CGN Resources Limited Ordinary</t>
  </si>
  <si>
    <t>CGS</t>
  </si>
  <si>
    <t>Cogstate Ltd Ordinary</t>
  </si>
  <si>
    <t>CGUN</t>
  </si>
  <si>
    <t>Claremont Global Fund Active ETF</t>
  </si>
  <si>
    <t>CHC</t>
  </si>
  <si>
    <t>Charter Hall Group Stapled Securities US Prohibited</t>
  </si>
  <si>
    <t>CHL</t>
  </si>
  <si>
    <t>Camplify Holdings Limited Ordinary</t>
  </si>
  <si>
    <t>CHM</t>
  </si>
  <si>
    <t>Chimeric Therapeutics Limited Ordinary</t>
  </si>
  <si>
    <t>CHN</t>
  </si>
  <si>
    <t>Chalice Mining Limited Ordinary</t>
  </si>
  <si>
    <t>CHR</t>
  </si>
  <si>
    <t>Charger Metals NL Ordinary</t>
  </si>
  <si>
    <t>CHW</t>
  </si>
  <si>
    <t>Chilwa Minerals Ltd Ordinary</t>
  </si>
  <si>
    <t>CI1</t>
  </si>
  <si>
    <t>Credit Intelligence Ltd Ordinary</t>
  </si>
  <si>
    <t>CIA</t>
  </si>
  <si>
    <t>Champion Iron Limited Ordinary</t>
  </si>
  <si>
    <t>CIIH</t>
  </si>
  <si>
    <t>CB Glbl Infrastructure Income (Hedged) Active ETF</t>
  </si>
  <si>
    <t>CIN</t>
  </si>
  <si>
    <t>Carlton Investments Limited Ordinary</t>
  </si>
  <si>
    <t>CIP</t>
  </si>
  <si>
    <t>Centuria Industrial Reit Ordinary Units</t>
  </si>
  <si>
    <t>CIVH</t>
  </si>
  <si>
    <t>CB Glbl Infrastructure Value (Hedged) Active ETF</t>
  </si>
  <si>
    <t>CIW</t>
  </si>
  <si>
    <t>Clime Investment Management Ltd Ordinary</t>
  </si>
  <si>
    <t>CKA</t>
  </si>
  <si>
    <t>Cokal Limited Ordinary</t>
  </si>
  <si>
    <t>CKF</t>
  </si>
  <si>
    <t>Collins Foods Limited Ordinary</t>
  </si>
  <si>
    <t>Restaurants &amp; Bars</t>
  </si>
  <si>
    <t>CL8</t>
  </si>
  <si>
    <t>CL8 Holdings Limited Ordinary</t>
  </si>
  <si>
    <t>Passenger Transportation, Ground &amp; Sea</t>
  </si>
  <si>
    <t>CLA</t>
  </si>
  <si>
    <t>Celsius Resources Limited Ordinary</t>
  </si>
  <si>
    <t>CLDD</t>
  </si>
  <si>
    <t>BetaShares Cloud Computing ETF</t>
  </si>
  <si>
    <t>CLE</t>
  </si>
  <si>
    <t>Cyclone Metals Limited Ordinary</t>
  </si>
  <si>
    <t>CLG</t>
  </si>
  <si>
    <t>Close The Loop Ltd. Ordinary</t>
  </si>
  <si>
    <t>CLNE</t>
  </si>
  <si>
    <t>Vaneck Global Clean Energy ETF</t>
  </si>
  <si>
    <t>CLU</t>
  </si>
  <si>
    <t>Cluey Ltd Ordinary</t>
  </si>
  <si>
    <t>CLV</t>
  </si>
  <si>
    <t>Clover Corporation Limited Ordinary</t>
  </si>
  <si>
    <t>CLW</t>
  </si>
  <si>
    <t>Charter Hall Long Wale Reit Units Stapled Securities</t>
  </si>
  <si>
    <t>CLX</t>
  </si>
  <si>
    <t>CTI Logistics Limited Ordinary</t>
  </si>
  <si>
    <t>CLZ</t>
  </si>
  <si>
    <t>Classic Minerals Ltd Ordinary</t>
  </si>
  <si>
    <t>CMA</t>
  </si>
  <si>
    <t>Carma Limited Ordinary</t>
  </si>
  <si>
    <t>CMB</t>
  </si>
  <si>
    <t>Cambium BIO Limited Ordinary</t>
  </si>
  <si>
    <t>CMD</t>
  </si>
  <si>
    <t>Cassius Mining Limited Ordinary</t>
  </si>
  <si>
    <t>CMG</t>
  </si>
  <si>
    <t>Critical Minerals Group Limited Ordinary</t>
  </si>
  <si>
    <t>CML</t>
  </si>
  <si>
    <t>Connected Minerals Limited Ordinary</t>
  </si>
  <si>
    <t>CMM</t>
  </si>
  <si>
    <t>Capricorn Metals Ltd Ordinary</t>
  </si>
  <si>
    <t>CMO</t>
  </si>
  <si>
    <t>Cosmo Metals Limited Ordinary</t>
  </si>
  <si>
    <t>CMP</t>
  </si>
  <si>
    <t>Compumedics Limited Ordinary</t>
  </si>
  <si>
    <t>CMW</t>
  </si>
  <si>
    <t>Cromwell Property Group Ordinary/Units Stapled Securities</t>
  </si>
  <si>
    <t>CMX</t>
  </si>
  <si>
    <t>Chemx Materials Limited Ordinary</t>
  </si>
  <si>
    <t>CNB</t>
  </si>
  <si>
    <t>Carnaby Resources Limited Ordinary</t>
  </si>
  <si>
    <t>CND</t>
  </si>
  <si>
    <t>Condor Energy Limited Ordinary</t>
  </si>
  <si>
    <t>CNEW</t>
  </si>
  <si>
    <t>Vaneck China New Economy ETF</t>
  </si>
  <si>
    <t>CNI</t>
  </si>
  <si>
    <t>Centuria Capital Group Ordinary/Units Stapled Securities</t>
  </si>
  <si>
    <t>CNJ</t>
  </si>
  <si>
    <t>Conico Ltd Ordinary</t>
  </si>
  <si>
    <t>CNQ</t>
  </si>
  <si>
    <t>Clean TEQ Water Limited Ordinary</t>
  </si>
  <si>
    <t>CNU</t>
  </si>
  <si>
    <t>Chorus Limited Ordinary Foreign Exempt NZX</t>
  </si>
  <si>
    <t>COB</t>
  </si>
  <si>
    <t>Cobalt Blue Holdings Limited Ordinary</t>
  </si>
  <si>
    <t>COD</t>
  </si>
  <si>
    <t>Coda Minerals Ltd Ordinary</t>
  </si>
  <si>
    <t>COF</t>
  </si>
  <si>
    <t>Centuria Office Reit Ordinary Units</t>
  </si>
  <si>
    <t>COG</t>
  </si>
  <si>
    <t>COG Financial Services Limited Ordinary</t>
  </si>
  <si>
    <t>COH</t>
  </si>
  <si>
    <t>Cochlear Limited Ordinary</t>
  </si>
  <si>
    <t>COI</t>
  </si>
  <si>
    <t>Comet Ridge Limited Ordinary</t>
  </si>
  <si>
    <t>COL</t>
  </si>
  <si>
    <t>Coles Group Limited Ordinary</t>
  </si>
  <si>
    <t>CORE</t>
  </si>
  <si>
    <t>Schroder Global Core Fund - Active ETF</t>
  </si>
  <si>
    <t>COS</t>
  </si>
  <si>
    <t>Cosol Limited Ordinary</t>
  </si>
  <si>
    <t>Professional Information Services</t>
  </si>
  <si>
    <t>COV</t>
  </si>
  <si>
    <t>Cleo Diagnostics Ltd Ordinary</t>
  </si>
  <si>
    <t>COY</t>
  </si>
  <si>
    <t>Coppermoly Limited Ordinary</t>
  </si>
  <si>
    <t>CP8</t>
  </si>
  <si>
    <t>Canadian Phosphate Limited Ordinary</t>
  </si>
  <si>
    <t>CPM</t>
  </si>
  <si>
    <t>Cooper Metals Limited Ordinary</t>
  </si>
  <si>
    <t>CPN</t>
  </si>
  <si>
    <t>Caspin Resources Limited Ordinary</t>
  </si>
  <si>
    <t>CPO</t>
  </si>
  <si>
    <t>Culpeo Minerals Limited Ordinary</t>
  </si>
  <si>
    <t>CPU</t>
  </si>
  <si>
    <t>Computershare Limited Ordinary</t>
  </si>
  <si>
    <t>CPV</t>
  </si>
  <si>
    <t>Clearvue Technologies Limited Ordinary</t>
  </si>
  <si>
    <t>Renewable Energy Equipment &amp; Services</t>
  </si>
  <si>
    <t>CQE</t>
  </si>
  <si>
    <t>Charter Hall Social Infrastructure Reit Ordinary Units</t>
  </si>
  <si>
    <t>CQR</t>
  </si>
  <si>
    <t>Charter Hall Retail Reit Ordinary Units</t>
  </si>
  <si>
    <t>CQT</t>
  </si>
  <si>
    <t>Conneqt Health Limited Ordinary</t>
  </si>
  <si>
    <t>CR1</t>
  </si>
  <si>
    <t>Constellation Resources Limited Ordinary</t>
  </si>
  <si>
    <t>CR3</t>
  </si>
  <si>
    <t>Core Energy Minerals Ltd Ordinary</t>
  </si>
  <si>
    <t>CR9</t>
  </si>
  <si>
    <t>Corella Resources Ltd Ordinary</t>
  </si>
  <si>
    <t>CRB</t>
  </si>
  <si>
    <t>Carbine Resources Limited Ordinary</t>
  </si>
  <si>
    <t>CRD</t>
  </si>
  <si>
    <t>Conrad Asia Energy Ltd. CDI 1:1</t>
  </si>
  <si>
    <t>CRED</t>
  </si>
  <si>
    <t>BetaShares Australian Investment Grade Corporate Bond ETF</t>
  </si>
  <si>
    <t>CRI</t>
  </si>
  <si>
    <t>Critica Limited Ordinary</t>
  </si>
  <si>
    <t>CRN</t>
  </si>
  <si>
    <t>Coronado Global Resources Inc. CDI 10:1</t>
  </si>
  <si>
    <t>CRR</t>
  </si>
  <si>
    <t>Critical Resources Limited Ordinary</t>
  </si>
  <si>
    <t>CRS</t>
  </si>
  <si>
    <t>Caprice Resources Ltd Ordinary</t>
  </si>
  <si>
    <t>CRYP</t>
  </si>
  <si>
    <t>BetaShares Crypto Innovators ETF</t>
  </si>
  <si>
    <t>CSC</t>
  </si>
  <si>
    <t>Capstone Copper Corp. CDI 1:1 Foreign Exempt TSX</t>
  </si>
  <si>
    <t>CSL</t>
  </si>
  <si>
    <t>CSL Limited Ordinary</t>
  </si>
  <si>
    <t>CST</t>
  </si>
  <si>
    <t>Castile Resources Ltd Ordinary</t>
  </si>
  <si>
    <t>CSX</t>
  </si>
  <si>
    <t>Cleanspace Holdings Limited Ordinary</t>
  </si>
  <si>
    <t>CT1</t>
  </si>
  <si>
    <t>Constellation Technologies Limited Ordinary</t>
  </si>
  <si>
    <t>CTD</t>
  </si>
  <si>
    <t>Corporate Travel Management Limited Ordinary</t>
  </si>
  <si>
    <t>CTE</t>
  </si>
  <si>
    <t>Cryosite Limited Ordinary</t>
  </si>
  <si>
    <t>CTM</t>
  </si>
  <si>
    <t>Centaurus Metals Limited Ordinary</t>
  </si>
  <si>
    <t>CTO</t>
  </si>
  <si>
    <t>Citigold Corporation Limited Ordinary</t>
  </si>
  <si>
    <t>CTP</t>
  </si>
  <si>
    <t>Central Petroleum Limited Ordinary</t>
  </si>
  <si>
    <t>CTQ</t>
  </si>
  <si>
    <t>Careteq Limited Ordinary</t>
  </si>
  <si>
    <t>CTT</t>
  </si>
  <si>
    <t>Cettire Limited Ordinary</t>
  </si>
  <si>
    <t>CU6</t>
  </si>
  <si>
    <t>Clarity Pharmaceuticals Ltd Ordinary</t>
  </si>
  <si>
    <t>CUE</t>
  </si>
  <si>
    <t>Cue Energy Resources Limited Ordinary</t>
  </si>
  <si>
    <t>CUF</t>
  </si>
  <si>
    <t>Cufe Ltd Ordinary</t>
  </si>
  <si>
    <t>CUIV</t>
  </si>
  <si>
    <t>CB Glbl Infrastructure Value Active ETF</t>
  </si>
  <si>
    <t>CUL</t>
  </si>
  <si>
    <t>Cullen Resources Limited Ordinary</t>
  </si>
  <si>
    <t>CUP</t>
  </si>
  <si>
    <t>Count Limited Ordinary</t>
  </si>
  <si>
    <t>CURE</t>
  </si>
  <si>
    <t>Global X S&amp;P Biotech ETF</t>
  </si>
  <si>
    <t>CUV</t>
  </si>
  <si>
    <t>Clinuvel Pharmaceuticals Limited Ordinary</t>
  </si>
  <si>
    <t>CVB</t>
  </si>
  <si>
    <t>Curvebeam AI Limited Ordinary</t>
  </si>
  <si>
    <t>CVC</t>
  </si>
  <si>
    <t>CVC Limited Ordinary</t>
  </si>
  <si>
    <t>CVL</t>
  </si>
  <si>
    <t>Civmec Limited Ordinary</t>
  </si>
  <si>
    <t>CVN</t>
  </si>
  <si>
    <t>Carnarvon Energy Limited Ordinary</t>
  </si>
  <si>
    <t>CVR</t>
  </si>
  <si>
    <t>Cavalier Resources Limited Ordinary</t>
  </si>
  <si>
    <t>CVV</t>
  </si>
  <si>
    <t>Caravel Minerals Limited Ordinary</t>
  </si>
  <si>
    <t>CVW</t>
  </si>
  <si>
    <t>Clearview Wealth Limited Ordinary</t>
  </si>
  <si>
    <t>CWP</t>
  </si>
  <si>
    <t>Cedar Woods Properties Limited Ordinary</t>
  </si>
  <si>
    <t>CWY</t>
  </si>
  <si>
    <t>Cleanaway Waste Management Limited Ordinary</t>
  </si>
  <si>
    <t>CXL</t>
  </si>
  <si>
    <t>Calix Limited Ordinary</t>
  </si>
  <si>
    <t>CXO</t>
  </si>
  <si>
    <t>Core Lithium Ltd Ordinary</t>
  </si>
  <si>
    <t>CXU</t>
  </si>
  <si>
    <t>Cauldron Energy Limited Ordinary</t>
  </si>
  <si>
    <t>CXZ</t>
  </si>
  <si>
    <t>Connexion Mobility Ltd Ordinary</t>
  </si>
  <si>
    <t>CY5</t>
  </si>
  <si>
    <t>Cygnus Metals Limited Ordinary</t>
  </si>
  <si>
    <t>CYB</t>
  </si>
  <si>
    <t>Aucyber Limited Ordinary</t>
  </si>
  <si>
    <t>CYC</t>
  </si>
  <si>
    <t>Cyclopharm Limited Ordinary</t>
  </si>
  <si>
    <t>CYG</t>
  </si>
  <si>
    <t>Coventry Group Limited Ordinary</t>
  </si>
  <si>
    <t>CYL</t>
  </si>
  <si>
    <t>Catalyst Metals Limited Ordinary</t>
  </si>
  <si>
    <t>CYM</t>
  </si>
  <si>
    <t>Cyprium Metals Limited Ordinary</t>
  </si>
  <si>
    <t>CYP</t>
  </si>
  <si>
    <t>Cynata Therapeutics Limited Ordinary</t>
  </si>
  <si>
    <t>CYQ</t>
  </si>
  <si>
    <t>Cycliq Group Ltd Ordinary</t>
  </si>
  <si>
    <t>CZN</t>
  </si>
  <si>
    <t>Corazon Mining Limited Ordinary</t>
  </si>
  <si>
    <t>CZR</t>
  </si>
  <si>
    <t>CZR Resources Ltd Ordinary</t>
  </si>
  <si>
    <t>D3E</t>
  </si>
  <si>
    <t>D3 Energy Limited Ordinary</t>
  </si>
  <si>
    <t>DACE</t>
  </si>
  <si>
    <t>Dimensional Australian Core Equity Trust - Active ETF</t>
  </si>
  <si>
    <t>DAF</t>
  </si>
  <si>
    <t>Discovery Alaska Limited Ordinary</t>
  </si>
  <si>
    <t>DAI</t>
  </si>
  <si>
    <t>Decidr AI Industries Ltd Ordinary</t>
  </si>
  <si>
    <t>DAL</t>
  </si>
  <si>
    <t>Dalaroo Metals Ltd Ordinary</t>
  </si>
  <si>
    <t>DAOR</t>
  </si>
  <si>
    <t>Aoris INT Fund (Class D) (Hedged) Active ETF</t>
  </si>
  <si>
    <t>DAVA</t>
  </si>
  <si>
    <t>Dimensional Australian Value Trust - Active ETF</t>
  </si>
  <si>
    <t>DBBF</t>
  </si>
  <si>
    <t>BetaShares Ethical Diversified Balanced ETF</t>
  </si>
  <si>
    <t>DBF</t>
  </si>
  <si>
    <t>Duxton Farms Ltd Ordinary</t>
  </si>
  <si>
    <t>DBI</t>
  </si>
  <si>
    <t>Dalrymple Bay Infrastructure Limited Ordinary/Notes Stapled Securities</t>
  </si>
  <si>
    <t>DBO</t>
  </si>
  <si>
    <t>Diablo Resources Limited Ordinary</t>
  </si>
  <si>
    <t>DCC</t>
  </si>
  <si>
    <t>Digitalx Limited Ordinary</t>
  </si>
  <si>
    <t>DCOR</t>
  </si>
  <si>
    <t>Daintree Core Income Active ETF</t>
  </si>
  <si>
    <t>DDR</t>
  </si>
  <si>
    <t>Dicker Data Limited Ordinary</t>
  </si>
  <si>
    <t>DDT</t>
  </si>
  <si>
    <t>Datadot Technology Limited Ordinary</t>
  </si>
  <si>
    <t>DEL</t>
  </si>
  <si>
    <t>Delorean Corporation Limited Ordinary</t>
  </si>
  <si>
    <t>DEM</t>
  </si>
  <si>
    <t>De.MEM Limited Ordinary</t>
  </si>
  <si>
    <t>Water &amp; Related Utilities</t>
  </si>
  <si>
    <t>DES</t>
  </si>
  <si>
    <t>Desoto Resources Limited Ordinary</t>
  </si>
  <si>
    <t>DEV</t>
  </si>
  <si>
    <t>Devex Resources Limited Ordinary</t>
  </si>
  <si>
    <t>DFGH</t>
  </si>
  <si>
    <t>Dimensional Global Core Equity Trust AUD Hedged - Active ETF</t>
  </si>
  <si>
    <t>DFND</t>
  </si>
  <si>
    <t>Vaneck Global Defence ETF</t>
  </si>
  <si>
    <t>DGCE</t>
  </si>
  <si>
    <t>Dimensional Global Core Equity Trust Unhedged - Active ETF</t>
  </si>
  <si>
    <t>DGGF</t>
  </si>
  <si>
    <t>BetaShares Ethical Diversified Growth ETF</t>
  </si>
  <si>
    <t>DGH</t>
  </si>
  <si>
    <t>Desane Group Holdings Limited Ordinary</t>
  </si>
  <si>
    <t>DGL</t>
  </si>
  <si>
    <t>DGL Group Limited Ordinary</t>
  </si>
  <si>
    <t>DGR</t>
  </si>
  <si>
    <t>DGR Global Limited Ordinary</t>
  </si>
  <si>
    <t>DGSM</t>
  </si>
  <si>
    <t>Dimensional Global Small Company - Active ETF</t>
  </si>
  <si>
    <t>DGT</t>
  </si>
  <si>
    <t>Digico Infrastructure Reit Ordinary/Units Stapled Securities</t>
  </si>
  <si>
    <t>DGVA</t>
  </si>
  <si>
    <t>Dimensional Global Value Trust - Active ETF</t>
  </si>
  <si>
    <t>DHHF</t>
  </si>
  <si>
    <t>BetaShares Diversified ALL Growth ETF</t>
  </si>
  <si>
    <t>DHOF</t>
  </si>
  <si>
    <t>Daintree Hybrid Opportunities Active ETF</t>
  </si>
  <si>
    <t>DIFF</t>
  </si>
  <si>
    <t>Perpetual Diversified Income Active ETF</t>
  </si>
  <si>
    <t>DIVI</t>
  </si>
  <si>
    <t>Ausbil Active Dividend Income Fund - Active ETF</t>
  </si>
  <si>
    <t>DJRE</t>
  </si>
  <si>
    <t>State Street SPDR DJ Global Real Estate ESG Tilted ETF</t>
  </si>
  <si>
    <t>DJW</t>
  </si>
  <si>
    <t>Djerriwarrh Investments Limited Ordinary</t>
  </si>
  <si>
    <t>DKM</t>
  </si>
  <si>
    <t>Duketon Mining Limited Ordinary</t>
  </si>
  <si>
    <t>DLI</t>
  </si>
  <si>
    <t>Delta Lithium Limited Ordinary</t>
  </si>
  <si>
    <t>DM1</t>
  </si>
  <si>
    <t>Desert Metals Limited Ordinary</t>
  </si>
  <si>
    <t>DME</t>
  </si>
  <si>
    <t>Dome Gold Mines Limited Ordinary</t>
  </si>
  <si>
    <t>DMG</t>
  </si>
  <si>
    <t>Dragon Mountain Gold Limited Ordinary</t>
  </si>
  <si>
    <t>DMM</t>
  </si>
  <si>
    <t>DMC Mining Limited Ordinary</t>
  </si>
  <si>
    <t>DMP</t>
  </si>
  <si>
    <t>Domino's Pizza Enterprises Limited Ordinary</t>
  </si>
  <si>
    <t>DN1</t>
  </si>
  <si>
    <t>Dominion Income Trust 1 Ordinary Units</t>
  </si>
  <si>
    <t>Mutual Funds</t>
  </si>
  <si>
    <t>DNL</t>
  </si>
  <si>
    <t>Dyno Nobel Limited Ordinary</t>
  </si>
  <si>
    <t>DOC</t>
  </si>
  <si>
    <t>Doctor Care Anywhere Group PLC CDI 1:1</t>
  </si>
  <si>
    <t>DOW</t>
  </si>
  <si>
    <t>Downer EDI Limited Ordinary</t>
  </si>
  <si>
    <t>DPM</t>
  </si>
  <si>
    <t>DPM Metals Inc. CDI 1:1 Foreign Exempt TSX</t>
  </si>
  <si>
    <t>Materials (Gold/Multi-Metals)</t>
  </si>
  <si>
    <t>DRE</t>
  </si>
  <si>
    <t>Dreadnought Resources Ltd Ordinary</t>
  </si>
  <si>
    <t>DRGN</t>
  </si>
  <si>
    <t>Global X China Tech ETF</t>
  </si>
  <si>
    <t>DRIV</t>
  </si>
  <si>
    <t>BetaShares Electric Vehicles and FTR Mobility ETF</t>
  </si>
  <si>
    <t>DRO</t>
  </si>
  <si>
    <t>Droneshield Limited Ordinary</t>
  </si>
  <si>
    <t>DRR</t>
  </si>
  <si>
    <t>Deterra Royalties Limited Ordinary</t>
  </si>
  <si>
    <t>DRUG</t>
  </si>
  <si>
    <t>BetaShares Global Healthcare Currency Hedged ETF</t>
  </si>
  <si>
    <t>DRX</t>
  </si>
  <si>
    <t>Diatreme Resources Limited Ordinary</t>
  </si>
  <si>
    <t>DSK</t>
  </si>
  <si>
    <t>Dusk Group Limited Ordinary</t>
  </si>
  <si>
    <t>Household Products</t>
  </si>
  <si>
    <t>DSM</t>
  </si>
  <si>
    <t>Desert Minerals Ltd Ordinary</t>
  </si>
  <si>
    <t>DTEC</t>
  </si>
  <si>
    <t>Global X Defence Tech ETF</t>
  </si>
  <si>
    <t>DTI</t>
  </si>
  <si>
    <t>DTI Group Ltd Ordinary</t>
  </si>
  <si>
    <t>DTL</t>
  </si>
  <si>
    <t>Data#3 Limited Ordinary</t>
  </si>
  <si>
    <t>DTM</t>
  </si>
  <si>
    <t>Dart Mining NL Ordinary</t>
  </si>
  <si>
    <t>DTR</t>
  </si>
  <si>
    <t>Dateline Resources Limited Ordinary</t>
  </si>
  <si>
    <t>DTZ</t>
  </si>
  <si>
    <t>Dotz Nano Limited Ordinary</t>
  </si>
  <si>
    <t>DUB</t>
  </si>
  <si>
    <t>Dubber Corporation Limited Ordinary</t>
  </si>
  <si>
    <t>DUG</t>
  </si>
  <si>
    <t>DUG Technology Ltd Ordinary</t>
  </si>
  <si>
    <t>DUI</t>
  </si>
  <si>
    <t>Diversified United Investment Limited Ordinary</t>
  </si>
  <si>
    <t>DUN</t>
  </si>
  <si>
    <t>Dundas Minerals Limited Ordinary</t>
  </si>
  <si>
    <t>DUR</t>
  </si>
  <si>
    <t>Duratec Limited Ordinary</t>
  </si>
  <si>
    <t>DVDY</t>
  </si>
  <si>
    <t>Vaneck Morningstar Australian Moat Income ETF</t>
  </si>
  <si>
    <t>DVL</t>
  </si>
  <si>
    <t>Dorsavi Ltd Ordinary</t>
  </si>
  <si>
    <t>DVP</t>
  </si>
  <si>
    <t>Develop Global Limited Ordinary</t>
  </si>
  <si>
    <t>DWG</t>
  </si>
  <si>
    <t>Dataworks Group Limited Ordinary</t>
  </si>
  <si>
    <t>DXB</t>
  </si>
  <si>
    <t>Dimerix Limited Ordinary</t>
  </si>
  <si>
    <t>DXC</t>
  </si>
  <si>
    <t>Dexus Convenience Retail Reit Units Stapled Securities</t>
  </si>
  <si>
    <t>DXI</t>
  </si>
  <si>
    <t>Dexus Industria Reit. Ordinary/Units Stapled Securities</t>
  </si>
  <si>
    <t>DXN</t>
  </si>
  <si>
    <t>DXN Limited Ordinary</t>
  </si>
  <si>
    <t>DXS</t>
  </si>
  <si>
    <t>Dexus Units Stapled Securities</t>
  </si>
  <si>
    <t>DYL</t>
  </si>
  <si>
    <t>Deep Yellow Limited Ordinary</t>
  </si>
  <si>
    <t>DYM</t>
  </si>
  <si>
    <t>Dynamic Metals Limited Ordinary</t>
  </si>
  <si>
    <t>DZZF</t>
  </si>
  <si>
    <t>BetaShares Ethical Diversified High Growth ETF</t>
  </si>
  <si>
    <t>E200</t>
  </si>
  <si>
    <t>State Street SPDR S&amp;P/ASX 200 ESG ETF</t>
  </si>
  <si>
    <t>E25</t>
  </si>
  <si>
    <t>Element 25 Limited Ordinary</t>
  </si>
  <si>
    <t>E79</t>
  </si>
  <si>
    <t>E79 Gold Mines Limited Ordinary</t>
  </si>
  <si>
    <t>EAFZ</t>
  </si>
  <si>
    <t>Ellerston Asia Growth Fund Complex ETF</t>
  </si>
  <si>
    <t>EARN</t>
  </si>
  <si>
    <t>PIMCO Short Term Active Yield Active ETF</t>
  </si>
  <si>
    <t>EAT</t>
  </si>
  <si>
    <t>Entertainment Rewards Ltd Ordinary</t>
  </si>
  <si>
    <t>EAX</t>
  </si>
  <si>
    <t>Energy Action Limited Ordinary</t>
  </si>
  <si>
    <t>EBND</t>
  </si>
  <si>
    <t>Vaneck Emerging Income Opportunities Active ETF</t>
  </si>
  <si>
    <t>EBO</t>
  </si>
  <si>
    <t>Ebos Group Limited Ordinary</t>
  </si>
  <si>
    <t>EBR</t>
  </si>
  <si>
    <t>EBR Systems Inc. CDI 1:1 US Person Prohibited Excluding QIB</t>
  </si>
  <si>
    <t>ECF</t>
  </si>
  <si>
    <t>Elanor Commercial Property Fund Units Stapled Securities</t>
  </si>
  <si>
    <t>ECH</t>
  </si>
  <si>
    <t>Echelon Resources Limited Ordinary</t>
  </si>
  <si>
    <t>ECL</t>
  </si>
  <si>
    <t>Excelsior Capital Ltd Ordinary</t>
  </si>
  <si>
    <t>ECP</t>
  </si>
  <si>
    <t>ECP Emerging Growth Limited Ordinary</t>
  </si>
  <si>
    <t>ECRD</t>
  </si>
  <si>
    <t>BetaShares Australian Enhanced Credit Income Complex ETF</t>
  </si>
  <si>
    <t>ECS</t>
  </si>
  <si>
    <t>ECS Botanics Holdings Ltd Ordinary</t>
  </si>
  <si>
    <t>ECT</t>
  </si>
  <si>
    <t>Environmental Clean Technologies Limited Ordinary</t>
  </si>
  <si>
    <t>EDE</t>
  </si>
  <si>
    <t>Eden Innovations Ltd Ordinary</t>
  </si>
  <si>
    <t>EDU</t>
  </si>
  <si>
    <t>EDU Holdings Limited Ordinary</t>
  </si>
  <si>
    <t>Professional &amp; Business Education</t>
  </si>
  <si>
    <t>EDV</t>
  </si>
  <si>
    <t>Endeavour Group Limited Ordinary</t>
  </si>
  <si>
    <t>EE1</t>
  </si>
  <si>
    <t>Earths Energy Limited Ordinary</t>
  </si>
  <si>
    <t>EEL</t>
  </si>
  <si>
    <t>Enrg Elements Ltd Ordinary</t>
  </si>
  <si>
    <t>EFE</t>
  </si>
  <si>
    <t>Eastern Resources Limited Ordinary</t>
  </si>
  <si>
    <t>EG1</t>
  </si>
  <si>
    <t>Evergold Minerals Limited Ordinary</t>
  </si>
  <si>
    <t>EGG</t>
  </si>
  <si>
    <t>Enero Group Limited Ordinary</t>
  </si>
  <si>
    <t>Advertising &amp; Marketing</t>
  </si>
  <si>
    <t>EGH</t>
  </si>
  <si>
    <t>Eureka Group Holdings Limited Ordinary</t>
  </si>
  <si>
    <t>EGL</t>
  </si>
  <si>
    <t>Environmental Group Limited (The) Ordinary</t>
  </si>
  <si>
    <t>EGR</t>
  </si>
  <si>
    <t>Ecograf Limited Ordinary</t>
  </si>
  <si>
    <t>EGY</t>
  </si>
  <si>
    <t>Energy Technologies Limited Ordinary</t>
  </si>
  <si>
    <t>EHL</t>
  </si>
  <si>
    <t>Emeco Holdings Limited Ordinary</t>
  </si>
  <si>
    <t>EIGA</t>
  </si>
  <si>
    <t>Perennial Income Generator Active ETF</t>
  </si>
  <si>
    <t>EIQ</t>
  </si>
  <si>
    <t>Echoiq Limited Ordinary</t>
  </si>
  <si>
    <t>EL8</t>
  </si>
  <si>
    <t>Elevate Uranium Ltd Ordinary</t>
  </si>
  <si>
    <t>ELD</t>
  </si>
  <si>
    <t>Elders Limited Ordinary</t>
  </si>
  <si>
    <t>ELS</t>
  </si>
  <si>
    <t>Elsight Limited Ordinary</t>
  </si>
  <si>
    <t>ELT</t>
  </si>
  <si>
    <t>Elementos Limited Ordinary</t>
  </si>
  <si>
    <t>ELV</t>
  </si>
  <si>
    <t>Elevra Lithium Limited Ordinary</t>
  </si>
  <si>
    <t>EM2</t>
  </si>
  <si>
    <t>Eagle Mountain Mining Limited Ordinary</t>
  </si>
  <si>
    <t>EM3</t>
  </si>
  <si>
    <t>EMC Gold Corporation CDI 1:1</t>
  </si>
  <si>
    <t>EMA</t>
  </si>
  <si>
    <t>Eminence Minerals Limited Ordinary</t>
  </si>
  <si>
    <t>EMB</t>
  </si>
  <si>
    <t>Embelton Limited Ordinary</t>
  </si>
  <si>
    <t>EMC</t>
  </si>
  <si>
    <t>Everest Metals Corporation Ltd Ordinary</t>
  </si>
  <si>
    <t>EMD</t>
  </si>
  <si>
    <t>Emyria Limited Ordinary</t>
  </si>
  <si>
    <t>EME</t>
  </si>
  <si>
    <t>Energy Metals Ltd Ordinary</t>
  </si>
  <si>
    <t>EMH</t>
  </si>
  <si>
    <t>European Metals Holdings Limited Ordinary</t>
  </si>
  <si>
    <t>EMKT</t>
  </si>
  <si>
    <t>Vaneck MSCI Multifactor EM Markets Equity ETF</t>
  </si>
  <si>
    <t>EML</t>
  </si>
  <si>
    <t>EML Payments Limited Ordinary</t>
  </si>
  <si>
    <t>EMN</t>
  </si>
  <si>
    <t>Euro Manganese Inc CDI 1:1</t>
  </si>
  <si>
    <t>EMP</t>
  </si>
  <si>
    <t>Emperor Energy Limited Ordinary</t>
  </si>
  <si>
    <t>EMR</t>
  </si>
  <si>
    <t>Emerald Resources NL Ordinary</t>
  </si>
  <si>
    <t>EMS</t>
  </si>
  <si>
    <t>Eastern Metals Limited Ordinary</t>
  </si>
  <si>
    <t>EMT</t>
  </si>
  <si>
    <t>Emetals Limited Ordinary</t>
  </si>
  <si>
    <t>EMU</t>
  </si>
  <si>
    <t>Emu NL Ordinary</t>
  </si>
  <si>
    <t>EMV</t>
  </si>
  <si>
    <t>Emvision Medical Devices Ltd Ordinary</t>
  </si>
  <si>
    <t>EMXC</t>
  </si>
  <si>
    <t>iShares MSCI Emerging Markets EX China ETF</t>
  </si>
  <si>
    <t>ENL</t>
  </si>
  <si>
    <t>Enlitic Inc. CDI 1:1 US Prohibited</t>
  </si>
  <si>
    <t>ENN</t>
  </si>
  <si>
    <t>Elanor Investors Group Ordinary/Units Stapled Securities</t>
  </si>
  <si>
    <t>Hotels, Motels &amp; Cruise Lines</t>
  </si>
  <si>
    <t>ENP</t>
  </si>
  <si>
    <t>Entropy Neurodynamics Limited Ordinary</t>
  </si>
  <si>
    <t>ENR</t>
  </si>
  <si>
    <t>Encounter Resources Limited Ordinary</t>
  </si>
  <si>
    <t>ENT</t>
  </si>
  <si>
    <t>Enterprise Metals Limited Ordinary</t>
  </si>
  <si>
    <t>ENV</t>
  </si>
  <si>
    <t>Enova Mining Limited Ordinary</t>
  </si>
  <si>
    <t>ENX</t>
  </si>
  <si>
    <t>Enegex Limited Ordinary</t>
  </si>
  <si>
    <t>EOL</t>
  </si>
  <si>
    <t>Energy One Limited Ordinary</t>
  </si>
  <si>
    <t>EOS</t>
  </si>
  <si>
    <t>Electro Optic Systems Holdings Limited Ordinary</t>
  </si>
  <si>
    <t>EPI</t>
  </si>
  <si>
    <t>Epiminder Limited Ordinary</t>
  </si>
  <si>
    <t>EPM</t>
  </si>
  <si>
    <t>Eclipse Metals Limited Ordinary</t>
  </si>
  <si>
    <t>EPN</t>
  </si>
  <si>
    <t>Epsilon Healthcare Limited Ordinary</t>
  </si>
  <si>
    <t>EPX</t>
  </si>
  <si>
    <t>EPX Limited Ordinary</t>
  </si>
  <si>
    <t>EPY</t>
  </si>
  <si>
    <t>Earlypay Ltd Ordinary</t>
  </si>
  <si>
    <t>EQIN</t>
  </si>
  <si>
    <t>Investors Mutual Equity Income Fund - Complex ETF</t>
  </si>
  <si>
    <t>EQR</t>
  </si>
  <si>
    <t>EQ Resources Limited Ordinary</t>
  </si>
  <si>
    <t>EQT</t>
  </si>
  <si>
    <t>EQT Holdings Limited Ordinary</t>
  </si>
  <si>
    <t>EQU</t>
  </si>
  <si>
    <t>Equus Energy Limited Ordinary</t>
  </si>
  <si>
    <t>EQX</t>
  </si>
  <si>
    <t>Equatorial Resources Limited Ordinary</t>
  </si>
  <si>
    <t>ERA</t>
  </si>
  <si>
    <t>Energy Resources of Australia Limited Ordinary 'A'</t>
  </si>
  <si>
    <t>ERD</t>
  </si>
  <si>
    <t>Eroad Limited Ordinary Foreign Exempt NZX</t>
  </si>
  <si>
    <t>ERE</t>
  </si>
  <si>
    <t>European Resources Limited Ordinary Fully Paid</t>
  </si>
  <si>
    <t>ERG</t>
  </si>
  <si>
    <t>Eneco Refresh Ltd Ordinary</t>
  </si>
  <si>
    <t>Non-Alcoholic Beverages</t>
  </si>
  <si>
    <t>ERL</t>
  </si>
  <si>
    <t>Empire Resources Limited Ordinary</t>
  </si>
  <si>
    <t>ERM</t>
  </si>
  <si>
    <t>Emmerson Resources Limited Ordinary</t>
  </si>
  <si>
    <t>ERTH</t>
  </si>
  <si>
    <t>BetaShares Climate Change Innovation ETF</t>
  </si>
  <si>
    <t>ESGI</t>
  </si>
  <si>
    <t>Vaneck MSCI International Sustainable Equity ETF</t>
  </si>
  <si>
    <t>ESK</t>
  </si>
  <si>
    <t>Etherstack PLC CDI 1:1</t>
  </si>
  <si>
    <t>ESPO</t>
  </si>
  <si>
    <t>Vaneck Video Gaming and Esports ETF</t>
  </si>
  <si>
    <t>ESR</t>
  </si>
  <si>
    <t>Estrella Resources Limited Ordinary</t>
  </si>
  <si>
    <t>ESTX</t>
  </si>
  <si>
    <t>Global X Euro Stoxx 50 ETF</t>
  </si>
  <si>
    <t>ETHI</t>
  </si>
  <si>
    <t>BetaShares Global Sustainability Leaders ETF</t>
  </si>
  <si>
    <t>ETM</t>
  </si>
  <si>
    <t>Energy Transition Minerals Ltd Ordinary</t>
  </si>
  <si>
    <t>ETPMAG</t>
  </si>
  <si>
    <t>Global X Physical Silver</t>
  </si>
  <si>
    <t>Commodities (Exchange Traded Product)</t>
  </si>
  <si>
    <t>ETPMPD</t>
  </si>
  <si>
    <t>Global X Physical Palladium</t>
  </si>
  <si>
    <t>ETPMPM</t>
  </si>
  <si>
    <t>Global X Physical Precious Metal Basket</t>
  </si>
  <si>
    <t>ETPMPT</t>
  </si>
  <si>
    <t>Global X Physical Platinum</t>
  </si>
  <si>
    <t>EUR</t>
  </si>
  <si>
    <t>European Lithium Limited Ordinary</t>
  </si>
  <si>
    <t>EV1</t>
  </si>
  <si>
    <t>Evolution Energy Minerals Limited Ordinary</t>
  </si>
  <si>
    <t>EV8</t>
  </si>
  <si>
    <t>Everlast Minerals Ltd. Ordinary</t>
  </si>
  <si>
    <t>EVE</t>
  </si>
  <si>
    <t>EVE Health Group Limited Ordinary</t>
  </si>
  <si>
    <t>EVG</t>
  </si>
  <si>
    <t>Evion Group NL Ordinary</t>
  </si>
  <si>
    <t>EVN</t>
  </si>
  <si>
    <t>Evolution Mining Limited Ordinary</t>
  </si>
  <si>
    <t>EVO</t>
  </si>
  <si>
    <t>Embark Early Education Limited Ordinary</t>
  </si>
  <si>
    <t>EVR</t>
  </si>
  <si>
    <t>EV Resources Ltd Ordinary</t>
  </si>
  <si>
    <t>EVT</t>
  </si>
  <si>
    <t>EVT Limited Ordinary</t>
  </si>
  <si>
    <t>EVZ</t>
  </si>
  <si>
    <t>EVZ Limited Ordinary</t>
  </si>
  <si>
    <t>EWC</t>
  </si>
  <si>
    <t>Energy World Corporation Ltd Ordinary</t>
  </si>
  <si>
    <t>EX20</t>
  </si>
  <si>
    <t>BetaShares Australian Ex-20 Portfolio Diversifier ETF</t>
  </si>
  <si>
    <t>EXL</t>
  </si>
  <si>
    <t>Elixinol Wellness Limited Ordinary</t>
  </si>
  <si>
    <t>EXP</t>
  </si>
  <si>
    <t>Experience Co Limited Ordinary</t>
  </si>
  <si>
    <t>EXR</t>
  </si>
  <si>
    <t>Elixir Energy Limited Ordinary</t>
  </si>
  <si>
    <t>EXT</t>
  </si>
  <si>
    <t>Excite Technology Services Ltd Ordinary</t>
  </si>
  <si>
    <t>EXUS</t>
  </si>
  <si>
    <t>BetaShares Global Shares EX US ETF</t>
  </si>
  <si>
    <t>EYE</t>
  </si>
  <si>
    <t>Nova Eye Medical Limited Ordinary</t>
  </si>
  <si>
    <t>EZL</t>
  </si>
  <si>
    <t>Euroz Hartleys Group Limited Ordinary</t>
  </si>
  <si>
    <t>EZZ</t>
  </si>
  <si>
    <t>EZZ Life Science Holdings Limited Ordinary</t>
  </si>
  <si>
    <t>F100</t>
  </si>
  <si>
    <t>BetaShares FTSE 100 ETF</t>
  </si>
  <si>
    <t>FAIR</t>
  </si>
  <si>
    <t>BetaShares Australian Sustainability Leaders ETF</t>
  </si>
  <si>
    <t>FAL</t>
  </si>
  <si>
    <t>Falcon Metals Ltd Ordinary</t>
  </si>
  <si>
    <t>FANG</t>
  </si>
  <si>
    <t>Global X Fang+ ETF</t>
  </si>
  <si>
    <t>FAR</t>
  </si>
  <si>
    <t>Far Limited Ordinary</t>
  </si>
  <si>
    <t>FASI</t>
  </si>
  <si>
    <t>Fidelity Asia Active ETF</t>
  </si>
  <si>
    <t>FAU</t>
  </si>
  <si>
    <t>First AU Limited Ordinary</t>
  </si>
  <si>
    <t>FBR</t>
  </si>
  <si>
    <t>FBR Ltd Ordinary</t>
  </si>
  <si>
    <t>FBU</t>
  </si>
  <si>
    <t>Fletcher Building Limited Ordinary Foreign Exempt NZX</t>
  </si>
  <si>
    <t>Construction Supplies &amp; Fixtures</t>
  </si>
  <si>
    <t>FCAP</t>
  </si>
  <si>
    <t>Fidelity Global Future Leaders Active ETF</t>
  </si>
  <si>
    <t>FCG</t>
  </si>
  <si>
    <t>Freedom Care Group Holdings Limited Ordinary</t>
  </si>
  <si>
    <t>FCL</t>
  </si>
  <si>
    <t>Fineos Corporation Holdings PLC CDI 1:1</t>
  </si>
  <si>
    <t>FCT</t>
  </si>
  <si>
    <t>Firstwave Cloud Technology Limited Ordinary</t>
  </si>
  <si>
    <t>FDR</t>
  </si>
  <si>
    <t>Finder Energy Holdings Limited Ordinary</t>
  </si>
  <si>
    <t>FDV</t>
  </si>
  <si>
    <t>Frontier Digital Ventures Limited Ordinary</t>
  </si>
  <si>
    <t>FEG</t>
  </si>
  <si>
    <t>Far East Gold Ltd Ordinary</t>
  </si>
  <si>
    <t>FEMX</t>
  </si>
  <si>
    <t>Fidelity Global Emerging Markets Active ETF</t>
  </si>
  <si>
    <t>FEX</t>
  </si>
  <si>
    <t>Fenix Resources Ltd Ordinary</t>
  </si>
  <si>
    <t>FFG</t>
  </si>
  <si>
    <t>Fatfish Group Limited Ordinary</t>
  </si>
  <si>
    <t>FFI</t>
  </si>
  <si>
    <t>FFI Holdings Limited Ordinary</t>
  </si>
  <si>
    <t>FFM</t>
  </si>
  <si>
    <t>Firefly Metals Ltd Ordinary</t>
  </si>
  <si>
    <t>FG1</t>
  </si>
  <si>
    <t>Flynn Gold Limited Ordinary</t>
  </si>
  <si>
    <t>FGG</t>
  </si>
  <si>
    <t>Future Generation Global Limited Ordinary</t>
  </si>
  <si>
    <t>FGH</t>
  </si>
  <si>
    <t>Foresta Group Holdings Limited Ordinary</t>
  </si>
  <si>
    <t>Diversified Chemicals</t>
  </si>
  <si>
    <t>FGR</t>
  </si>
  <si>
    <t>First Graphene Limited Ordinary</t>
  </si>
  <si>
    <t>FGX</t>
  </si>
  <si>
    <t>Future Generation Australia Limited Ordinary</t>
  </si>
  <si>
    <t>FHCO</t>
  </si>
  <si>
    <t>Fidelity Australian High Conviction Active ETF</t>
  </si>
  <si>
    <t>FHE</t>
  </si>
  <si>
    <t>Frontier Energy Limited Ordinary</t>
  </si>
  <si>
    <t>FHNG</t>
  </si>
  <si>
    <t>Global X Fang+ (Currency Hedged) ETF</t>
  </si>
  <si>
    <t>FHS</t>
  </si>
  <si>
    <t>Freehill Mining Limited Ordinary</t>
  </si>
  <si>
    <t>FID</t>
  </si>
  <si>
    <t>Fiducian Group Limited Ordinary</t>
  </si>
  <si>
    <t>FIIN</t>
  </si>
  <si>
    <t>Fidelity India Active ETF</t>
  </si>
  <si>
    <t>FIN</t>
  </si>
  <si>
    <t>Fin Resources Limited Ordinary</t>
  </si>
  <si>
    <t>FL1</t>
  </si>
  <si>
    <t>First Lithium Limited Ordinary</t>
  </si>
  <si>
    <t>FLC</t>
  </si>
  <si>
    <t>Fluence Corporation Limited Ordinary</t>
  </si>
  <si>
    <t>FLG</t>
  </si>
  <si>
    <t>Flagship Minerals Limited Ordinary</t>
  </si>
  <si>
    <t>FLN</t>
  </si>
  <si>
    <t>Freelancer Limited Ordinary</t>
  </si>
  <si>
    <t>FLOT</t>
  </si>
  <si>
    <t>Vaneck Australian Floating Rate ETF</t>
  </si>
  <si>
    <t>FLT</t>
  </si>
  <si>
    <t>Flight Centre Travel Group Limited Ordinary</t>
  </si>
  <si>
    <t>FLX</t>
  </si>
  <si>
    <t>Felix Group Holdings Ltd Ordinary</t>
  </si>
  <si>
    <t>FME</t>
  </si>
  <si>
    <t>Future Metals NL Ordinary</t>
  </si>
  <si>
    <t>FMG</t>
  </si>
  <si>
    <t>Fortescue Ltd Ordinary</t>
  </si>
  <si>
    <t>FML</t>
  </si>
  <si>
    <t>Focus Minerals Ltd Ordinary</t>
  </si>
  <si>
    <t>FMR</t>
  </si>
  <si>
    <t>FMR Resources Limited Ordinary</t>
  </si>
  <si>
    <t>FND</t>
  </si>
  <si>
    <t>Findi Limited Ordinary</t>
  </si>
  <si>
    <t>FNR</t>
  </si>
  <si>
    <t>Far Northern Resources Limited Ordinary</t>
  </si>
  <si>
    <t>FNX</t>
  </si>
  <si>
    <t>Finexia Financial Group Limited Ordinary</t>
  </si>
  <si>
    <t>FOOD</t>
  </si>
  <si>
    <t>BetaShares GLB Agriculture Comp Currency Hdgd ETF</t>
  </si>
  <si>
    <t>FOS</t>
  </si>
  <si>
    <t>FOS Capital Ltd Ordinary</t>
  </si>
  <si>
    <t>FPC</t>
  </si>
  <si>
    <t>Fat Prophets Global Contrarian Fund Ltd Ordinary</t>
  </si>
  <si>
    <t>FPH</t>
  </si>
  <si>
    <t>Fisher &amp; Paykel Healthcare Corporation Limited Ordinary Foreign Exempt NZX</t>
  </si>
  <si>
    <t>FPR</t>
  </si>
  <si>
    <t>Fleetpartners Group Limited Ordinary</t>
  </si>
  <si>
    <t>FRAR</t>
  </si>
  <si>
    <t>Franklin AUS Absolute Return BND Fund - Active ETF</t>
  </si>
  <si>
    <t>FRB</t>
  </si>
  <si>
    <t>Firebird Metals Limited Ordinary</t>
  </si>
  <si>
    <t>FRE</t>
  </si>
  <si>
    <t>Firebrick Pharma Limited Ordinary</t>
  </si>
  <si>
    <t>FRGG</t>
  </si>
  <si>
    <t>Franklin Global Growth Fund - Active ETF</t>
  </si>
  <si>
    <t>FRI</t>
  </si>
  <si>
    <t>Finbar Group Limited Ordinary</t>
  </si>
  <si>
    <t>Homebuilding</t>
  </si>
  <si>
    <t>FRM</t>
  </si>
  <si>
    <t>Farm Pride Foods Limited Ordinary</t>
  </si>
  <si>
    <t>FRS</t>
  </si>
  <si>
    <t>Forrestania Resources Limited Ordinary</t>
  </si>
  <si>
    <t>FRW</t>
  </si>
  <si>
    <t>Freightways Group Limited Ordinary Foreign Exempt NZX</t>
  </si>
  <si>
    <t>Industrials (Logistics/Courier)</t>
  </si>
  <si>
    <t>FRX</t>
  </si>
  <si>
    <t>Flexiroam Limited Ordinary</t>
  </si>
  <si>
    <t>FSA</t>
  </si>
  <si>
    <t>FSA Group Limited Ordinary</t>
  </si>
  <si>
    <t>FSI</t>
  </si>
  <si>
    <t>Flagship Investments Limited Ordinary</t>
  </si>
  <si>
    <t>FSML</t>
  </si>
  <si>
    <t>Firetrail Aust Small Companies Fund - Active ETF</t>
  </si>
  <si>
    <t>FSUB</t>
  </si>
  <si>
    <t>Vaneck Australian Fixed Rate Subordinated Debt ETF</t>
  </si>
  <si>
    <t>FTI</t>
  </si>
  <si>
    <t>Fortifai Ltd Ordinary</t>
  </si>
  <si>
    <t>FUEL</t>
  </si>
  <si>
    <t>BetaShares Global Energy Comp Currency Hedged ETF</t>
  </si>
  <si>
    <t>FUL</t>
  </si>
  <si>
    <t>Fulcrum Lithium Ltd Ordinary</t>
  </si>
  <si>
    <t>FUN</t>
  </si>
  <si>
    <t>Fortuna Metals Ltd Ordinary</t>
  </si>
  <si>
    <t>FUTR</t>
  </si>
  <si>
    <t>Janus Henderson Global Sustainable EQ Active ETF</t>
  </si>
  <si>
    <t>FWD</t>
  </si>
  <si>
    <t>Fleetwood Limited Ordinary</t>
  </si>
  <si>
    <t>FXG</t>
  </si>
  <si>
    <t>Felix Gold Limited Ordinary</t>
  </si>
  <si>
    <t>FZR</t>
  </si>
  <si>
    <t>Fitzroy River Corporation Ltd Ordinary</t>
  </si>
  <si>
    <t>G11</t>
  </si>
  <si>
    <t>G11 Resources Limited Ordinary</t>
  </si>
  <si>
    <t>G1C</t>
  </si>
  <si>
    <t>Group One Capital Limited Ordinary</t>
  </si>
  <si>
    <t>G200</t>
  </si>
  <si>
    <t>BetaShares Wealthbuilder Aus200 Geared Complex ETF</t>
  </si>
  <si>
    <t>G50</t>
  </si>
  <si>
    <t>G50 Corp Limited Ordinary</t>
  </si>
  <si>
    <t>G6M</t>
  </si>
  <si>
    <t>Group 6 Metals Limited Ordinary</t>
  </si>
  <si>
    <t>G88</t>
  </si>
  <si>
    <t>Golden Mile Resources Ltd Ordinary</t>
  </si>
  <si>
    <t>GA8</t>
  </si>
  <si>
    <t>Goldarc Resources Limited Ordinary</t>
  </si>
  <si>
    <t>GAL</t>
  </si>
  <si>
    <t>Galileo Mining Ltd Ordinary</t>
  </si>
  <si>
    <t>GAME</t>
  </si>
  <si>
    <t>BetaShares Video Games and Esports ETF</t>
  </si>
  <si>
    <t>GAP</t>
  </si>
  <si>
    <t>Gale Pacific Limited Ordinary</t>
  </si>
  <si>
    <t>Home Furnishings</t>
  </si>
  <si>
    <t>GARP</t>
  </si>
  <si>
    <t>Global X S&amp;P World EX Australia Garp ETF</t>
  </si>
  <si>
    <t>GAS</t>
  </si>
  <si>
    <t>State Gas Limited Ordinary</t>
  </si>
  <si>
    <t>Oil &amp; Gas Transportation Services</t>
  </si>
  <si>
    <t>GBE</t>
  </si>
  <si>
    <t>Globe Metals &amp; Mining Limited Ordinary</t>
  </si>
  <si>
    <t>GBM</t>
  </si>
  <si>
    <t>GBM Resources Limited Ordinary</t>
  </si>
  <si>
    <t>GBND</t>
  </si>
  <si>
    <t>BetaShares Global Green Bond Currency Hedged ETF</t>
  </si>
  <si>
    <t>GBR</t>
  </si>
  <si>
    <t>Great Boulder Resources Limited Ordinary</t>
  </si>
  <si>
    <t>GC1</t>
  </si>
  <si>
    <t>Glennon Small Companies Limited Ordinary</t>
  </si>
  <si>
    <t>GCAP</t>
  </si>
  <si>
    <t>Vaneck Bentham Global Capital Securities Active ETF</t>
  </si>
  <si>
    <t>GCI</t>
  </si>
  <si>
    <t>Gryphon Capital Income Trust Ordinary Units</t>
  </si>
  <si>
    <t>Closed End Funds</t>
  </si>
  <si>
    <t>GCM</t>
  </si>
  <si>
    <t>GCM Corporation Limited Ordinary</t>
  </si>
  <si>
    <t>GCQF</t>
  </si>
  <si>
    <t>GCQ Global Equities Complex ETF</t>
  </si>
  <si>
    <t>GCR</t>
  </si>
  <si>
    <t>Golden Cross Resources Ltd Ordinary</t>
  </si>
  <si>
    <t>GDF</t>
  </si>
  <si>
    <t>Garda Property Group Ordinary/Units Stapled Securities</t>
  </si>
  <si>
    <t>GDG</t>
  </si>
  <si>
    <t>Generation Development Group Limited Ordinary</t>
  </si>
  <si>
    <t>Insurance Funds</t>
  </si>
  <si>
    <t>GDI</t>
  </si>
  <si>
    <t>GDI Property Group Ordinary/Units Stapled Securities</t>
  </si>
  <si>
    <t>GDM</t>
  </si>
  <si>
    <t>Great Divide Mining Ltd Ordinary</t>
  </si>
  <si>
    <t>GDR</t>
  </si>
  <si>
    <t>Golden Dragon Mining Ltd Ordinary</t>
  </si>
  <si>
    <t>GDX</t>
  </si>
  <si>
    <t>Vaneck Gold Miners ETF</t>
  </si>
  <si>
    <t>GEAR</t>
  </si>
  <si>
    <t>BetaShares Geared Australian Equities Complex ETF</t>
  </si>
  <si>
    <t>GED</t>
  </si>
  <si>
    <t>Golden Deeps Limited Ordinary</t>
  </si>
  <si>
    <t>GEM</t>
  </si>
  <si>
    <t>G8 Education Limited Ordinary</t>
  </si>
  <si>
    <t>GEN</t>
  </si>
  <si>
    <t>Genmin Limited Ordinary</t>
  </si>
  <si>
    <t>GES</t>
  </si>
  <si>
    <t>Genesis Resources Limited Ordinary</t>
  </si>
  <si>
    <t>GFL</t>
  </si>
  <si>
    <t>Global Masters Fund Limited Ordinary</t>
  </si>
  <si>
    <t>GG1</t>
  </si>
  <si>
    <t>Green &amp; Gold Minerals Limited Ordinary</t>
  </si>
  <si>
    <t>Materials (Exploration)</t>
  </si>
  <si>
    <t>GG8</t>
  </si>
  <si>
    <t>Gorilla Gold Mines Ltd Ordinary</t>
  </si>
  <si>
    <t>GGAB</t>
  </si>
  <si>
    <t>BetaShares Geared Long AUS GOV Bond Complex ETF</t>
  </si>
  <si>
    <t>GGBL</t>
  </si>
  <si>
    <t>BetaShares Wealthbuilder Global Geared Complex ETF</t>
  </si>
  <si>
    <t>GGE</t>
  </si>
  <si>
    <t>Grand Gulf Energy Limited Ordinary</t>
  </si>
  <si>
    <t>GGFD</t>
  </si>
  <si>
    <t>BetaShares Geared Long US TR Bond CH Complex ETF</t>
  </si>
  <si>
    <t>GGP</t>
  </si>
  <si>
    <t>Greatland Resources Limited Ordinary</t>
  </si>
  <si>
    <t>GGR</t>
  </si>
  <si>
    <t>Golden Globe Resources Ltd. Ordinary</t>
  </si>
  <si>
    <t>GGUS</t>
  </si>
  <si>
    <t>BetaShares Geared US Eqty CCY Hedged Complex ETF</t>
  </si>
  <si>
    <t>GHHF</t>
  </si>
  <si>
    <t>BetaShares Wealthbuilder ALL GR Geared Complex ETF</t>
  </si>
  <si>
    <t>GHIF</t>
  </si>
  <si>
    <t>Ausbil Global Essential Infra Fund (HDG) - Active ETF</t>
  </si>
  <si>
    <t>GHLD</t>
  </si>
  <si>
    <t>Global X Gold Bullion (Currency Hedged) ETF</t>
  </si>
  <si>
    <t>GHM</t>
  </si>
  <si>
    <t>Golden Horse Minerals Limited CDI 1:1</t>
  </si>
  <si>
    <t>GHY</t>
  </si>
  <si>
    <t>Gold Hydrogen Limited Ordinary</t>
  </si>
  <si>
    <t>Renewable Fuels</t>
  </si>
  <si>
    <t>GIB</t>
  </si>
  <si>
    <t>Gibb River Diamonds Limited Ordinary</t>
  </si>
  <si>
    <t>GIVE</t>
  </si>
  <si>
    <t>Perpetual ESG Australian Share Active ETF</t>
  </si>
  <si>
    <t>GL1</t>
  </si>
  <si>
    <t>Global Lithium Resources Limited Ordinary</t>
  </si>
  <si>
    <t>GLB</t>
  </si>
  <si>
    <t>Globe International Limited Ordinary</t>
  </si>
  <si>
    <t>GLDN</t>
  </si>
  <si>
    <t>iShares Physical Gold ETF</t>
  </si>
  <si>
    <t>GLE</t>
  </si>
  <si>
    <t>GLG Corp Ltd Ordinary</t>
  </si>
  <si>
    <t>GLF</t>
  </si>
  <si>
    <t>Gemlife Communities Group Ordinary/Units Stapled Securities</t>
  </si>
  <si>
    <t>GLH</t>
  </si>
  <si>
    <t>Global Health Limited Ordinary</t>
  </si>
  <si>
    <t>GLIN</t>
  </si>
  <si>
    <t>iShares FTSE Global Infrastructure (AUD Hedged) ETF</t>
  </si>
  <si>
    <t>GLL</t>
  </si>
  <si>
    <t>Galilee Energy Limited Ordinary</t>
  </si>
  <si>
    <t>GLN</t>
  </si>
  <si>
    <t>Galan Lithium Limited Ordinary</t>
  </si>
  <si>
    <t>GLOB</t>
  </si>
  <si>
    <t>Barrow Hanley Global Share Active ETF</t>
  </si>
  <si>
    <t>GLPR</t>
  </si>
  <si>
    <t>iShares FTSE Global Property EX AUS (AUD Hedged) ETF</t>
  </si>
  <si>
    <t>GLS</t>
  </si>
  <si>
    <t>L1 Global Long Short Fund Limited Ordinary</t>
  </si>
  <si>
    <t>GMD</t>
  </si>
  <si>
    <t>Genesis Minerals Limited Ordinary</t>
  </si>
  <si>
    <t>GMG</t>
  </si>
  <si>
    <t>Goodman Group Ordinary/Units Stapled Securities</t>
  </si>
  <si>
    <t>GML</t>
  </si>
  <si>
    <t>Gateway Mining Limited Ordinary</t>
  </si>
  <si>
    <t>GMN</t>
  </si>
  <si>
    <t>Gold Mountain Limited Ordinary</t>
  </si>
  <si>
    <t>GMTL</t>
  </si>
  <si>
    <t>Global X Green Metal Miners ETF</t>
  </si>
  <si>
    <t>GMVW</t>
  </si>
  <si>
    <t>Vaneck Geared Australian Equal Weight Complex ETF</t>
  </si>
  <si>
    <t>GNC</t>
  </si>
  <si>
    <t>Graincorp Limited Ordinary Class A</t>
  </si>
  <si>
    <t>GNDQ</t>
  </si>
  <si>
    <t>BetaShares Wealthbuilder NASDAQ Geared Complex ETF</t>
  </si>
  <si>
    <t>GNE</t>
  </si>
  <si>
    <t>Genesis Energy Limited Ordinary Foreign Exempt NZX</t>
  </si>
  <si>
    <t>GNG</t>
  </si>
  <si>
    <t>GR Engineering Services Limited Ordinary</t>
  </si>
  <si>
    <t>GNM</t>
  </si>
  <si>
    <t>Great Northern Minerals Limited Ordinary</t>
  </si>
  <si>
    <t>GNP</t>
  </si>
  <si>
    <t>Genusplus Group Ltd Ordinary</t>
  </si>
  <si>
    <t>GOAT</t>
  </si>
  <si>
    <t>Vaneck Morningstar International Wide Moat ETF</t>
  </si>
  <si>
    <t>GOOD</t>
  </si>
  <si>
    <t>Janus Henderson Sustainable Credit Active ETF</t>
  </si>
  <si>
    <t>GOVT</t>
  </si>
  <si>
    <t>State Street SPDR S&amp;P/ASX iBoxx AUS Government Bond ETF</t>
  </si>
  <si>
    <t>GOW</t>
  </si>
  <si>
    <t>Gowing Bros Limited Ordinary</t>
  </si>
  <si>
    <t>GOZ</t>
  </si>
  <si>
    <t>Growthpoint Properties Australia Ordinary/Units Stapled Securities</t>
  </si>
  <si>
    <t>GPEQ</t>
  </si>
  <si>
    <t>Vaneck Global Listed Private Equity ETF</t>
  </si>
  <si>
    <t>GPR</t>
  </si>
  <si>
    <t>Geopacific Resources Ltd Ordinary</t>
  </si>
  <si>
    <t>GPT</t>
  </si>
  <si>
    <t>GPT Group Ordinary/Units Stapled Securities</t>
  </si>
  <si>
    <t>Diversified REITs</t>
  </si>
  <si>
    <t>GQG</t>
  </si>
  <si>
    <t>GQG Partners Inc. CDI 1:1 US Person Prohibited Excluding QIB</t>
  </si>
  <si>
    <t>GR8</t>
  </si>
  <si>
    <t>Great Dirt Resources Ltd Ordinary</t>
  </si>
  <si>
    <t>GRE</t>
  </si>
  <si>
    <t>Greentech Metals Limited Ordinary</t>
  </si>
  <si>
    <t>GRIN</t>
  </si>
  <si>
    <t>Vaneck India Growth Leaders ETF</t>
  </si>
  <si>
    <t>GRL</t>
  </si>
  <si>
    <t>Godolphin Resources Limited Ordinary</t>
  </si>
  <si>
    <t>GRNV</t>
  </si>
  <si>
    <t>Vaneck MSCI Australian Sustainable Equity ETF</t>
  </si>
  <si>
    <t>GROW</t>
  </si>
  <si>
    <t>Schroder Real Return Active ETF</t>
  </si>
  <si>
    <t>GRPA</t>
  </si>
  <si>
    <t>Global X S&amp;P Australia Garp ETF</t>
  </si>
  <si>
    <t>GRR</t>
  </si>
  <si>
    <t>Grange Resources Limited Ordinary</t>
  </si>
  <si>
    <t>GRV</t>
  </si>
  <si>
    <t>Greenvale Energy Ltd Ordinary</t>
  </si>
  <si>
    <t>GRX</t>
  </si>
  <si>
    <t>Greenx Metals Limited Ordinary</t>
  </si>
  <si>
    <t>GSCF</t>
  </si>
  <si>
    <t>Ausbil Global Smallcap Fund - Active ETF</t>
  </si>
  <si>
    <t>GSM</t>
  </si>
  <si>
    <t>Golden State Mining Limited Ordinary</t>
  </si>
  <si>
    <t>GSN</t>
  </si>
  <si>
    <t>Great Southern Mining Limited Ordinary</t>
  </si>
  <si>
    <t>GSS</t>
  </si>
  <si>
    <t>Genetic Signatures Limited Ordinary</t>
  </si>
  <si>
    <t>GSUS</t>
  </si>
  <si>
    <t>Candriam Sustainable Global Equity Fund - Active ETF</t>
  </si>
  <si>
    <t>GT1</t>
  </si>
  <si>
    <t>Green Technology Metals Limited Ordinary</t>
  </si>
  <si>
    <t>GT3</t>
  </si>
  <si>
    <t>Green360 Technologies Limited Ordinary</t>
  </si>
  <si>
    <t>GTE</t>
  </si>
  <si>
    <t>Great Western Exploration Limited Ordinary</t>
  </si>
  <si>
    <t>GTG</t>
  </si>
  <si>
    <t>Genetic Technologies Limited Ordinary</t>
  </si>
  <si>
    <t>GTH</t>
  </si>
  <si>
    <t>Gathid Ltd Ordinary</t>
  </si>
  <si>
    <t>GTI</t>
  </si>
  <si>
    <t>Gratifii Limited Ordinary</t>
  </si>
  <si>
    <t>GTK</t>
  </si>
  <si>
    <t>Gentrack Group Limited Ordinary Foreign Exempt NZX</t>
  </si>
  <si>
    <t>GTN</t>
  </si>
  <si>
    <t>GTN Limited Ordinary</t>
  </si>
  <si>
    <t>GUE</t>
  </si>
  <si>
    <t>Global Uranium and Enrichment Ltd Ordinary</t>
  </si>
  <si>
    <t>GUL</t>
  </si>
  <si>
    <t>Gullewa Limited Ordinary</t>
  </si>
  <si>
    <t>GUM</t>
  </si>
  <si>
    <t>Gumtree Australia Markets Limited Ordinary</t>
  </si>
  <si>
    <t>GVF</t>
  </si>
  <si>
    <t>Staude Capital Global Value Fund Limited Ordinary</t>
  </si>
  <si>
    <t>GW1</t>
  </si>
  <si>
    <t>Greenwing Resources Ltd Ordinary</t>
  </si>
  <si>
    <t>GWA</t>
  </si>
  <si>
    <t>GWA Group Limited Ordinary</t>
  </si>
  <si>
    <t>GWR</t>
  </si>
  <si>
    <t>GWR Group Limited Ordinary</t>
  </si>
  <si>
    <t>GWTH</t>
  </si>
  <si>
    <t>Vaneck MSCI International Growth ETF</t>
  </si>
  <si>
    <t>GXAI</t>
  </si>
  <si>
    <t>Global X Artificial Intelligence ETF</t>
  </si>
  <si>
    <t>GXLD</t>
  </si>
  <si>
    <t>Global X Gold Bullion ETF</t>
  </si>
  <si>
    <t>GYG</t>
  </si>
  <si>
    <t>Guzman Y Gomez Limited Ordinary</t>
  </si>
  <si>
    <t>H100</t>
  </si>
  <si>
    <t>BetaShares FTSE 100 Currency Hedged ETF</t>
  </si>
  <si>
    <t>H2G</t>
  </si>
  <si>
    <t>Greenhy2 Limited Ordinary</t>
  </si>
  <si>
    <t>Independent Power Producers</t>
  </si>
  <si>
    <t>H3E</t>
  </si>
  <si>
    <t>H3 Energy Limited Ordinary</t>
  </si>
  <si>
    <t>HACK</t>
  </si>
  <si>
    <t>BetaShares Global Cybersecurity ETF</t>
  </si>
  <si>
    <t>HAL</t>
  </si>
  <si>
    <t>Halo Technologies Holdings Ltd Ordinary</t>
  </si>
  <si>
    <t>HAR</t>
  </si>
  <si>
    <t>Haranga Resources Limited Ordinary</t>
  </si>
  <si>
    <t>HAS</t>
  </si>
  <si>
    <t>Hastings Technology Metals Ltd Ordinary</t>
  </si>
  <si>
    <t>HAV</t>
  </si>
  <si>
    <t>Havilah Resources Limited Ordinary</t>
  </si>
  <si>
    <t>HAW</t>
  </si>
  <si>
    <t>Hawthorn Resources Limited Ordinary</t>
  </si>
  <si>
    <t>HBRD</t>
  </si>
  <si>
    <t>BetaShares Australian Hybrids Active ETF</t>
  </si>
  <si>
    <t>HCD</t>
  </si>
  <si>
    <t>Hydrocarbon Dynamics Limited Ordinary</t>
  </si>
  <si>
    <t>HCF</t>
  </si>
  <si>
    <t>H&amp;G High Conviction Limited Ordinary</t>
  </si>
  <si>
    <t>HCH</t>
  </si>
  <si>
    <t>HOT Chili Limited Ordinary</t>
  </si>
  <si>
    <t>HCL</t>
  </si>
  <si>
    <t>Highcom Limited Ordinary</t>
  </si>
  <si>
    <t>HCRD</t>
  </si>
  <si>
    <t>BetaShares Interest Rate Hedged AUS Corp Bond ETF</t>
  </si>
  <si>
    <t>HCT</t>
  </si>
  <si>
    <t>Holista Colltech Limited Ordinary</t>
  </si>
  <si>
    <t>HCW</t>
  </si>
  <si>
    <t>Healthco Healthcare and Wellness Reit Ordinary Units</t>
  </si>
  <si>
    <t>HDN</t>
  </si>
  <si>
    <t>Homeco Daily Needs Reit Ordinary Units</t>
  </si>
  <si>
    <t>HE8</t>
  </si>
  <si>
    <t>Helios Energy Ltd Ordinary</t>
  </si>
  <si>
    <t>HETH</t>
  </si>
  <si>
    <t>BetaShares Global Sustainability Leaders CH ETF</t>
  </si>
  <si>
    <t>HEUR</t>
  </si>
  <si>
    <t>BetaShares Europe Currency Hedged ETF</t>
  </si>
  <si>
    <t>HFR</t>
  </si>
  <si>
    <t>Highfield Resources Limited Ordinary</t>
  </si>
  <si>
    <t>HFY</t>
  </si>
  <si>
    <t>Hubify Limited Ordinary</t>
  </si>
  <si>
    <t>HGBL</t>
  </si>
  <si>
    <t>BetaShares Global Shares Currency Hedged ETF</t>
  </si>
  <si>
    <t>HGEN</t>
  </si>
  <si>
    <t>Global X Hydrogen ETF</t>
  </si>
  <si>
    <t>HGH</t>
  </si>
  <si>
    <t>Heartland Group Holdings Limited Ordinary Foreign Exempt NZX</t>
  </si>
  <si>
    <t>HGO</t>
  </si>
  <si>
    <t>Hillgrove Resources Limited Ordinary</t>
  </si>
  <si>
    <t>HHIF</t>
  </si>
  <si>
    <t>Hejaz High Innovation Active ETF</t>
  </si>
  <si>
    <t>HHR</t>
  </si>
  <si>
    <t>Hartshead Resources NL Ordinary</t>
  </si>
  <si>
    <t>HIO</t>
  </si>
  <si>
    <t>Hawsons Iron Ltd Ordinary</t>
  </si>
  <si>
    <t>HIQ</t>
  </si>
  <si>
    <t>Hitiq Limited Ordinary</t>
  </si>
  <si>
    <t>HIT</t>
  </si>
  <si>
    <t>Hitech Group Australia Limited Ordinary</t>
  </si>
  <si>
    <t>HJHI</t>
  </si>
  <si>
    <t>Hejaz High Income Active ETF</t>
  </si>
  <si>
    <t>HJPN</t>
  </si>
  <si>
    <t>BetaShares Japan Currency Hedged ETF</t>
  </si>
  <si>
    <t>HJZP</t>
  </si>
  <si>
    <t>Hejaz Property Fund Active ETF</t>
  </si>
  <si>
    <t>HLI</t>
  </si>
  <si>
    <t>Helia Group Limited Ordinary</t>
  </si>
  <si>
    <t>Property &amp; Casualty Insurance</t>
  </si>
  <si>
    <t>HLO</t>
  </si>
  <si>
    <t>Helloworld Travel Limited Ordinary</t>
  </si>
  <si>
    <t>HLS</t>
  </si>
  <si>
    <t>Healius Limited Ordinary</t>
  </si>
  <si>
    <t>HLTH</t>
  </si>
  <si>
    <t>Vaneck Global Healthcare Leaders ETF</t>
  </si>
  <si>
    <t>HLX</t>
  </si>
  <si>
    <t>Helix Resources Limited Ordinary</t>
  </si>
  <si>
    <t>HM1</t>
  </si>
  <si>
    <t>Hearts and Minds Investments Limited Ordinary</t>
  </si>
  <si>
    <t>HMC</t>
  </si>
  <si>
    <t>HMC Capital Limited Ordinary</t>
  </si>
  <si>
    <t>HMD</t>
  </si>
  <si>
    <t>Heramed Limited Ordinary</t>
  </si>
  <si>
    <t>HMG</t>
  </si>
  <si>
    <t>Hamelin Gold Limited Ordinary</t>
  </si>
  <si>
    <t>HMI</t>
  </si>
  <si>
    <t>Hiremii Limited Ordinary</t>
  </si>
  <si>
    <t>HMX</t>
  </si>
  <si>
    <t>Hammer Metals Limited Ordinary</t>
  </si>
  <si>
    <t>HMY</t>
  </si>
  <si>
    <t>Harmoney Corp Limited Ordinary</t>
  </si>
  <si>
    <t>HNDQ</t>
  </si>
  <si>
    <t>BetaShares Nasdaq-100 Currency Hedged ETF</t>
  </si>
  <si>
    <t>HNG</t>
  </si>
  <si>
    <t>Hancock &amp; Gore Ltd Ordinary</t>
  </si>
  <si>
    <t>HOR</t>
  </si>
  <si>
    <t>Horseshoe Metals Limited Ordinary</t>
  </si>
  <si>
    <t>HPC</t>
  </si>
  <si>
    <t>The Hydration Pharmaceuticals Company Limited Ordinary</t>
  </si>
  <si>
    <t>HPG</t>
  </si>
  <si>
    <t>Hipages Group Holdings Ltd Ordinary</t>
  </si>
  <si>
    <t>HPR</t>
  </si>
  <si>
    <t>High Peak Royalties Limited Ordinary</t>
  </si>
  <si>
    <t>HQLT</t>
  </si>
  <si>
    <t>BetaShares Global Quality Leaders Currency Hedged ETF</t>
  </si>
  <si>
    <t>HQUS</t>
  </si>
  <si>
    <t>BetaShares S&amp;P 500 Equal Weight Currency Hedged ETF</t>
  </si>
  <si>
    <t>HRE</t>
  </si>
  <si>
    <t>Heavy Rare Earths Limited Ordinary</t>
  </si>
  <si>
    <t>HRN</t>
  </si>
  <si>
    <t>Horizon Gold Limited Ordinary</t>
  </si>
  <si>
    <t>HRZ</t>
  </si>
  <si>
    <t>Horizon Minerals Limited Ordinary</t>
  </si>
  <si>
    <t>HSN</t>
  </si>
  <si>
    <t>Hansen Technologies Limited Ordinary</t>
  </si>
  <si>
    <t>HT8</t>
  </si>
  <si>
    <t>Harris Technology Group Limited Ordinary</t>
  </si>
  <si>
    <t>HTG</t>
  </si>
  <si>
    <t>Harvest Technology Group Ltd Ordinary</t>
  </si>
  <si>
    <t>HTM</t>
  </si>
  <si>
    <t>High-Tech Metals Ltd Ordinary</t>
  </si>
  <si>
    <t>HUB</t>
  </si>
  <si>
    <t>Hub24 Limited Ordinary</t>
  </si>
  <si>
    <t>HUGE</t>
  </si>
  <si>
    <t>ETFS Magnificent 7+ ETF</t>
  </si>
  <si>
    <t>HUM</t>
  </si>
  <si>
    <t>Humm Group Limited Ordinary</t>
  </si>
  <si>
    <t>HVLU</t>
  </si>
  <si>
    <t>Vaneck MSCI International Value (AUD Hedged) ETF</t>
  </si>
  <si>
    <t>HVN</t>
  </si>
  <si>
    <t>Harvey Norman Holdings Limited Ordinary</t>
  </si>
  <si>
    <t>HVST</t>
  </si>
  <si>
    <t>BetaShares Australian Dividend Harvester Active ETF</t>
  </si>
  <si>
    <t>HVY</t>
  </si>
  <si>
    <t>Heavy Minerals Limited Ordinary</t>
  </si>
  <si>
    <t>HWK</t>
  </si>
  <si>
    <t>Hawk Resources Limited Ordinary</t>
  </si>
  <si>
    <t>HXL</t>
  </si>
  <si>
    <t>Hexima Limited Ordinary</t>
  </si>
  <si>
    <t>HYD</t>
  </si>
  <si>
    <t>Hydrix Limited Ordinary</t>
  </si>
  <si>
    <t>HYGG</t>
  </si>
  <si>
    <t>Hyperion Global Growth Companies Fund - Active ETF</t>
  </si>
  <si>
    <t>HYLD</t>
  </si>
  <si>
    <t>BetaShares S&amp;P Australian Shares High Yield ETF</t>
  </si>
  <si>
    <t>HYT</t>
  </si>
  <si>
    <t>Hyterra Ltd Ordinary</t>
  </si>
  <si>
    <t>HZN</t>
  </si>
  <si>
    <t>Horizon Oil Limited Ordinary</t>
  </si>
  <si>
    <t>HZR</t>
  </si>
  <si>
    <t>Hazer Group Limited Ordinary</t>
  </si>
  <si>
    <t>I88</t>
  </si>
  <si>
    <t>Infini Resources Limited Ordinary</t>
  </si>
  <si>
    <t>IAA</t>
  </si>
  <si>
    <t>iShares Asia 50 ETF</t>
  </si>
  <si>
    <t>IACT</t>
  </si>
  <si>
    <t>iShares U.S. Factor Rotation Active ETF</t>
  </si>
  <si>
    <t>IAF</t>
  </si>
  <si>
    <t>iShares Core Composite Bond ETF</t>
  </si>
  <si>
    <t>IAG</t>
  </si>
  <si>
    <t>Insurance Australia Group Limited Ordinary</t>
  </si>
  <si>
    <t>IAM</t>
  </si>
  <si>
    <t>Income Asset Management Group Limited Ordinary</t>
  </si>
  <si>
    <t>IBAL</t>
  </si>
  <si>
    <t>iShares Balanced ESG ETF</t>
  </si>
  <si>
    <t>IBC</t>
  </si>
  <si>
    <t>Ironbark Balanced Income Limited Ordinary</t>
  </si>
  <si>
    <t>IBIT</t>
  </si>
  <si>
    <t>iShares Bitcoin ETF</t>
  </si>
  <si>
    <t>IBX</t>
  </si>
  <si>
    <t>Imagion Biosystems Limited Ordinary</t>
  </si>
  <si>
    <t>ICE</t>
  </si>
  <si>
    <t>Icetana Limited Ordinary</t>
  </si>
  <si>
    <t>ICI</t>
  </si>
  <si>
    <t>Icandy Interactive Limited Ordinary</t>
  </si>
  <si>
    <t>ICL</t>
  </si>
  <si>
    <t>Iceni Gold Limited Ordinary</t>
  </si>
  <si>
    <t>ICME</t>
  </si>
  <si>
    <t>iShares Credit Income Active ETF</t>
  </si>
  <si>
    <t>ICN</t>
  </si>
  <si>
    <t>Icon Energy Limited Ordinary</t>
  </si>
  <si>
    <t>ICOR</t>
  </si>
  <si>
    <t>iShares Core Corporate Bond ETF</t>
  </si>
  <si>
    <t>ICR</t>
  </si>
  <si>
    <t>Intelicare Holdings Limited Ordinary</t>
  </si>
  <si>
    <t>Integrated Hardware &amp; Software</t>
  </si>
  <si>
    <t>ICU</t>
  </si>
  <si>
    <t>Investor Centre Limited Ordinary</t>
  </si>
  <si>
    <t>ID8</t>
  </si>
  <si>
    <t>Identitii Limited Ordinary</t>
  </si>
  <si>
    <t>IDA</t>
  </si>
  <si>
    <t>Indiana Resources Limited Ordinary</t>
  </si>
  <si>
    <t>IDT</t>
  </si>
  <si>
    <t>IDT Australia Limited Ordinary</t>
  </si>
  <si>
    <t>IDX</t>
  </si>
  <si>
    <t>Integral Diagnostics Limited Ordinary</t>
  </si>
  <si>
    <t>IEL</t>
  </si>
  <si>
    <t>IDP Education Limited Ordinary</t>
  </si>
  <si>
    <t>IEM</t>
  </si>
  <si>
    <t>iShares MSCI Emerging Markets ETF</t>
  </si>
  <si>
    <t>IEQ</t>
  </si>
  <si>
    <t>International Equities Corporation Limited Ordinary</t>
  </si>
  <si>
    <t>IESG</t>
  </si>
  <si>
    <t>iShares Core MSCI Australia ESG ETF</t>
  </si>
  <si>
    <t>IEU</t>
  </si>
  <si>
    <t>iShares Europe ETF</t>
  </si>
  <si>
    <t>IFG</t>
  </si>
  <si>
    <t>Infocus Group Holdings Limited Ordinary</t>
  </si>
  <si>
    <t>IFL</t>
  </si>
  <si>
    <t>Insignia Financial Ltd Ordinary</t>
  </si>
  <si>
    <t>IFN</t>
  </si>
  <si>
    <t>Infragreen Group Limited Ordinary</t>
  </si>
  <si>
    <t>IFRA</t>
  </si>
  <si>
    <t>Vaneck FTSE Global Infrastructure (AUD Hedged) ETF</t>
  </si>
  <si>
    <t>IFT</t>
  </si>
  <si>
    <t>Infratil Limited Ordinary Foreign Exempt NZX</t>
  </si>
  <si>
    <t>IG6</t>
  </si>
  <si>
    <t>International Graphite Limited Ordinary</t>
  </si>
  <si>
    <t>IGB</t>
  </si>
  <si>
    <t>iShares Treasury ETF</t>
  </si>
  <si>
    <t>IGL</t>
  </si>
  <si>
    <t>IVE Group Limited Ordinary</t>
  </si>
  <si>
    <t>IGN</t>
  </si>
  <si>
    <t>Ignite Limited Ordinary</t>
  </si>
  <si>
    <t>IGO</t>
  </si>
  <si>
    <t>IGO Limited Ordinary</t>
  </si>
  <si>
    <t>IGRO</t>
  </si>
  <si>
    <t>iShares High Growth ESG ETF</t>
  </si>
  <si>
    <t>IHCB</t>
  </si>
  <si>
    <t>iShares Core Global Corporate Bond(AUD Hedged) ETF</t>
  </si>
  <si>
    <t>IHD</t>
  </si>
  <si>
    <t>iShares S&amp;P/ASX DIV Opportunities ESG Screened ETF</t>
  </si>
  <si>
    <t>IHEB</t>
  </si>
  <si>
    <t>iShares J.P. Morgan USD Emerging Markets (AUD Hedged) ETF</t>
  </si>
  <si>
    <t>IHHY</t>
  </si>
  <si>
    <t>iShares Global High Yield Bond (AUD Hedged) ETF</t>
  </si>
  <si>
    <t>IHOO</t>
  </si>
  <si>
    <t>iShares Global 100 AUD Hedged ETF</t>
  </si>
  <si>
    <t>IHVV</t>
  </si>
  <si>
    <t>iShares S&amp;P 500 AUD Hedged ETF</t>
  </si>
  <si>
    <t>IHWL</t>
  </si>
  <si>
    <t>iShares Core MSCI World EX AUS ESG (AUD HED) ETF</t>
  </si>
  <si>
    <t>IIGF</t>
  </si>
  <si>
    <t>Intelligent Investor EQ Growth Fund Active ETF</t>
  </si>
  <si>
    <t>IIND</t>
  </si>
  <si>
    <t>BetaShares India Quality ETF. ETF</t>
  </si>
  <si>
    <t>IIQ</t>
  </si>
  <si>
    <t>Inoviq Ltd Ordinary</t>
  </si>
  <si>
    <t>IISV</t>
  </si>
  <si>
    <t>Intell Investor Select Value SHR Fund - Active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</si>
  <si>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</si>
  <si>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</si>
  <si>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</si>
  <si>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</si>
  <si>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</si>
  <si>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</si>
  <si>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</si>
  <si>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 Ordinary Foreign Exempt NZX</t>
  </si>
  <si>
    <t>IKO</t>
  </si>
  <si>
    <t>iShares MSCI South Korea ETF</t>
  </si>
  <si>
    <t>ILA</t>
  </si>
  <si>
    <t>Island Pharmaceuticals Limited Ordinary</t>
  </si>
  <si>
    <t>ILB</t>
  </si>
  <si>
    <t>iShares Government Inflation ETF</t>
  </si>
  <si>
    <t>ILC</t>
  </si>
  <si>
    <t>iShares S&amp;P/ASX 20 ETF</t>
  </si>
  <si>
    <t>ILT</t>
  </si>
  <si>
    <t>Iltani Resources Limited Ordinary</t>
  </si>
  <si>
    <t>ILU</t>
  </si>
  <si>
    <t>Iluka Resources Limited Ordinary</t>
  </si>
  <si>
    <t>IMA</t>
  </si>
  <si>
    <t>Image Resources NL Ordinary</t>
  </si>
  <si>
    <t>IMB</t>
  </si>
  <si>
    <t>Intelligent Monitoring Group Limited Ordinary</t>
  </si>
  <si>
    <t>IMC</t>
  </si>
  <si>
    <t>Immuron Limited Ordinary</t>
  </si>
  <si>
    <t>IMD</t>
  </si>
  <si>
    <t>Imdex Limited Ordinary</t>
  </si>
  <si>
    <t>IME</t>
  </si>
  <si>
    <t>Imexhs Limited Ordinary</t>
  </si>
  <si>
    <t>IMI</t>
  </si>
  <si>
    <t>Infinity Mining Limited Ordinary</t>
  </si>
  <si>
    <t>IMLC</t>
  </si>
  <si>
    <t>IML Concentrated AUS Share Fund - Active ETF</t>
  </si>
  <si>
    <t>IMM</t>
  </si>
  <si>
    <t>Immutep Limited Ordinary</t>
  </si>
  <si>
    <t>IMPQ</t>
  </si>
  <si>
    <t>Perennial Better Future Active ETF</t>
  </si>
  <si>
    <t>IMR</t>
  </si>
  <si>
    <t>Imricor Medical Systems Inc. CDI 1:1 US Person Prohibited Excluding QIB</t>
  </si>
  <si>
    <t>IMU</t>
  </si>
  <si>
    <t>Imugene Limited Ordinary</t>
  </si>
  <si>
    <t>INA</t>
  </si>
  <si>
    <t>Ingenia Communities Group Ordinary/Units Stapled Securities</t>
  </si>
  <si>
    <t>INCM</t>
  </si>
  <si>
    <t>BetaShares S&amp;P Global High Dividend Aristocrat ETF</t>
  </si>
  <si>
    <t>IND</t>
  </si>
  <si>
    <t>Industrial Minerals Ltd Ordinary</t>
  </si>
  <si>
    <t>INES</t>
  </si>
  <si>
    <t>Intelligent Investor ETH Share Fund - Active ETF</t>
  </si>
  <si>
    <t>INF</t>
  </si>
  <si>
    <t>Infinity Metals Limited Ordinary</t>
  </si>
  <si>
    <t>ING</t>
  </si>
  <si>
    <t>Inghams Group Limited Ordinary</t>
  </si>
  <si>
    <t>INIF</t>
  </si>
  <si>
    <t>Intelligent Investor AUS EQ Inc Fund - Active ETF</t>
  </si>
  <si>
    <t>INR</t>
  </si>
  <si>
    <t>Ioneer Ltd Ordinary</t>
  </si>
  <si>
    <t>INV</t>
  </si>
  <si>
    <t>Investsmart Group Limited Ordinary</t>
  </si>
  <si>
    <t>IOD</t>
  </si>
  <si>
    <t>Iodm Limited Ordinary</t>
  </si>
  <si>
    <t>ION</t>
  </si>
  <si>
    <t>Iondrive Limited Ordinary</t>
  </si>
  <si>
    <t>IOO</t>
  </si>
  <si>
    <t>iShares Global 100 ETF</t>
  </si>
  <si>
    <t>IOV</t>
  </si>
  <si>
    <t>Ion Video Ltd Ordinary</t>
  </si>
  <si>
    <t>IOZ</t>
  </si>
  <si>
    <t>iShares Core S&amp;P/ASX 200 ETF</t>
  </si>
  <si>
    <t>IPB</t>
  </si>
  <si>
    <t>IPB Petroleum Limited Ordinary</t>
  </si>
  <si>
    <t>IPC</t>
  </si>
  <si>
    <t>Imperial Pacific Limited Ordinary</t>
  </si>
  <si>
    <t>IPD</t>
  </si>
  <si>
    <t>Impedimed Limited Ordinary</t>
  </si>
  <si>
    <t>IPG</t>
  </si>
  <si>
    <t>IPD Group Ltd Ordinary</t>
  </si>
  <si>
    <t>IPH</t>
  </si>
  <si>
    <t>IPH Limited Ordinary</t>
  </si>
  <si>
    <t>IPT</t>
  </si>
  <si>
    <t>Impact Minerals Limited Ordinary</t>
  </si>
  <si>
    <t>IPX</t>
  </si>
  <si>
    <t>Iperionx Limited Ordinary</t>
  </si>
  <si>
    <t>IR1</t>
  </si>
  <si>
    <t>Iris Metals Limited Ordinary</t>
  </si>
  <si>
    <t>IRD</t>
  </si>
  <si>
    <t>Iron Road Limited Ordinary</t>
  </si>
  <si>
    <t>IRE</t>
  </si>
  <si>
    <t>Iress Limited Ordinary</t>
  </si>
  <si>
    <t>IRI</t>
  </si>
  <si>
    <t>Integrated Research Limited Ordinary</t>
  </si>
  <si>
    <t>IRX</t>
  </si>
  <si>
    <t>Inhalerx Limited Ordinary</t>
  </si>
  <si>
    <t>IS3</t>
  </si>
  <si>
    <t>I Synergy Group Limited Ordinary</t>
  </si>
  <si>
    <t>ISEC</t>
  </si>
  <si>
    <t>iShares Enhanced Cash ETF</t>
  </si>
  <si>
    <t>ISLM</t>
  </si>
  <si>
    <t>Hejaz Equities Fund Active ETF</t>
  </si>
  <si>
    <t>ISO</t>
  </si>
  <si>
    <t>iShares S&amp;P/ASX Small Ordinaries ETF</t>
  </si>
  <si>
    <t>ITEK</t>
  </si>
  <si>
    <t>iShares NASDAQ Top 30 ETF</t>
  </si>
  <si>
    <t>ITM</t>
  </si>
  <si>
    <t>Itech Minerals Ltd Ordinary</t>
  </si>
  <si>
    <t>ITS</t>
  </si>
  <si>
    <t>Infotrust Ltd Ordinary</t>
  </si>
  <si>
    <t>IVE</t>
  </si>
  <si>
    <t>iShares MSCI Eafe ETF</t>
  </si>
  <si>
    <t>IVG</t>
  </si>
  <si>
    <t>Invert Graphite Limited Ordinary</t>
  </si>
  <si>
    <t>IVR</t>
  </si>
  <si>
    <t>Investigator Silver Limited Ordinary</t>
  </si>
  <si>
    <t>IVV</t>
  </si>
  <si>
    <t>iShares S&amp;P 500 ETF</t>
  </si>
  <si>
    <t>IVX</t>
  </si>
  <si>
    <t>Invion Limited Ordinary</t>
  </si>
  <si>
    <t>IVZ</t>
  </si>
  <si>
    <t>Invictus Energy Ltd Ordinary</t>
  </si>
  <si>
    <t>IWLD</t>
  </si>
  <si>
    <t>iShares Core MSCI World EX Australia ESG ETF</t>
  </si>
  <si>
    <t>IXC</t>
  </si>
  <si>
    <t>Invex Therapeutics Ltd Ordinary</t>
  </si>
  <si>
    <t>IXI</t>
  </si>
  <si>
    <t>iShares Global Consumer Staples ETF</t>
  </si>
  <si>
    <t>IXJ</t>
  </si>
  <si>
    <t>iShares Global Healthcare ETF</t>
  </si>
  <si>
    <t>IXR</t>
  </si>
  <si>
    <t>Ionic Rare Earths Limited Ordinary</t>
  </si>
  <si>
    <t>IYLD</t>
  </si>
  <si>
    <t>iShares Yield Plus ETF</t>
  </si>
  <si>
    <t>IZZ</t>
  </si>
  <si>
    <t>iShares China Large-Cap ETF</t>
  </si>
  <si>
    <t>J100</t>
  </si>
  <si>
    <t>Global X Japan Topix 100 ETF</t>
  </si>
  <si>
    <t>JAL</t>
  </si>
  <si>
    <t>Jameson Resources Limited Ordinary</t>
  </si>
  <si>
    <t>JAN</t>
  </si>
  <si>
    <t>Janison Education Group Limited Ordinary</t>
  </si>
  <si>
    <t>JAT</t>
  </si>
  <si>
    <t>Jatcorp Limited Ordinary</t>
  </si>
  <si>
    <t>JAV</t>
  </si>
  <si>
    <t>Javelin Minerals Limited Ordinary</t>
  </si>
  <si>
    <t>JAY</t>
  </si>
  <si>
    <t>Jayride Group Limited Ordinary</t>
  </si>
  <si>
    <t>JBH</t>
  </si>
  <si>
    <t>JB HI-FI Limited Ordinary</t>
  </si>
  <si>
    <t>Computers &amp; Electronics Retailers</t>
  </si>
  <si>
    <t>JCS</t>
  </si>
  <si>
    <t>Jcurve Solutions Ltd Ordinary</t>
  </si>
  <si>
    <t>JDO</t>
  </si>
  <si>
    <t>Judo Capital Holdings Limited Ordinary</t>
  </si>
  <si>
    <t>JEGA</t>
  </si>
  <si>
    <t>JPM Global Equity Premium Income Complex ETF</t>
  </si>
  <si>
    <t>JEME</t>
  </si>
  <si>
    <t>JP Morgan EM Research Enhanced IDX Eqty Active ETF</t>
  </si>
  <si>
    <t>JEPI</t>
  </si>
  <si>
    <t>JP Morgan Equity Premium Income Active ETF</t>
  </si>
  <si>
    <t>JGH</t>
  </si>
  <si>
    <t>Jade Gas Holdings Limited Ordinary</t>
  </si>
  <si>
    <t>JGLO</t>
  </si>
  <si>
    <t>JP Morgan Global Select Equity Active ETF</t>
  </si>
  <si>
    <t>JHGA</t>
  </si>
  <si>
    <t>JPM Global Equity Premium Income Hedged Complex ETF</t>
  </si>
  <si>
    <t>JHLO</t>
  </si>
  <si>
    <t>JP Morgan Global Select Equity (Hedged) Active ETF</t>
  </si>
  <si>
    <t>JHPI</t>
  </si>
  <si>
    <t>JP Morgan Equity Premium Income (Hedged) Active ETF</t>
  </si>
  <si>
    <t>JHX</t>
  </si>
  <si>
    <t>James Hardie Industries PLC CDI 1:1</t>
  </si>
  <si>
    <t>JIN</t>
  </si>
  <si>
    <t>Jumbo Interactive Limited Ordinary</t>
  </si>
  <si>
    <t>JLL</t>
  </si>
  <si>
    <t>Jindalee Lithium Limited Ordinary</t>
  </si>
  <si>
    <t>JMS</t>
  </si>
  <si>
    <t>Jupiter Mines Limited Ordinary</t>
  </si>
  <si>
    <t>JNDQ</t>
  </si>
  <si>
    <t>BetaShares NASDAQ Next GEN 100 ETF</t>
  </si>
  <si>
    <t>JNO</t>
  </si>
  <si>
    <t>Juno Minerals Limited Ordinary</t>
  </si>
  <si>
    <t>JNS</t>
  </si>
  <si>
    <t>Janus Electric Holdings Limited Ordinary</t>
  </si>
  <si>
    <t>JPEQ</t>
  </si>
  <si>
    <t>JP Morgan US 100Q Equity Premium Income Active ETF</t>
  </si>
  <si>
    <t>JPHQ</t>
  </si>
  <si>
    <t>JP Morgan US 100Q EQ Prem Inc (Hedged) Active ETF</t>
  </si>
  <si>
    <t>JPR</t>
  </si>
  <si>
    <t>Jupiter Energy Limited Ordinary</t>
  </si>
  <si>
    <t>JREG</t>
  </si>
  <si>
    <t>JP Morgan Global Research EN Index Eqty Active ETF</t>
  </si>
  <si>
    <t>JRHG</t>
  </si>
  <si>
    <t>JP Morgan Global Research EN IN Eqty (H) Active ETF</t>
  </si>
  <si>
    <t>JYC</t>
  </si>
  <si>
    <t>Joyce Corporation Ltd Ordinary</t>
  </si>
  <si>
    <t>JZRO</t>
  </si>
  <si>
    <t>Janus Henderson Net Zero Transition Active ETF</t>
  </si>
  <si>
    <t>KAI</t>
  </si>
  <si>
    <t>Kairos Minerals Limited Ordinary</t>
  </si>
  <si>
    <t>KAL</t>
  </si>
  <si>
    <t>Kalgoorlie Gold Mining Limited Ordinary</t>
  </si>
  <si>
    <t>KAM</t>
  </si>
  <si>
    <t>K2 Asset Management Holdings Ltd Ordinary</t>
  </si>
  <si>
    <t>KAR</t>
  </si>
  <si>
    <t>Karoon Energy Ltd Ordinary</t>
  </si>
  <si>
    <t>KAT</t>
  </si>
  <si>
    <t>Katana Capital Limited Ordinary</t>
  </si>
  <si>
    <t>KAU</t>
  </si>
  <si>
    <t>Kaiser Reef Limited Ordinary</t>
  </si>
  <si>
    <t>KBC</t>
  </si>
  <si>
    <t>Keybridge Capital Limited Ordinary</t>
  </si>
  <si>
    <t>KCC</t>
  </si>
  <si>
    <t>Kincora Copper Limited CDI 1:1</t>
  </si>
  <si>
    <t>KCN</t>
  </si>
  <si>
    <t>Kingsgate Consolidated Limited Ordinary</t>
  </si>
  <si>
    <t>KEY</t>
  </si>
  <si>
    <t>Key Petroleum Limited Ordinary</t>
  </si>
  <si>
    <t>KFM</t>
  </si>
  <si>
    <t>Kingfisher Mining Ltd Ordinary</t>
  </si>
  <si>
    <t>KGD</t>
  </si>
  <si>
    <t>Kula Gold Limited Ordinary</t>
  </si>
  <si>
    <t>KGL</t>
  </si>
  <si>
    <t>KGL Resources Limited Ordinary</t>
  </si>
  <si>
    <t>KGN</t>
  </si>
  <si>
    <t>Kogan.Com Ltd Ordinary</t>
  </si>
  <si>
    <t>KKC</t>
  </si>
  <si>
    <t>KKR Credit Income Fund Ordinary Units</t>
  </si>
  <si>
    <t>KKO</t>
  </si>
  <si>
    <t>Kinetiko Energy Ltd Ordinary</t>
  </si>
  <si>
    <t>KLI</t>
  </si>
  <si>
    <t>Killi Resources Limited Ordinary</t>
  </si>
  <si>
    <t>KLR</t>
  </si>
  <si>
    <t>Kaili Resources Limited 125c Ordinary</t>
  </si>
  <si>
    <t>KLS</t>
  </si>
  <si>
    <t>Kelsian Group Limited Ordinary</t>
  </si>
  <si>
    <t>KLV</t>
  </si>
  <si>
    <t>Klevo Rewards Limited Ordinary</t>
  </si>
  <si>
    <t>KM1</t>
  </si>
  <si>
    <t>Kali Metals Limited Ordinary</t>
  </si>
  <si>
    <t>KMD</t>
  </si>
  <si>
    <t>KMD Brands Limited Ordinary Foreign Exempt NZX</t>
  </si>
  <si>
    <t>KME</t>
  </si>
  <si>
    <t>Kip McGrath Education Centres Limited Ordinary</t>
  </si>
  <si>
    <t>Misc Educational Service Providers</t>
  </si>
  <si>
    <t>KNB</t>
  </si>
  <si>
    <t>Koonenberry Gold Limited Ordinary</t>
  </si>
  <si>
    <t>KNG</t>
  </si>
  <si>
    <t>Kingsland Minerals Ltd Ordinary</t>
  </si>
  <si>
    <t>KNI</t>
  </si>
  <si>
    <t>Kuniko Limited Ordinary</t>
  </si>
  <si>
    <t>KNM</t>
  </si>
  <si>
    <t>Kneomedia Limited Ordinary</t>
  </si>
  <si>
    <t>KNO</t>
  </si>
  <si>
    <t>Knosys Limited Ordinary</t>
  </si>
  <si>
    <t>KOB</t>
  </si>
  <si>
    <t>Koba Resources Limited Ordinary</t>
  </si>
  <si>
    <t>KOR</t>
  </si>
  <si>
    <t>Korab Resources Limited Ordinary</t>
  </si>
  <si>
    <t>KOV</t>
  </si>
  <si>
    <t>Korvest Ltd Ordinary</t>
  </si>
  <si>
    <t>KP2</t>
  </si>
  <si>
    <t>Kore Potash PLC CDI 1:1</t>
  </si>
  <si>
    <t>KPG</t>
  </si>
  <si>
    <t>Kelly Partners Group Holdings Limited Ordinary</t>
  </si>
  <si>
    <t>KPO</t>
  </si>
  <si>
    <t>Kalina Power Limited Ordinary</t>
  </si>
  <si>
    <t>KRM</t>
  </si>
  <si>
    <t>Kingsrose Mining Limited Ordinary</t>
  </si>
  <si>
    <t>KRR</t>
  </si>
  <si>
    <t>King River Resources Limited Ordinary</t>
  </si>
  <si>
    <t>KSC</t>
  </si>
  <si>
    <t>K&amp;S Corporation Limited Ordinary</t>
  </si>
  <si>
    <t>KSL</t>
  </si>
  <si>
    <t>Kina Securities Limited Ordinary</t>
  </si>
  <si>
    <t>KSM</t>
  </si>
  <si>
    <t>K2 Australian Small Cap Hedge Fund - Complex ETF</t>
  </si>
  <si>
    <t>KSN</t>
  </si>
  <si>
    <t>Kingston Resources Limited Ordinary</t>
  </si>
  <si>
    <t>KTA</t>
  </si>
  <si>
    <t>Krakatoa Resources Limited Ordinary</t>
  </si>
  <si>
    <t>KYP</t>
  </si>
  <si>
    <t>Kinatico Ltd Ordinary</t>
  </si>
  <si>
    <t>KZR</t>
  </si>
  <si>
    <t>Kalamazoo Resources Limited Ordinary</t>
  </si>
  <si>
    <t>L1G</t>
  </si>
  <si>
    <t>L1 Group Limited Ordinary</t>
  </si>
  <si>
    <t>L1HI</t>
  </si>
  <si>
    <t>L1 Capital International (Hedged) Active ETF</t>
  </si>
  <si>
    <t>L1IF</t>
  </si>
  <si>
    <t>L1 Capital International (Unhedged) Active ETF</t>
  </si>
  <si>
    <t>L1M</t>
  </si>
  <si>
    <t>Lightning Minerals Ltd Ordinary</t>
  </si>
  <si>
    <t>LAM</t>
  </si>
  <si>
    <t>Laramide Resources Ltd CDI 1:1</t>
  </si>
  <si>
    <t>LAT</t>
  </si>
  <si>
    <t>Latitude 66 Limited Ordinary</t>
  </si>
  <si>
    <t>LAU</t>
  </si>
  <si>
    <t>Lindsay Australia Limited Ordinary</t>
  </si>
  <si>
    <t>LBL</t>
  </si>
  <si>
    <t>Laserbond Limited Ordinary</t>
  </si>
  <si>
    <t>LCE</t>
  </si>
  <si>
    <t>London City Equities Limited Ordinary</t>
  </si>
  <si>
    <t>LCL</t>
  </si>
  <si>
    <t>LCL Resources Limited Ordinary</t>
  </si>
  <si>
    <t>LCY</t>
  </si>
  <si>
    <t>Legacy Iron Ore Limited Ordinary</t>
  </si>
  <si>
    <t>LDR</t>
  </si>
  <si>
    <t>Lode Resources Ltd Ordinary</t>
  </si>
  <si>
    <t>LDX</t>
  </si>
  <si>
    <t>Lumos Diagnostics Holdings Limited Ordinary</t>
  </si>
  <si>
    <t>LEG</t>
  </si>
  <si>
    <t>Legend Mining Limited Ordinary</t>
  </si>
  <si>
    <t>LEL</t>
  </si>
  <si>
    <t>Lithium Energy Limited Ordinary</t>
  </si>
  <si>
    <t>LEND</t>
  </si>
  <si>
    <t>Vaneck Glbl Listed Private Credit (AUD Hedged) ETF</t>
  </si>
  <si>
    <t>LEVR</t>
  </si>
  <si>
    <t>First Sentier Geared Australian Share Complex ETF</t>
  </si>
  <si>
    <t>LEX</t>
  </si>
  <si>
    <t>Lefroy Exploration Limited Ordinary</t>
  </si>
  <si>
    <t>LF1</t>
  </si>
  <si>
    <t>La Trobe Private Credit Fund Ordinary Units</t>
  </si>
  <si>
    <t>LFG</t>
  </si>
  <si>
    <t>Liberty Financial Group Ordinary/Units Stapled Securities</t>
  </si>
  <si>
    <t>LFS</t>
  </si>
  <si>
    <t>Latitude Group Holdings Limited Ordinary</t>
  </si>
  <si>
    <t>LGI</t>
  </si>
  <si>
    <t>LGI Limited Ordinary</t>
  </si>
  <si>
    <t>LGM</t>
  </si>
  <si>
    <t>Legacy Minerals Holdings Limited Ordinary</t>
  </si>
  <si>
    <t>LGP</t>
  </si>
  <si>
    <t>Little Green Pharma Ltd Ordinary</t>
  </si>
  <si>
    <t>LHGG</t>
  </si>
  <si>
    <t>Lakehouse Global Growth Fund Active ETF</t>
  </si>
  <si>
    <t>LIB</t>
  </si>
  <si>
    <t>Liberty Metals Ltd Ordinary</t>
  </si>
  <si>
    <t>LIC</t>
  </si>
  <si>
    <t>Lifestyle Communities Limited Ordinary</t>
  </si>
  <si>
    <t>LIN</t>
  </si>
  <si>
    <t>Lindian Resources Limited Ordinary</t>
  </si>
  <si>
    <t>LIO</t>
  </si>
  <si>
    <t>Lion Energy Limited Ordinary</t>
  </si>
  <si>
    <t>LIS</t>
  </si>
  <si>
    <t>Li-S Energy Limited Ordinary</t>
  </si>
  <si>
    <t>LIT</t>
  </si>
  <si>
    <t>Livium Ltd Ordinary</t>
  </si>
  <si>
    <t>LKE</t>
  </si>
  <si>
    <t>Lake Resources NL Ordinary</t>
  </si>
  <si>
    <t>LKO</t>
  </si>
  <si>
    <t>Lakes Blue Energy NL Ordinary</t>
  </si>
  <si>
    <t>LKY</t>
  </si>
  <si>
    <t>Locksley Resources Limited Ordinary</t>
  </si>
  <si>
    <t>LLC</t>
  </si>
  <si>
    <t>Lendlease Group Ordinary/Units Stapled Securities</t>
  </si>
  <si>
    <t>LLM</t>
  </si>
  <si>
    <t>Loyal Metals Ltd Ordinary</t>
  </si>
  <si>
    <t>LM1</t>
  </si>
  <si>
    <t>Leeuwin Metals Ltd Ordinary</t>
  </si>
  <si>
    <t>LM8</t>
  </si>
  <si>
    <t>Lunnon Metals Limited Ordinary</t>
  </si>
  <si>
    <t>LMG</t>
  </si>
  <si>
    <t>Latrobe Magnesium Limited Ordinary</t>
  </si>
  <si>
    <t>LML</t>
  </si>
  <si>
    <t>Lincoln Minerals Limited Ordinary</t>
  </si>
  <si>
    <t>LMS</t>
  </si>
  <si>
    <t>Litchfield Minerals Limited Ordinary</t>
  </si>
  <si>
    <t>LNAS</t>
  </si>
  <si>
    <t>Global X Ultra Long Nasdaq-100 Complex ETF</t>
  </si>
  <si>
    <t>LNQ</t>
  </si>
  <si>
    <t>Linq Minerals Limited Ordinary</t>
  </si>
  <si>
    <t>LNW</t>
  </si>
  <si>
    <t>Light &amp; Wonder Inc. CDI 1:1</t>
  </si>
  <si>
    <t>LNYN</t>
  </si>
  <si>
    <t>Lanyon Investment Fund Active ETF</t>
  </si>
  <si>
    <t>LOT</t>
  </si>
  <si>
    <t>Lotus Resources Limited Ordinary</t>
  </si>
  <si>
    <t>LOV</t>
  </si>
  <si>
    <t>Lovisa Holdings Limited Ordinary</t>
  </si>
  <si>
    <t>LPE</t>
  </si>
  <si>
    <t>Locality Planning Energy Holdings Limited Ordinary</t>
  </si>
  <si>
    <t>LPGD</t>
  </si>
  <si>
    <t>Loftus Peak Global Disruption Active ETF</t>
  </si>
  <si>
    <t>LPHD</t>
  </si>
  <si>
    <t>Loftus Peak Global Disruption Hedged Active ETF</t>
  </si>
  <si>
    <t>LPM</t>
  </si>
  <si>
    <t>Lithium Plus Minerals Ltd. Ordinary</t>
  </si>
  <si>
    <t>LRD</t>
  </si>
  <si>
    <t>Lord Resources Limited Ordinary</t>
  </si>
  <si>
    <t>LRK</t>
  </si>
  <si>
    <t>Lark Distilling Co. Ltd Ordinary</t>
  </si>
  <si>
    <t>LRM</t>
  </si>
  <si>
    <t>Lion Rock Minerals Ltd Ordinary</t>
  </si>
  <si>
    <t>LRT</t>
  </si>
  <si>
    <t>Lowell Resources Fund Ordinary Units</t>
  </si>
  <si>
    <t>LRV</t>
  </si>
  <si>
    <t>Larvotto Resources Limited Ordinary</t>
  </si>
  <si>
    <t>LSA</t>
  </si>
  <si>
    <t>Lachlan Star Limited Ordinary</t>
  </si>
  <si>
    <t>LSF</t>
  </si>
  <si>
    <t>L1 Long Short Fund Limited Ordinary</t>
  </si>
  <si>
    <t>LSGE</t>
  </si>
  <si>
    <t>Loomis Sayles Global Equity Fund - Active ETF</t>
  </si>
  <si>
    <t>LSR</t>
  </si>
  <si>
    <t>Lodestar Minerals Limited Ordinary</t>
  </si>
  <si>
    <t>LSX</t>
  </si>
  <si>
    <t>Lion Selection Group Limited Ordinary</t>
  </si>
  <si>
    <t>LTP</t>
  </si>
  <si>
    <t>LTR Pharma Limited Ordinary</t>
  </si>
  <si>
    <t>LTR</t>
  </si>
  <si>
    <t>Liontown Limited Ordinary</t>
  </si>
  <si>
    <t>LU7</t>
  </si>
  <si>
    <t>Lithium Universe Limited Ordinary</t>
  </si>
  <si>
    <t>LVE</t>
  </si>
  <si>
    <t>Love Group Global Ltd Ordinary</t>
  </si>
  <si>
    <t>LYC</t>
  </si>
  <si>
    <t>Lynas Rare Earths Limited Ordinary</t>
  </si>
  <si>
    <t>LYL</t>
  </si>
  <si>
    <t>Lycopodium Limited Ordinary</t>
  </si>
  <si>
    <t>M24</t>
  </si>
  <si>
    <t>Mamba Exploration Limited Ordinary</t>
  </si>
  <si>
    <t>M2M</t>
  </si>
  <si>
    <t>Mt Malcolm Mines NL Ordinary</t>
  </si>
  <si>
    <t>M2R</t>
  </si>
  <si>
    <t>Miramar Resources Limited Ordinary</t>
  </si>
  <si>
    <t>M3M</t>
  </si>
  <si>
    <t>M3 Mining Limited Ordinary</t>
  </si>
  <si>
    <t>M4M</t>
  </si>
  <si>
    <t>Macro Metals Limited Ordinary</t>
  </si>
  <si>
    <t>M79</t>
  </si>
  <si>
    <t>Mammoth Minerals Limited Ordinary</t>
  </si>
  <si>
    <t>M7T</t>
  </si>
  <si>
    <t>Mach7 Technologies Limited Ordinary</t>
  </si>
  <si>
    <t>MA1</t>
  </si>
  <si>
    <t>MA Credit Income Trust Ordinary Units</t>
  </si>
  <si>
    <t>MAD</t>
  </si>
  <si>
    <t>Mader Group Limited Ordinary</t>
  </si>
  <si>
    <t>MAET</t>
  </si>
  <si>
    <t>Munro Global Growth Fund Complex ETF</t>
  </si>
  <si>
    <t>MAF</t>
  </si>
  <si>
    <t>MA Financial Group Limited Ordinary</t>
  </si>
  <si>
    <t>MAG</t>
  </si>
  <si>
    <t>Magmatic Resources Limited Ordinary</t>
  </si>
  <si>
    <t>MAH</t>
  </si>
  <si>
    <t>Macmahon Holdings Limited Ordinary</t>
  </si>
  <si>
    <t>MAM</t>
  </si>
  <si>
    <t>Microequities Asset Management Group Limited Ordinary</t>
  </si>
  <si>
    <t>MAN</t>
  </si>
  <si>
    <t>Mandrake Resources Limited Ordinary</t>
  </si>
  <si>
    <t>MAP</t>
  </si>
  <si>
    <t>Microba Life Sciences Limited Ordinary</t>
  </si>
  <si>
    <t>MAQ</t>
  </si>
  <si>
    <t>Macquarie Technology Group Limited Ordinary</t>
  </si>
  <si>
    <t>MAT</t>
  </si>
  <si>
    <t>Matsa Resources Limited Ordinary</t>
  </si>
  <si>
    <t>MAU</t>
  </si>
  <si>
    <t>Magnetic Resources NL Ordinary</t>
  </si>
  <si>
    <t>MAY</t>
  </si>
  <si>
    <t>Melbana Energy Limited Ordinary</t>
  </si>
  <si>
    <t>MBH</t>
  </si>
  <si>
    <t>Maggie Beer Holdings Ltd Ordinary</t>
  </si>
  <si>
    <t>MBK</t>
  </si>
  <si>
    <t>Metal Bank Limited Ordinary</t>
  </si>
  <si>
    <t>MC2</t>
  </si>
  <si>
    <t>Marimaca Copper Corp. CDI 1:1</t>
  </si>
  <si>
    <t>Materials (Copper Mining)</t>
  </si>
  <si>
    <t>MCA</t>
  </si>
  <si>
    <t>Murray COD Australia Limited Ordinary</t>
  </si>
  <si>
    <t>MCCL</t>
  </si>
  <si>
    <t>Munro Climate Change Leaders Fund Active ETF</t>
  </si>
  <si>
    <t>MCE</t>
  </si>
  <si>
    <t>Matrix Composites &amp; Engineering Limited Ordinary</t>
  </si>
  <si>
    <t>Oil Related Services and Equipment</t>
  </si>
  <si>
    <t>MCGG</t>
  </si>
  <si>
    <t>Munro Concentrated Global Growth Active ETF</t>
  </si>
  <si>
    <t>MCM</t>
  </si>
  <si>
    <t>MC Mining Limited Ordinary</t>
  </si>
  <si>
    <t>MCO</t>
  </si>
  <si>
    <t>Myeco Group Ltd Ordinary</t>
  </si>
  <si>
    <t>MCP</t>
  </si>
  <si>
    <t>McPherson's Limited Ordinary</t>
  </si>
  <si>
    <t>Personal Products</t>
  </si>
  <si>
    <t>MCY</t>
  </si>
  <si>
    <t>Mercury NZ Limited Ordinary Foreign Exempt NZX</t>
  </si>
  <si>
    <t>MDI</t>
  </si>
  <si>
    <t>Middle Island Resources Limited Ordinary</t>
  </si>
  <si>
    <t>MDX</t>
  </si>
  <si>
    <t>Mindax Limited Ordinary</t>
  </si>
  <si>
    <t>MEC</t>
  </si>
  <si>
    <t>Morphic Ethical Equities Fund Limited Ordinary</t>
  </si>
  <si>
    <t>MEG</t>
  </si>
  <si>
    <t>Megado Minerals Ltd Ordinary</t>
  </si>
  <si>
    <t>MEI</t>
  </si>
  <si>
    <t>Meteoric Resources NL Ordinary</t>
  </si>
  <si>
    <t>MEK</t>
  </si>
  <si>
    <t>Meeka Metals Limited Ordinary</t>
  </si>
  <si>
    <t>MEL</t>
  </si>
  <si>
    <t>Metgasco Ltd Ordinary</t>
  </si>
  <si>
    <t>MEM</t>
  </si>
  <si>
    <t>Memphasys Limited Ordinary</t>
  </si>
  <si>
    <t>MEU</t>
  </si>
  <si>
    <t>Marmota Limited Ordinary</t>
  </si>
  <si>
    <t>MEX</t>
  </si>
  <si>
    <t>Minerals Exploration Limited Ordinary</t>
  </si>
  <si>
    <t>MEZ</t>
  </si>
  <si>
    <t>Meridian Energy Limited Ordinary Foreign Exempt NZX</t>
  </si>
  <si>
    <t>MFD</t>
  </si>
  <si>
    <t>Mayfield Childcare Limited Ordinary</t>
  </si>
  <si>
    <t>MFF</t>
  </si>
  <si>
    <t>MFF Capital Investments Limited Ordinary</t>
  </si>
  <si>
    <t>MFG</t>
  </si>
  <si>
    <t>Magellan Financial Group Limited Ordinary</t>
  </si>
  <si>
    <t>MFOA</t>
  </si>
  <si>
    <t>Milford Australian Absolute Growth Complex ETF</t>
  </si>
  <si>
    <t>MGA</t>
  </si>
  <si>
    <t>Metalsgrove Mining Ltd Ordinary</t>
  </si>
  <si>
    <t>MGH</t>
  </si>
  <si>
    <t>Maas Group Holdings Limited Ordinary</t>
  </si>
  <si>
    <t>MGL</t>
  </si>
  <si>
    <t>Magontec Limited Ordinary</t>
  </si>
  <si>
    <t>MGOC</t>
  </si>
  <si>
    <t>Magellan Global Fund -Open Class Units -Active ETF</t>
  </si>
  <si>
    <t>MGR</t>
  </si>
  <si>
    <t>Mirvac Group Ordinary/Units Stapled Securities</t>
  </si>
  <si>
    <t>MGT</t>
  </si>
  <si>
    <t>Magnetite Mines Limited Ordinary</t>
  </si>
  <si>
    <t>MGU</t>
  </si>
  <si>
    <t>Magnum Mining and Exploration Limited Ordinary</t>
  </si>
  <si>
    <t>MGX</t>
  </si>
  <si>
    <t>MGX Resources Limited Ordinary</t>
  </si>
  <si>
    <t>MHC</t>
  </si>
  <si>
    <t>Manhattan Corporation Limited Ordinary</t>
  </si>
  <si>
    <t>MHG</t>
  </si>
  <si>
    <t>Magellan Global EQ Fund (Currencyhdg) - Active ETF</t>
  </si>
  <si>
    <t>MHJ</t>
  </si>
  <si>
    <t>Michael Hill International Limited Ordinary</t>
  </si>
  <si>
    <t>MHK</t>
  </si>
  <si>
    <t>Metal Hawk Limited Ordinary</t>
  </si>
  <si>
    <t>MHM</t>
  </si>
  <si>
    <t>Mount Hope Mining Limited Ordinary</t>
  </si>
  <si>
    <t>MHOT</t>
  </si>
  <si>
    <t>Vaneck Morningstar Wide Moat (AUD Hedged) ETF</t>
  </si>
  <si>
    <t>MI6</t>
  </si>
  <si>
    <t>Minerals 260 Limited Ordinary</t>
  </si>
  <si>
    <t>MICH</t>
  </si>
  <si>
    <t>Magellan Infra Fund (Currency Hedged) - Active ETF</t>
  </si>
  <si>
    <t>MIDS</t>
  </si>
  <si>
    <t>Antipodes Global Smid Active ETF</t>
  </si>
  <si>
    <t>MIN</t>
  </si>
  <si>
    <t>Mineral Resources Limited Ordinary</t>
  </si>
  <si>
    <t>MIO</t>
  </si>
  <si>
    <t>Macarthur Minerals Limited Ordinary</t>
  </si>
  <si>
    <t>MIR</t>
  </si>
  <si>
    <t>Mirrabooka Investments Limited Ordinary</t>
  </si>
  <si>
    <t>MKAX</t>
  </si>
  <si>
    <t>Montaka Global Extension Fund - Complex ETF</t>
  </si>
  <si>
    <t>MKR</t>
  </si>
  <si>
    <t>Manuka Resources Ltd. Ordinary</t>
  </si>
  <si>
    <t>ML8</t>
  </si>
  <si>
    <t>Moonlight Resources Ltd Ordinary</t>
  </si>
  <si>
    <t>MLG</t>
  </si>
  <si>
    <t>MLG OZ Limited Ordinary</t>
  </si>
  <si>
    <t>MLS</t>
  </si>
  <si>
    <t>Metals Australia Ltd Ordinary</t>
  </si>
  <si>
    <t>MLX</t>
  </si>
  <si>
    <t>Metals X Limited Ordinary</t>
  </si>
  <si>
    <t>MM1</t>
  </si>
  <si>
    <t>Midas Minerals Ltd Ordinary</t>
  </si>
  <si>
    <t>MM8</t>
  </si>
  <si>
    <t>Medallion Metals Limited Ordinary</t>
  </si>
  <si>
    <t>MMA</t>
  </si>
  <si>
    <t>Maronan Metals Limited Ordinary</t>
  </si>
  <si>
    <t>MME</t>
  </si>
  <si>
    <t>Moneyme Limited Ordinary</t>
  </si>
  <si>
    <t>MMI</t>
  </si>
  <si>
    <t>Metro Mining Limited Ordinary</t>
  </si>
  <si>
    <t>MMKT</t>
  </si>
  <si>
    <t>BetaShares Australian Cash Plus Active ETF</t>
  </si>
  <si>
    <t>MML</t>
  </si>
  <si>
    <t>McLaren Minerals Limited Ordinary</t>
  </si>
  <si>
    <t>MMR</t>
  </si>
  <si>
    <t>MEC Resources Limited Ordinary</t>
  </si>
  <si>
    <t>MMS</t>
  </si>
  <si>
    <t>McMillan Shakespeare Limited Ordinary</t>
  </si>
  <si>
    <t>MNB</t>
  </si>
  <si>
    <t>Minbos Resources Limited Ordinary</t>
  </si>
  <si>
    <t>MNC</t>
  </si>
  <si>
    <t>Merino &amp; Co. Limited Ordinary</t>
  </si>
  <si>
    <t>MND</t>
  </si>
  <si>
    <t>Monadelphous Group Limited Ordinary</t>
  </si>
  <si>
    <t>MNRS</t>
  </si>
  <si>
    <t>BetaShares Global Gold Miners Currency Hedged ETF</t>
  </si>
  <si>
    <t>MOAT</t>
  </si>
  <si>
    <t>Vaneck Morningstar Wide Moat ETF</t>
  </si>
  <si>
    <t>MOGL</t>
  </si>
  <si>
    <t>Montaka Global Fund - Active ETF</t>
  </si>
  <si>
    <t>MOH</t>
  </si>
  <si>
    <t>Moho Resources Limited Ordinary</t>
  </si>
  <si>
    <t>MOM</t>
  </si>
  <si>
    <t>Moab Minerals Limited Ordinary</t>
  </si>
  <si>
    <t>MOT</t>
  </si>
  <si>
    <t>Metrics Income Opportunities Trust Ordinary Units</t>
  </si>
  <si>
    <t>MOV</t>
  </si>
  <si>
    <t>Move Logistics Group Limited Ordinary Foreign Exempt NZX</t>
  </si>
  <si>
    <t>Industrials (Transportation)</t>
  </si>
  <si>
    <t>MP1</t>
  </si>
  <si>
    <t>Megaport Limited Ordinary</t>
  </si>
  <si>
    <t>MPK</t>
  </si>
  <si>
    <t>Many Peaks Minerals Ltd Ordinary</t>
  </si>
  <si>
    <t>MPL</t>
  </si>
  <si>
    <t>Medibank Private Limited Ordinary</t>
  </si>
  <si>
    <t>MPP</t>
  </si>
  <si>
    <t>Metro Performance Glass Limited Ordinary Foreign Exempt NZX</t>
  </si>
  <si>
    <t>MPR</t>
  </si>
  <si>
    <t>MPR Australia Limited Ordinary</t>
  </si>
  <si>
    <t>MPW</t>
  </si>
  <si>
    <t>Metal Powder Works Limited Ordinary</t>
  </si>
  <si>
    <t>MPX</t>
  </si>
  <si>
    <t>Mustera Property Group Limited Ordinary</t>
  </si>
  <si>
    <t>MQAE</t>
  </si>
  <si>
    <t>Macquarie Core Australian Equity Active ETF</t>
  </si>
  <si>
    <t>MQDB</t>
  </si>
  <si>
    <t>Macquarie Dynamic Bond Active ETF</t>
  </si>
  <si>
    <t>MQEG</t>
  </si>
  <si>
    <t>Macquarie Core Global Equity Active ETF</t>
  </si>
  <si>
    <t>MQG</t>
  </si>
  <si>
    <t>Macquarie Group Limited Ordinary</t>
  </si>
  <si>
    <t>MQHG</t>
  </si>
  <si>
    <t>Macquarie Core Global Equity (Hedged) Active ETF</t>
  </si>
  <si>
    <t>MQIO</t>
  </si>
  <si>
    <t>Macquarie Income Opportunities Active ETF</t>
  </si>
  <si>
    <t>MQR</t>
  </si>
  <si>
    <t>Marquee Resources Limited Ordinary</t>
  </si>
  <si>
    <t>MQSD</t>
  </si>
  <si>
    <t>Macquarie Subordinated Debt Active ETF</t>
  </si>
  <si>
    <t>MQWS</t>
  </si>
  <si>
    <t>Macquarie Walter Scott Global Equity Active ETF</t>
  </si>
  <si>
    <t>MQYM</t>
  </si>
  <si>
    <t>Macquarie Global Yield Maximiser Active ETF</t>
  </si>
  <si>
    <t>MRC</t>
  </si>
  <si>
    <t>Mineral Commodities Ltd Ordinary</t>
  </si>
  <si>
    <t>MRD</t>
  </si>
  <si>
    <t>Mount Ridley Mines Limited Ordinary</t>
  </si>
  <si>
    <t>MRE</t>
  </si>
  <si>
    <t>Metrics Real Estate Multi-Strategy Fund Units Stapled Securities</t>
  </si>
  <si>
    <t>MRQ</t>
  </si>
  <si>
    <t>MRG Metals Limited Ordinary</t>
  </si>
  <si>
    <t>MRR</t>
  </si>
  <si>
    <t>Minrex Resources Limited Ordinary</t>
  </si>
  <si>
    <t>MRZ</t>
  </si>
  <si>
    <t>Mont Royal Resources Limited Ordinary</t>
  </si>
  <si>
    <t>MSB</t>
  </si>
  <si>
    <t>Mesoblast Limited Ordinary</t>
  </si>
  <si>
    <t>MSG</t>
  </si>
  <si>
    <t>MCS Services Limited Ordinary</t>
  </si>
  <si>
    <t>MSI</t>
  </si>
  <si>
    <t>Multistack International Limited Ordinary</t>
  </si>
  <si>
    <t>MSTR</t>
  </si>
  <si>
    <t>Morningstar International Shares Active ETF</t>
  </si>
  <si>
    <t>MSV</t>
  </si>
  <si>
    <t>Mitchell Services Limited Ordinary</t>
  </si>
  <si>
    <t>MTB</t>
  </si>
  <si>
    <t>Mount Burgess Mining NL Ordinary</t>
  </si>
  <si>
    <t>MTC</t>
  </si>
  <si>
    <t>Metalstech Limited Ordinary</t>
  </si>
  <si>
    <t>MTH</t>
  </si>
  <si>
    <t>Mithril Silver and Gold Limited Ordinary</t>
  </si>
  <si>
    <t>MTL</t>
  </si>
  <si>
    <t>Mantle Minerals Limited Ordinary</t>
  </si>
  <si>
    <t>MTM</t>
  </si>
  <si>
    <t>Metallium Limited Ordinary</t>
  </si>
  <si>
    <t>MTO</t>
  </si>
  <si>
    <t>Motorcycle Holdings Limited Ordinary</t>
  </si>
  <si>
    <t>MTS</t>
  </si>
  <si>
    <t>Metcash Limited Ordinary</t>
  </si>
  <si>
    <t>MTUM</t>
  </si>
  <si>
    <t>BetaShares Australian Momentum ETF</t>
  </si>
  <si>
    <t>MVA</t>
  </si>
  <si>
    <t>Vaneck Australian Property ETF</t>
  </si>
  <si>
    <t>MVB</t>
  </si>
  <si>
    <t>Vaneck Australian Banks ETF</t>
  </si>
  <si>
    <t>MVE</t>
  </si>
  <si>
    <t>Vaneck S&amp;P/ASX Midcap ETF</t>
  </si>
  <si>
    <t>MVF</t>
  </si>
  <si>
    <t>Monash IVF Group Limited Ordinary</t>
  </si>
  <si>
    <t>MVL</t>
  </si>
  <si>
    <t>Marvel Gold Limited Ordinary</t>
  </si>
  <si>
    <t>MVOL</t>
  </si>
  <si>
    <t>iShares Edge MSCI Australia Minimum Volatility ETF</t>
  </si>
  <si>
    <t>MVP</t>
  </si>
  <si>
    <t>Medical Developments International Limited Ordinary</t>
  </si>
  <si>
    <t>MVR</t>
  </si>
  <si>
    <t>Vaneck Australian Resources ETF</t>
  </si>
  <si>
    <t>MVS</t>
  </si>
  <si>
    <t>Vaneck Small Companies Masters ETF</t>
  </si>
  <si>
    <t>MVW</t>
  </si>
  <si>
    <t>Vaneck Australian Equal Weight ETF</t>
  </si>
  <si>
    <t>MX1</t>
  </si>
  <si>
    <t>Micro-X Limited Ordinary</t>
  </si>
  <si>
    <t>MXI</t>
  </si>
  <si>
    <t>Maxiparts Limited Ordinary</t>
  </si>
  <si>
    <t>MXO</t>
  </si>
  <si>
    <t>Motio Ltd Ordinary</t>
  </si>
  <si>
    <t>MXT</t>
  </si>
  <si>
    <t>Metrics Master Income Trust Ordinary Units</t>
  </si>
  <si>
    <t>MYE</t>
  </si>
  <si>
    <t>Mastermyne Group Limited Ordinary</t>
  </si>
  <si>
    <t>MYG</t>
  </si>
  <si>
    <t>Mayfield Group Holdings Limited Ordinary</t>
  </si>
  <si>
    <t>Heavy Electrical Equipment</t>
  </si>
  <si>
    <t>MYR</t>
  </si>
  <si>
    <t>Myer Holdings Limited Ordinary</t>
  </si>
  <si>
    <t>MYS</t>
  </si>
  <si>
    <t>Mystate Limited Ordinary</t>
  </si>
  <si>
    <t>MYX</t>
  </si>
  <si>
    <t>Mayne Pharma Group Limited Ordinary</t>
  </si>
  <si>
    <t>N1H</t>
  </si>
  <si>
    <t>N1 Holdings Limited Ordinary</t>
  </si>
  <si>
    <t>NAB</t>
  </si>
  <si>
    <t>National Australia Bank Limited Ordinary</t>
  </si>
  <si>
    <t>NAC</t>
  </si>
  <si>
    <t>Naos Ex-50 Opportunities Company Limited Ordinary</t>
  </si>
  <si>
    <t>NAE</t>
  </si>
  <si>
    <t>New AGE Exploration Limited Ordinary</t>
  </si>
  <si>
    <t>NAG</t>
  </si>
  <si>
    <t>Nagambie Resources Limited Ordinary</t>
  </si>
  <si>
    <t>NAN</t>
  </si>
  <si>
    <t>Nanosonics Limited Ordinary</t>
  </si>
  <si>
    <t>NC1</t>
  </si>
  <si>
    <t>Nico Resources Limited Ordinary</t>
  </si>
  <si>
    <t>NC6</t>
  </si>
  <si>
    <t>Nanollose Limited Ordinary</t>
  </si>
  <si>
    <t>Textiles &amp; Leather Goods</t>
  </si>
  <si>
    <t>NCC</t>
  </si>
  <si>
    <t>Naos Emerging Opportunities Company Limited Ordinary</t>
  </si>
  <si>
    <t>NCK</t>
  </si>
  <si>
    <t>Nick Scali Limited Ordinary</t>
  </si>
  <si>
    <t>NDIA</t>
  </si>
  <si>
    <t>Global X India Nifty 50 ETF</t>
  </si>
  <si>
    <t>NDO</t>
  </si>
  <si>
    <t>Nido Education Limited Ordinary</t>
  </si>
  <si>
    <t>NDQ</t>
  </si>
  <si>
    <t>BetaShares Nasdaq-100 ETF</t>
  </si>
  <si>
    <t>NEC</t>
  </si>
  <si>
    <t>Nine Entertainment Co. Holdings Limited Ordinary</t>
  </si>
  <si>
    <t>NEM</t>
  </si>
  <si>
    <t>Newmont Corporation CDI 1:1 Foreign Exempt NYSE</t>
  </si>
  <si>
    <t>Materials (Gold Mining)</t>
  </si>
  <si>
    <t>1.10458E+11</t>
  </si>
  <si>
    <t>NES</t>
  </si>
  <si>
    <t>Nelson Resources Limited Ordinary</t>
  </si>
  <si>
    <t>NEU</t>
  </si>
  <si>
    <t>Neuren Pharmaceuticals Limited Ordinary</t>
  </si>
  <si>
    <t>NFL</t>
  </si>
  <si>
    <t>Norfolk Metals Limited Ordinary</t>
  </si>
  <si>
    <t>NFM</t>
  </si>
  <si>
    <t>New Frontier Minerals Limited Ordinary</t>
  </si>
  <si>
    <t>NGE</t>
  </si>
  <si>
    <t>NGE Capital Limited Ordinary</t>
  </si>
  <si>
    <t>NGI</t>
  </si>
  <si>
    <t>Navigator Global Investments Limited FPO-U.S. Investor Prohibited Except QPS</t>
  </si>
  <si>
    <t>NGS</t>
  </si>
  <si>
    <t>Nutritional Growth Solutions Ltd Ordinary</t>
  </si>
  <si>
    <t>NGX</t>
  </si>
  <si>
    <t>NGX Limited Ordinary</t>
  </si>
  <si>
    <t>NGY</t>
  </si>
  <si>
    <t>Nuenergy Gas Limited Ordinary</t>
  </si>
  <si>
    <t>NH3</t>
  </si>
  <si>
    <t>NH3 Clean Energy Limited Ordinary</t>
  </si>
  <si>
    <t>NHC</t>
  </si>
  <si>
    <t>New Hope Corporation Limited Ordinary</t>
  </si>
  <si>
    <t>NHE</t>
  </si>
  <si>
    <t>Noble Helium Limited Ordinary</t>
  </si>
  <si>
    <t>NHF</t>
  </si>
  <si>
    <t>NIB Holdings Limited Ordinary</t>
  </si>
  <si>
    <t>NIC</t>
  </si>
  <si>
    <t>Nickel Industries Limited Ordinary</t>
  </si>
  <si>
    <t>NIM</t>
  </si>
  <si>
    <t>Nimy Resources Limited Ordinary</t>
  </si>
  <si>
    <t>NME</t>
  </si>
  <si>
    <t>Nex Metals Exploration Limited Ordinary</t>
  </si>
  <si>
    <t>NMG</t>
  </si>
  <si>
    <t>New Murchison Gold Limited Ordinary</t>
  </si>
  <si>
    <t>NMR</t>
  </si>
  <si>
    <t>Native Mineral Resources Holdings Limited Ordinary</t>
  </si>
  <si>
    <t>NMT</t>
  </si>
  <si>
    <t>Neometals Ltd Ordinary</t>
  </si>
  <si>
    <t>NNG</t>
  </si>
  <si>
    <t>Nexion Group Ltd Ordinary</t>
  </si>
  <si>
    <t>NNL</t>
  </si>
  <si>
    <t>Nordic Resources Ltd Ordinary</t>
  </si>
  <si>
    <t>NNUK</t>
  </si>
  <si>
    <t>Nanuk New World Fund Active ETF</t>
  </si>
  <si>
    <t>NNWH</t>
  </si>
  <si>
    <t>Nanuk New World Fund (Currency Hedged) Active ETF</t>
  </si>
  <si>
    <t>NOL</t>
  </si>
  <si>
    <t>Nobleoak Life Limited Ordinary</t>
  </si>
  <si>
    <t>NOR</t>
  </si>
  <si>
    <t>Norwood Systems Limited Ordinary</t>
  </si>
  <si>
    <t>NOU</t>
  </si>
  <si>
    <t>Noumi Limited Ordinary</t>
  </si>
  <si>
    <t>NOV</t>
  </si>
  <si>
    <t>Novatti Group Limited Ordinary</t>
  </si>
  <si>
    <t>NOX</t>
  </si>
  <si>
    <t>Noxopharm Limited Ordinary</t>
  </si>
  <si>
    <t>NPM</t>
  </si>
  <si>
    <t>Newpeak Metals Limited Ordinary</t>
  </si>
  <si>
    <t>NRX</t>
  </si>
  <si>
    <t>Noronex Limited Ordinary</t>
  </si>
  <si>
    <t>NRZ</t>
  </si>
  <si>
    <t>Neurizer Ltd Ordinary</t>
  </si>
  <si>
    <t>NSB</t>
  </si>
  <si>
    <t>Neuroscientific Biopharmaceuticals Ltd Ordinary</t>
  </si>
  <si>
    <t>NSC</t>
  </si>
  <si>
    <t>Naos Small Cap Opportunities Company Limited Ordinary</t>
  </si>
  <si>
    <t>NSM</t>
  </si>
  <si>
    <t>North Stawell Minerals Ltd Ordinary</t>
  </si>
  <si>
    <t>NSR</t>
  </si>
  <si>
    <t>National Storage Reit Ordinary/Units Stapled Securities</t>
  </si>
  <si>
    <t>NST</t>
  </si>
  <si>
    <t>Northern Star Resources Ltd Ordinary</t>
  </si>
  <si>
    <t>NTD</t>
  </si>
  <si>
    <t>Ntaw Holdings Limited Ordinary</t>
  </si>
  <si>
    <t>Tires &amp; Rubber Products</t>
  </si>
  <si>
    <t>NTI</t>
  </si>
  <si>
    <t>Neurotech International Limited Ordinary</t>
  </si>
  <si>
    <t>NTM</t>
  </si>
  <si>
    <t>NT Minerals Limited Ordinary</t>
  </si>
  <si>
    <t>NTU</t>
  </si>
  <si>
    <t>Northern Minerals Limited Ordinary</t>
  </si>
  <si>
    <t>NUC</t>
  </si>
  <si>
    <t>Nuchev Limited Ordinary</t>
  </si>
  <si>
    <t>NUF</t>
  </si>
  <si>
    <t>Nufarm Limited Ordinary</t>
  </si>
  <si>
    <t>NUGG</t>
  </si>
  <si>
    <t>Vaneck Gold Bullion ETF</t>
  </si>
  <si>
    <t>NUZ</t>
  </si>
  <si>
    <t>Neurizon Therapeutics Limited Ordinary</t>
  </si>
  <si>
    <t>NVA</t>
  </si>
  <si>
    <t>Nova Minerals Limited Ordinary</t>
  </si>
  <si>
    <t>NVO</t>
  </si>
  <si>
    <t>Novo Resources Corp. CDI 1:1</t>
  </si>
  <si>
    <t>Materials (Gold Exploration)</t>
  </si>
  <si>
    <t>NVQ</t>
  </si>
  <si>
    <t>Noviqtech Limited Ordinary</t>
  </si>
  <si>
    <t>NVU</t>
  </si>
  <si>
    <t>Nanoveu Limited Ordinary</t>
  </si>
  <si>
    <t>NVX</t>
  </si>
  <si>
    <t>Novonix Limited Ordinary</t>
  </si>
  <si>
    <t>NWF</t>
  </si>
  <si>
    <t>Newfield Resources Limited Ordinary</t>
  </si>
  <si>
    <t>NWH</t>
  </si>
  <si>
    <t>NRW Holdings Limited Ordinary</t>
  </si>
  <si>
    <t>NWL</t>
  </si>
  <si>
    <t>Netwealth Group Limited Ordinary</t>
  </si>
  <si>
    <t>NWM</t>
  </si>
  <si>
    <t>Norwest Minerals Limited Ordinary</t>
  </si>
  <si>
    <t>NWS</t>
  </si>
  <si>
    <t>News Corporation. Class B Voting Common Stock-CDI 1:1</t>
  </si>
  <si>
    <t>NXD</t>
  </si>
  <si>
    <t>Nexted Group Limited Ordinary</t>
  </si>
  <si>
    <t>NXG</t>
  </si>
  <si>
    <t>Nexgen Energy (Canada) Ltd CDI 1:1 Foreign Exempt TSX</t>
  </si>
  <si>
    <t>NXL</t>
  </si>
  <si>
    <t>Nuix Limited Ordinary</t>
  </si>
  <si>
    <t>NXM</t>
  </si>
  <si>
    <t>Nexus Minerals Limited Ordinary</t>
  </si>
  <si>
    <t>NXN</t>
  </si>
  <si>
    <t>Nexsen Limited Ordinary</t>
  </si>
  <si>
    <t>NXS</t>
  </si>
  <si>
    <t>Next Science Limited Ordinary</t>
  </si>
  <si>
    <t>NXT</t>
  </si>
  <si>
    <t>Nextdc Limited Ordinary</t>
  </si>
  <si>
    <t>NYM</t>
  </si>
  <si>
    <t>Narryer Metals Limited Ordinary</t>
  </si>
  <si>
    <t>NYR</t>
  </si>
  <si>
    <t>Nyrada Inc. CDI 1:1 US Prohibited</t>
  </si>
  <si>
    <t>NZK</t>
  </si>
  <si>
    <t>New Zealand King Salmon Investments Limited Ordinary Foreign Exempt NZX</t>
  </si>
  <si>
    <t>NZM</t>
  </si>
  <si>
    <t>Nzme Limited Ordinary Foreign Exempt NZX</t>
  </si>
  <si>
    <t>OAK</t>
  </si>
  <si>
    <t>Oakridge International Limited Ordinary</t>
  </si>
  <si>
    <t>OB1</t>
  </si>
  <si>
    <t>Orbminco Limited Ordinary</t>
  </si>
  <si>
    <t>OBL</t>
  </si>
  <si>
    <t>Omni Bridgeway Limited Ordinary US Prohibited</t>
  </si>
  <si>
    <t>OBM</t>
  </si>
  <si>
    <t>Ora Banda Mining Ltd Ordinary</t>
  </si>
  <si>
    <t>OCA</t>
  </si>
  <si>
    <t>Oceania Healthcare Limited Ordinary Foreign Exempt NZX</t>
  </si>
  <si>
    <t>OCC</t>
  </si>
  <si>
    <t>Orthocell Limited Ordinary</t>
  </si>
  <si>
    <t>OCL</t>
  </si>
  <si>
    <t>Objective Corporation Limited Ordinary</t>
  </si>
  <si>
    <t>OCN</t>
  </si>
  <si>
    <t>Oceana Metals Limited Ordinary</t>
  </si>
  <si>
    <t>OCT</t>
  </si>
  <si>
    <t>Octava Minerals Limited Ordinary</t>
  </si>
  <si>
    <t>OD6</t>
  </si>
  <si>
    <t>OD6 Metals Limited Ordinary</t>
  </si>
  <si>
    <t>ODA</t>
  </si>
  <si>
    <t>Orcoda Limited Ordinary</t>
  </si>
  <si>
    <t>ODE</t>
  </si>
  <si>
    <t>Odessa Minerals Limited Ordinary</t>
  </si>
  <si>
    <t>ODY</t>
  </si>
  <si>
    <t>Odyssey Gold Ltd Ordinary</t>
  </si>
  <si>
    <t>OEC</t>
  </si>
  <si>
    <t>Orbital Corporation Limited Ordinary</t>
  </si>
  <si>
    <t>OEL</t>
  </si>
  <si>
    <t>Otto Energy Limited Ordinary</t>
  </si>
  <si>
    <t>OEQ</t>
  </si>
  <si>
    <t>Orion Equities Limited Ordinary</t>
  </si>
  <si>
    <t>OFX</t>
  </si>
  <si>
    <t>OFX Group Limited Ordinary</t>
  </si>
  <si>
    <t>OIL</t>
  </si>
  <si>
    <t>Optiscan Imaging Limited Ordinary</t>
  </si>
  <si>
    <t>OKJ</t>
  </si>
  <si>
    <t>Oakajee Corporation Limited Ordinary</t>
  </si>
  <si>
    <t>OLH</t>
  </si>
  <si>
    <t>Oldfields Holdings Limited Ordinary</t>
  </si>
  <si>
    <t>OLI</t>
  </si>
  <si>
    <t>Oliver's Real Food Limited Ordinary</t>
  </si>
  <si>
    <t>OLL</t>
  </si>
  <si>
    <t>Openlearning Limited Ordinary</t>
  </si>
  <si>
    <t>OLY</t>
  </si>
  <si>
    <t>Olympio Metals Limited Ordinary</t>
  </si>
  <si>
    <t>OM1</t>
  </si>
  <si>
    <t>Omnia Metals Group Ltd Ordinary</t>
  </si>
  <si>
    <t>OMA</t>
  </si>
  <si>
    <t>Omega Oil &amp; Gas Limited Ordinary</t>
  </si>
  <si>
    <t>OMG</t>
  </si>
  <si>
    <t>OMG Group Limited Ordinary</t>
  </si>
  <si>
    <t>OMH</t>
  </si>
  <si>
    <t>OM Holdings Limited 10c Ordinary</t>
  </si>
  <si>
    <t>OML</t>
  </si>
  <si>
    <t>OOH!Media Limited Ordinary</t>
  </si>
  <si>
    <t>OMX</t>
  </si>
  <si>
    <t>Orange Minerals NL Ordinary</t>
  </si>
  <si>
    <t>ONE</t>
  </si>
  <si>
    <t>Oneview Healthcare PLC CDI 1:1</t>
  </si>
  <si>
    <t>OOO</t>
  </si>
  <si>
    <t>BetaShares Crude Oil Index Currncy HDG Complex ETF</t>
  </si>
  <si>
    <t>OPH</t>
  </si>
  <si>
    <t>Ophir High Conviction Fund Ordinary Units</t>
  </si>
  <si>
    <t>OPN</t>
  </si>
  <si>
    <t>Openn Negotiation Limited Ordinary</t>
  </si>
  <si>
    <t>OPT</t>
  </si>
  <si>
    <t>Opthea Limited Ordinary</t>
  </si>
  <si>
    <t>OR3</t>
  </si>
  <si>
    <t>ORE Resources Limited Ordinary</t>
  </si>
  <si>
    <t>ORA</t>
  </si>
  <si>
    <t>Orora Limited Ordinary</t>
  </si>
  <si>
    <t>ORD</t>
  </si>
  <si>
    <t>Ordell Minerals Limited Ordinary</t>
  </si>
  <si>
    <t>ORE</t>
  </si>
  <si>
    <t>Orezone Gold Corporation CDI 1:1</t>
  </si>
  <si>
    <t>ORG</t>
  </si>
  <si>
    <t>Origin Energy Limited Ordinary</t>
  </si>
  <si>
    <t>ORI</t>
  </si>
  <si>
    <t>Orica Limited Ordinary</t>
  </si>
  <si>
    <t>ORN</t>
  </si>
  <si>
    <t>Orion Minerals Ltd Ordinary</t>
  </si>
  <si>
    <t>ORP</t>
  </si>
  <si>
    <t>Orpheus Uranium Limited Ordinary</t>
  </si>
  <si>
    <t>OSL</t>
  </si>
  <si>
    <t>Oncosil Medical Ltd Ordinary</t>
  </si>
  <si>
    <t>OSM</t>
  </si>
  <si>
    <t>Osmond Resources Limited Ordinary</t>
  </si>
  <si>
    <t>OSX</t>
  </si>
  <si>
    <t>Osteopore Limited Ordinary</t>
  </si>
  <si>
    <t>OVT</t>
  </si>
  <si>
    <t>Ovanti Limited Ordinary</t>
  </si>
  <si>
    <t>OZBD</t>
  </si>
  <si>
    <t>BetaShares Australian Composite Bond ETF</t>
  </si>
  <si>
    <t>OZF</t>
  </si>
  <si>
    <t>State Street SPDR S&amp;P/ASX 200 Financials EX A-Reit ETF</t>
  </si>
  <si>
    <t>OZM</t>
  </si>
  <si>
    <t>Ozaurum Resources Limited Ordinary</t>
  </si>
  <si>
    <t>OZR</t>
  </si>
  <si>
    <t>State Street SPDR S&amp;P/ASX 200 Resources ETF</t>
  </si>
  <si>
    <t>OZXX</t>
  </si>
  <si>
    <t>Global X Australia EX Financials &amp; Resources ETF</t>
  </si>
  <si>
    <t>OZZ</t>
  </si>
  <si>
    <t>Ozz Resources Limited Ordinary</t>
  </si>
  <si>
    <t>P1E</t>
  </si>
  <si>
    <t>Pure One Corporation Limited Ordinary</t>
  </si>
  <si>
    <t>PAB</t>
  </si>
  <si>
    <t>Patrys Limited Ordinary</t>
  </si>
  <si>
    <t>PAC</t>
  </si>
  <si>
    <t>Pacific Current Group Limited Ordinary</t>
  </si>
  <si>
    <t>PAR</t>
  </si>
  <si>
    <t>Paradigm Biopharmaceuticals Limited. Ordinary</t>
  </si>
  <si>
    <t>PAT</t>
  </si>
  <si>
    <t>Patriot Resources Limited Ordinary</t>
  </si>
  <si>
    <t>PAVE</t>
  </si>
  <si>
    <t>Global X US Infrastructure Development ETF</t>
  </si>
  <si>
    <t>PAXX</t>
  </si>
  <si>
    <t>Platinum Asia Fund Complex ETF</t>
  </si>
  <si>
    <t>PBH</t>
  </si>
  <si>
    <t>Pointsbet Holdings Limited Ordinary</t>
  </si>
  <si>
    <t>PBL</t>
  </si>
  <si>
    <t>Parabellum Resources Limited Ordinary</t>
  </si>
  <si>
    <t>PC2</t>
  </si>
  <si>
    <t>PC Gold Ltd Ordinary</t>
  </si>
  <si>
    <t>PCG</t>
  </si>
  <si>
    <t>Pengana Capital Group Limited Ordinary</t>
  </si>
  <si>
    <t>PCI</t>
  </si>
  <si>
    <t>Perpetual Credit Income Trust Ordinary Units</t>
  </si>
  <si>
    <t>PCK</t>
  </si>
  <si>
    <t>Painchek Ltd Ordinary</t>
  </si>
  <si>
    <t>PCL</t>
  </si>
  <si>
    <t>Pancontinental Energy NL Ordinary</t>
  </si>
  <si>
    <t>PCX</t>
  </si>
  <si>
    <t>Pengana Global Private Credit Trust Ordinary Units</t>
  </si>
  <si>
    <t>PDI</t>
  </si>
  <si>
    <t>Predictive Discovery Limited Ordinary</t>
  </si>
  <si>
    <t>PDN</t>
  </si>
  <si>
    <t>Paladin Energy Ltd Ordinary</t>
  </si>
  <si>
    <t>PE1</t>
  </si>
  <si>
    <t>Pengana Private Equity Trust Ordinary Units</t>
  </si>
  <si>
    <t>PEB</t>
  </si>
  <si>
    <t>Pacific Edge Limited Ordinary Foreign Exempt NZX</t>
  </si>
  <si>
    <t>PEC</t>
  </si>
  <si>
    <t>Perpetual Resources Limited Ordinary</t>
  </si>
  <si>
    <t>PEN</t>
  </si>
  <si>
    <t>Peninsula Energy Limited Ordinary</t>
  </si>
  <si>
    <t>PER</t>
  </si>
  <si>
    <t>Percheron Therapeutics Limited Ordinary</t>
  </si>
  <si>
    <t>PET</t>
  </si>
  <si>
    <t>Phoslock Environmental Technologies Limited Ordinary</t>
  </si>
  <si>
    <t>PEX</t>
  </si>
  <si>
    <t>Peel Mining Limited Ordinary</t>
  </si>
  <si>
    <t>PFE</t>
  </si>
  <si>
    <t>Pantera Minerals Limited Ordinary</t>
  </si>
  <si>
    <t>PFG</t>
  </si>
  <si>
    <t>Prime Financial Group Limited Ordinary</t>
  </si>
  <si>
    <t>PFM</t>
  </si>
  <si>
    <t>Platformo Ltd Ordinary</t>
  </si>
  <si>
    <t>PFP</t>
  </si>
  <si>
    <t>Propel Funeral Partners Limited Ordinary</t>
  </si>
  <si>
    <t>PFT</t>
  </si>
  <si>
    <t>Pure Foods Tasmania Limited Ordinary</t>
  </si>
  <si>
    <t>PGA1</t>
  </si>
  <si>
    <t>Plato Global Alpha Fund Complex ETF</t>
  </si>
  <si>
    <t>PGC</t>
  </si>
  <si>
    <t>Paragon Care Limited Ordinary</t>
  </si>
  <si>
    <t>PGD</t>
  </si>
  <si>
    <t>Peregrine Gold Ltd Ordinary</t>
  </si>
  <si>
    <t>PGF</t>
  </si>
  <si>
    <t>PM Capital Global Opportunities Fund Limited Ordinary</t>
  </si>
  <si>
    <t>PGM</t>
  </si>
  <si>
    <t>Platina Resources Limited Ordinary</t>
  </si>
  <si>
    <t>PGO</t>
  </si>
  <si>
    <t>Pacgold Limited Ordinary</t>
  </si>
  <si>
    <t>PGY</t>
  </si>
  <si>
    <t>Pilot Energy Limited Ordinary</t>
  </si>
  <si>
    <t>Integrated Oil &amp; Gas</t>
  </si>
  <si>
    <t>PHO</t>
  </si>
  <si>
    <t>Phosco Ltd Ordinary</t>
  </si>
  <si>
    <t>PHX</t>
  </si>
  <si>
    <t>Pharmx Technologies Limited Ordinary</t>
  </si>
  <si>
    <t>PIA</t>
  </si>
  <si>
    <t>Pengana International Equities Limited Ordinary</t>
  </si>
  <si>
    <t>PIC</t>
  </si>
  <si>
    <t>Perpetual Equity Investment Company Limited Ordinary</t>
  </si>
  <si>
    <t>PIL</t>
  </si>
  <si>
    <t>Peppermint Innovation Limited Ordinary</t>
  </si>
  <si>
    <t>PIM</t>
  </si>
  <si>
    <t>Pinnacle Minerals Limited Ordinary</t>
  </si>
  <si>
    <t>PIQ</t>
  </si>
  <si>
    <t>Proteomics International Laboratories Ltd Ordinary</t>
  </si>
  <si>
    <t>PIXX</t>
  </si>
  <si>
    <t>Platinum International Fund Active ETF</t>
  </si>
  <si>
    <t>PKD</t>
  </si>
  <si>
    <t>Parkd Ltd Ordinary</t>
  </si>
  <si>
    <t>PKO</t>
  </si>
  <si>
    <t>Peako Limited Ordinary</t>
  </si>
  <si>
    <t>PKP</t>
  </si>
  <si>
    <t>Peak Processing Limited Ordinary</t>
  </si>
  <si>
    <t>PKY</t>
  </si>
  <si>
    <t>Pathkey.AI Ltd Ordinary</t>
  </si>
  <si>
    <t>PL3</t>
  </si>
  <si>
    <t>Patagonia Lithium Ltd Ordinary</t>
  </si>
  <si>
    <t>PL8</t>
  </si>
  <si>
    <t>Plato Income Maximiser Limited Ordinary</t>
  </si>
  <si>
    <t>PL9</t>
  </si>
  <si>
    <t>Prairie Lithium Limited Ordinary</t>
  </si>
  <si>
    <t>PLA</t>
  </si>
  <si>
    <t>Pacific Lime and Cement Limited CDI 1:1</t>
  </si>
  <si>
    <t>PLC</t>
  </si>
  <si>
    <t>Premier1 Lithium Limited Ordinary</t>
  </si>
  <si>
    <t>PLG</t>
  </si>
  <si>
    <t>Pearl Gull Iron Limited Ordinary</t>
  </si>
  <si>
    <t>PLS</t>
  </si>
  <si>
    <t>PLS Group Limited Ordinary</t>
  </si>
  <si>
    <t>PLT</t>
  </si>
  <si>
    <t>Plenti Group Limited Ordinary</t>
  </si>
  <si>
    <t>PLUS</t>
  </si>
  <si>
    <t>Vaneck Australian Corporate Bond Plus ETF</t>
  </si>
  <si>
    <t>PLY</t>
  </si>
  <si>
    <t>Playside Studios Limited Ordinary</t>
  </si>
  <si>
    <t>PME</t>
  </si>
  <si>
    <t>Pro Medicus Limited Ordinary</t>
  </si>
  <si>
    <t>PMGOLD</t>
  </si>
  <si>
    <t>Perth Mint Gold ETP</t>
  </si>
  <si>
    <t>Commodities (Gold)</t>
  </si>
  <si>
    <t>PMM</t>
  </si>
  <si>
    <t>Pioneer Minerals Limited Ordinary</t>
  </si>
  <si>
    <t>PMT</t>
  </si>
  <si>
    <t>Pmet Resources Inc. CDI 10:1</t>
  </si>
  <si>
    <t>PMV</t>
  </si>
  <si>
    <t>Premier Investments Limited Ordinary</t>
  </si>
  <si>
    <t>PNC</t>
  </si>
  <si>
    <t>Pioneer Credit Limited Ordinary</t>
  </si>
  <si>
    <t>PNI</t>
  </si>
  <si>
    <t>Pinnacle Investment Management Group Limited Ordinary</t>
  </si>
  <si>
    <t>PNM</t>
  </si>
  <si>
    <t>Pacific Nickel Mines Limited Ordinary</t>
  </si>
  <si>
    <t>PNN</t>
  </si>
  <si>
    <t>Power Minerals Limited Ordinary</t>
  </si>
  <si>
    <t>PNR</t>
  </si>
  <si>
    <t>Pantoro Gold Limited Ordinary</t>
  </si>
  <si>
    <t>PNT</t>
  </si>
  <si>
    <t>Panther Metals Ltd Ordinary</t>
  </si>
  <si>
    <t>PNV</t>
  </si>
  <si>
    <t>Polynovo Limited Ordinary</t>
  </si>
  <si>
    <t>POD</t>
  </si>
  <si>
    <t>Podium Minerals Limited Ordinary</t>
  </si>
  <si>
    <t>POL</t>
  </si>
  <si>
    <t>Polymetals Resources Ltd Ordinary</t>
  </si>
  <si>
    <t>PPC</t>
  </si>
  <si>
    <t>Peet Limited Ordinary</t>
  </si>
  <si>
    <t>PPE</t>
  </si>
  <si>
    <t>Peoplein Limited Ordinary</t>
  </si>
  <si>
    <t>PPG</t>
  </si>
  <si>
    <t>Pro-Pac Packaging Limited Ordinary</t>
  </si>
  <si>
    <t>PPK</t>
  </si>
  <si>
    <t>PPK Group Limited Ordinary</t>
  </si>
  <si>
    <t>PPL</t>
  </si>
  <si>
    <t>Pureprofile Ltd Ordinary</t>
  </si>
  <si>
    <t>PPM</t>
  </si>
  <si>
    <t>Pepper Money Limited Ordinary</t>
  </si>
  <si>
    <t>PPS</t>
  </si>
  <si>
    <t>Praemium Limited Ordinary</t>
  </si>
  <si>
    <t>PPT</t>
  </si>
  <si>
    <t>Perpetual Limited Ordinary</t>
  </si>
  <si>
    <t>PPY</t>
  </si>
  <si>
    <t>Papyrus Australia Limited Ordinary</t>
  </si>
  <si>
    <t>Paper Products</t>
  </si>
  <si>
    <t>PR1</t>
  </si>
  <si>
    <t>Pure Resources Limited Ordinary</t>
  </si>
  <si>
    <t>PR2</t>
  </si>
  <si>
    <t>Piche Resources Limited Ordinary</t>
  </si>
  <si>
    <t>PRG</t>
  </si>
  <si>
    <t>PRL Global Ltd Ordinary</t>
  </si>
  <si>
    <t>Diversified Industrial Goods Wholesale</t>
  </si>
  <si>
    <t>PRM</t>
  </si>
  <si>
    <t>Prominence Energy Limited Ordinary</t>
  </si>
  <si>
    <t>PRN</t>
  </si>
  <si>
    <t>Perenti Limited Ordinary</t>
  </si>
  <si>
    <t>PRO</t>
  </si>
  <si>
    <t>Prophecy International Holdings Limited Ordinary</t>
  </si>
  <si>
    <t>PRU</t>
  </si>
  <si>
    <t>Perseus Mining Limited Ordinary</t>
  </si>
  <si>
    <t>PRX</t>
  </si>
  <si>
    <t>Prodigy Gold NL Ordinary</t>
  </si>
  <si>
    <t>PSC</t>
  </si>
  <si>
    <t>Prospect Resources Limited Ordinary</t>
  </si>
  <si>
    <t>PSL</t>
  </si>
  <si>
    <t>Paterson Resources Ltd Ordinary</t>
  </si>
  <si>
    <t>PTL</t>
  </si>
  <si>
    <t>Prestal Holdings Limited Ordinary</t>
  </si>
  <si>
    <t>PTN</t>
  </si>
  <si>
    <t>Patronus Resources Limited Ordinary</t>
  </si>
  <si>
    <t>PTR</t>
  </si>
  <si>
    <t>PTR Minerals Ltd Ordinary</t>
  </si>
  <si>
    <t>PTX</t>
  </si>
  <si>
    <t>Prescient Therapeutics Limited Ordinary</t>
  </si>
  <si>
    <t>PUR</t>
  </si>
  <si>
    <t>Pursuit Minerals Ltd Ordinary</t>
  </si>
  <si>
    <t>PV1</t>
  </si>
  <si>
    <t>Provaris Energy Ltd Ordinary</t>
  </si>
  <si>
    <t>PVE</t>
  </si>
  <si>
    <t>PO Valley Energy Limited Ordinary</t>
  </si>
  <si>
    <t>PVL</t>
  </si>
  <si>
    <t>Powerhouse Ventures Limited Ordinary</t>
  </si>
  <si>
    <t>PVT</t>
  </si>
  <si>
    <t>Pivotal Metals Limited Ordinary</t>
  </si>
  <si>
    <t>PVW</t>
  </si>
  <si>
    <t>PVW Resources Limited Ordinary</t>
  </si>
  <si>
    <t>PWH</t>
  </si>
  <si>
    <t>Power Holdings Limited Ordinary</t>
  </si>
  <si>
    <t>PWN</t>
  </si>
  <si>
    <t>Parkway Corporate Limited Ordinary</t>
  </si>
  <si>
    <t>PWR</t>
  </si>
  <si>
    <t>Peter Warren Automotive Holdings Limited Ordinary</t>
  </si>
  <si>
    <t>PXA</t>
  </si>
  <si>
    <t>Pexa Group Limited Ordinary</t>
  </si>
  <si>
    <t>PXR</t>
  </si>
  <si>
    <t>Pacific Resources Limited Ordinary</t>
  </si>
  <si>
    <t>PXX</t>
  </si>
  <si>
    <t>Polarx Limited Ordinary</t>
  </si>
  <si>
    <t>PYC</t>
  </si>
  <si>
    <t>PYC Therapeutics Limited Ordinary</t>
  </si>
  <si>
    <t>QAL</t>
  </si>
  <si>
    <t>Qualitas Limited Ordinary</t>
  </si>
  <si>
    <t>QAN</t>
  </si>
  <si>
    <t>Qantas Airways Limited Ordinary</t>
  </si>
  <si>
    <t>QAU</t>
  </si>
  <si>
    <t>BetaShares Gold Bullion Currency Hedged ETF</t>
  </si>
  <si>
    <t>QBE</t>
  </si>
  <si>
    <t>QBE Insurance Group Limited Ordinary</t>
  </si>
  <si>
    <t>QBTC</t>
  </si>
  <si>
    <t>BetaShares Bitcoin ETF. ETF</t>
  </si>
  <si>
    <t>QEM</t>
  </si>
  <si>
    <t>QEM Limited Ordinary</t>
  </si>
  <si>
    <t>QETH</t>
  </si>
  <si>
    <t>BetaShares Ethereum ETF. ETF</t>
  </si>
  <si>
    <t>QFE</t>
  </si>
  <si>
    <t>Quickfee Limited Ordinary</t>
  </si>
  <si>
    <t>QFN</t>
  </si>
  <si>
    <t>BetaShares Australian Financials Sector ETF</t>
  </si>
  <si>
    <t>QGFH</t>
  </si>
  <si>
    <t>Quay Global Real Estate Fund (AUD) Active ETF</t>
  </si>
  <si>
    <t>QGL</t>
  </si>
  <si>
    <t>Quantum Graphite Limited Ordinary</t>
  </si>
  <si>
    <t>QGRU</t>
  </si>
  <si>
    <t>Quay Global Real Estate Fund (Unhedged) Active ETF</t>
  </si>
  <si>
    <t>QHAL</t>
  </si>
  <si>
    <t>Vaneck MSCI International Quality (AUD Hedged) ETF</t>
  </si>
  <si>
    <t>QHSM</t>
  </si>
  <si>
    <t>Vaneck MSCI International SML Comp Quality (AUD Hedged) ETF</t>
  </si>
  <si>
    <t>QLTY</t>
  </si>
  <si>
    <t>BetaShares Global Quality Leaders ETF</t>
  </si>
  <si>
    <t>QMAX</t>
  </si>
  <si>
    <t>BetaShares Nasdaq-100 Yield Maximiser Complex ETF</t>
  </si>
  <si>
    <t>QMIX</t>
  </si>
  <si>
    <t>State Street SPDR MSCI World Quality MIX ETF</t>
  </si>
  <si>
    <t>QML</t>
  </si>
  <si>
    <t>Qmines Limited Ordinary</t>
  </si>
  <si>
    <t>QNDQ</t>
  </si>
  <si>
    <t>BetaShares Nasdaq-100 Equal Weight ETF</t>
  </si>
  <si>
    <t>QOR</t>
  </si>
  <si>
    <t>Qoria Limited Ordinary</t>
  </si>
  <si>
    <t>QOZ</t>
  </si>
  <si>
    <t>BetaShares FTSE RAFI Australia 200 ETF</t>
  </si>
  <si>
    <t>QPM</t>
  </si>
  <si>
    <t>QPM Energy Limited Ordinary</t>
  </si>
  <si>
    <t>QPON</t>
  </si>
  <si>
    <t>BetaShares Australian Bank Senior Floating Rate Bond ETF</t>
  </si>
  <si>
    <t>QRE</t>
  </si>
  <si>
    <t>BetaShares Australian Resources Sector ETF</t>
  </si>
  <si>
    <t>QRI</t>
  </si>
  <si>
    <t>Qualitas Real Estate Income Fund Ordinary Units</t>
  </si>
  <si>
    <t>QSML</t>
  </si>
  <si>
    <t>Vaneck MSCI International Small Companies Quality ETF</t>
  </si>
  <si>
    <t>QUAL</t>
  </si>
  <si>
    <t>Vaneck MSCI International Quality ETF</t>
  </si>
  <si>
    <t>QUB</t>
  </si>
  <si>
    <t>Qube Holdings Limited Ordinary</t>
  </si>
  <si>
    <t>QUE</t>
  </si>
  <si>
    <t>Queste Communications Limited Ordinary</t>
  </si>
  <si>
    <t>QUS</t>
  </si>
  <si>
    <t>BetaShares S&amp;P 500 Equal Weight ETF</t>
  </si>
  <si>
    <t>QXR</t>
  </si>
  <si>
    <t>QX Resources Limited Ordinary</t>
  </si>
  <si>
    <t>QYLD</t>
  </si>
  <si>
    <t>Global X Nasdaq-100 Covered Call Complex ETF</t>
  </si>
  <si>
    <t>R3AL</t>
  </si>
  <si>
    <t>Clearbridge Real Income Fund - Active ETF</t>
  </si>
  <si>
    <t>R8R</t>
  </si>
  <si>
    <t>Regener8 Resources NL Ordinary</t>
  </si>
  <si>
    <t>RAC</t>
  </si>
  <si>
    <t>Racura Oncology Ltd Ordinary</t>
  </si>
  <si>
    <t>RAD</t>
  </si>
  <si>
    <t>Radiopharm Theranostics Limited Ordinary</t>
  </si>
  <si>
    <t>RAG</t>
  </si>
  <si>
    <t>Ragnar Metals Limited Ordinary</t>
  </si>
  <si>
    <t>RAN</t>
  </si>
  <si>
    <t>Range International Limited Ordinary</t>
  </si>
  <si>
    <t>RARI</t>
  </si>
  <si>
    <t>Russell Investments Australian Responsible Investment ETF</t>
  </si>
  <si>
    <t>RAS</t>
  </si>
  <si>
    <t>Ragusa Minerals Ltd Ordinary</t>
  </si>
  <si>
    <t>RAU</t>
  </si>
  <si>
    <t>Resouro Strategic Metals Inc. CDI 1:1</t>
  </si>
  <si>
    <t>Materials (Rare Earths/Titanium)</t>
  </si>
  <si>
    <t>RB6</t>
  </si>
  <si>
    <t>Rubix Resources Limited Ordinary</t>
  </si>
  <si>
    <t>RBR</t>
  </si>
  <si>
    <t>RBR Group Limited Ordinary</t>
  </si>
  <si>
    <t>RBTZ</t>
  </si>
  <si>
    <t>BetaShares Global Robotics and Artificial Intelligence ETF</t>
  </si>
  <si>
    <t>RBX</t>
  </si>
  <si>
    <t>Resource Base Limited Ordinary</t>
  </si>
  <si>
    <t>RC1</t>
  </si>
  <si>
    <t>Redcastle Resources Limited Ordinary</t>
  </si>
  <si>
    <t>RCAP</t>
  </si>
  <si>
    <t>Resolution Cap Global Property Sec Fund - Active ETF</t>
  </si>
  <si>
    <t>RCB</t>
  </si>
  <si>
    <t>Russell Investments Australian Select Corporate Bond ETF</t>
  </si>
  <si>
    <t>RCE</t>
  </si>
  <si>
    <t>Recce Pharmaceuticals Ltd Ordinary</t>
  </si>
  <si>
    <t>RCL</t>
  </si>
  <si>
    <t>Readcloud Limited Ordinary</t>
  </si>
  <si>
    <t>RCM</t>
  </si>
  <si>
    <t>Rapid Critical Metals Limited Ordinary</t>
  </si>
  <si>
    <t>RCR</t>
  </si>
  <si>
    <t>Rincon Resources Limited Ordinary</t>
  </si>
  <si>
    <t>RCT</t>
  </si>
  <si>
    <t>Reef Casino Trust Ordinary Units</t>
  </si>
  <si>
    <t>RDM</t>
  </si>
  <si>
    <t>Red Metal Limited Ordinary</t>
  </si>
  <si>
    <t>RDN</t>
  </si>
  <si>
    <t>Raiden Resources Limited Ordinary</t>
  </si>
  <si>
    <t>RDS</t>
  </si>
  <si>
    <t>Redstone Resources Limited Ordinary</t>
  </si>
  <si>
    <t>RDV</t>
  </si>
  <si>
    <t>Russell Investments High Dividend Australian Shares ETF</t>
  </si>
  <si>
    <t>RDX</t>
  </si>
  <si>
    <t>Redox Limited Ordinary</t>
  </si>
  <si>
    <t>RDY</t>
  </si>
  <si>
    <t>Readytech Holdings Limited Ordinary</t>
  </si>
  <si>
    <t>REA</t>
  </si>
  <si>
    <t>REA Group Ltd Ordinary</t>
  </si>
  <si>
    <t>REC</t>
  </si>
  <si>
    <t>Recharge Metals Limited Ordinary</t>
  </si>
  <si>
    <t>REE</t>
  </si>
  <si>
    <t>Rarex Limited Ordinary</t>
  </si>
  <si>
    <t>REG</t>
  </si>
  <si>
    <t>Regis Healthcare Limited Ordinary</t>
  </si>
  <si>
    <t>REH</t>
  </si>
  <si>
    <t>Reece Limited Ordinary</t>
  </si>
  <si>
    <t>REIT</t>
  </si>
  <si>
    <t>Vaneck FTSE International Property (AUD Hedged) ETF</t>
  </si>
  <si>
    <t>REM</t>
  </si>
  <si>
    <t>Remsense Technologies Limited Ordinary</t>
  </si>
  <si>
    <t>REP</t>
  </si>
  <si>
    <t>RAM Essential Services Property Fund Units Stapled Securities</t>
  </si>
  <si>
    <t>REV</t>
  </si>
  <si>
    <t>Revolution Private Credit Income Trust Ordinary Units</t>
  </si>
  <si>
    <t>Financials (Asset Management)</t>
  </si>
  <si>
    <t>REZ</t>
  </si>
  <si>
    <t>Resources &amp; Energy Group Limited Ordinary</t>
  </si>
  <si>
    <t>RF1</t>
  </si>
  <si>
    <t>Regal Investment Fund Ordinary Units</t>
  </si>
  <si>
    <t>RFF</t>
  </si>
  <si>
    <t>Rural Funds Group Units Stapled Securities</t>
  </si>
  <si>
    <t>RFG</t>
  </si>
  <si>
    <t>Retail Food Group Limited Ordinary</t>
  </si>
  <si>
    <t>RFT</t>
  </si>
  <si>
    <t>Rectifier Technologies Ltd Ordinary</t>
  </si>
  <si>
    <t>RG1</t>
  </si>
  <si>
    <t>Regal Partners Global Investments Limited Ordinary</t>
  </si>
  <si>
    <t>RG8</t>
  </si>
  <si>
    <t>Regal Asian Investments Limited Ordinary</t>
  </si>
  <si>
    <t>RGB</t>
  </si>
  <si>
    <t>Russell Investments Australian Government Bond ETF</t>
  </si>
  <si>
    <t>RGL</t>
  </si>
  <si>
    <t>Riversgold Limited Ordinary</t>
  </si>
  <si>
    <t>RGN</t>
  </si>
  <si>
    <t>Region Group Units Stapled Securities</t>
  </si>
  <si>
    <t>RGOS</t>
  </si>
  <si>
    <t>Russell Sust Global Opportunities Complex ETF</t>
  </si>
  <si>
    <t>RGT</t>
  </si>
  <si>
    <t>Argent Biopharma Limited Ordinary</t>
  </si>
  <si>
    <t>RHC</t>
  </si>
  <si>
    <t>Ramsay Health Care Limited Ordinary</t>
  </si>
  <si>
    <t>RHI</t>
  </si>
  <si>
    <t>Red Hill Minerals Limited Ordinary</t>
  </si>
  <si>
    <t>RHT</t>
  </si>
  <si>
    <t>Resonance Health Limited Ordinary</t>
  </si>
  <si>
    <t>RHY</t>
  </si>
  <si>
    <t>Rhythm Biosciences Limited Ordinary</t>
  </si>
  <si>
    <t>RIC</t>
  </si>
  <si>
    <t>Ridley Corporation Limited Ordinary</t>
  </si>
  <si>
    <t>RIE</t>
  </si>
  <si>
    <t>Riedel Resources Limited Ordinary</t>
  </si>
  <si>
    <t>RIIF</t>
  </si>
  <si>
    <t>Resolution Global Listed Infra Fund - Active ETF</t>
  </si>
  <si>
    <t>RIL</t>
  </si>
  <si>
    <t>Redivium Limited Ordinary</t>
  </si>
  <si>
    <t>RIM</t>
  </si>
  <si>
    <t>Rimfire Pacific Mining Limited Ordinary</t>
  </si>
  <si>
    <t>RIO</t>
  </si>
  <si>
    <t>Rio Tinto Limited Ordinary</t>
  </si>
  <si>
    <t>2.07542E+11</t>
  </si>
  <si>
    <t>RIV</t>
  </si>
  <si>
    <t>Rivco Australia Ltd Ordinary</t>
  </si>
  <si>
    <t>RKB</t>
  </si>
  <si>
    <t>Rokeby Resources Limited Ordinary</t>
  </si>
  <si>
    <t>RKN</t>
  </si>
  <si>
    <t>Reckon Limited Ordinary</t>
  </si>
  <si>
    <t>RKT</t>
  </si>
  <si>
    <t>Rocketdna Ltd. Ordinary</t>
  </si>
  <si>
    <t>RLC</t>
  </si>
  <si>
    <t>Reedy Lagoon Corporation Limited Ordinary</t>
  </si>
  <si>
    <t>RLF</t>
  </si>
  <si>
    <t>RLF Agtech Ltd Ordinary</t>
  </si>
  <si>
    <t>RLG</t>
  </si>
  <si>
    <t>Roolife Group Ltd Ordinary</t>
  </si>
  <si>
    <t>RLT</t>
  </si>
  <si>
    <t>Renergen Limited CDI 1:1</t>
  </si>
  <si>
    <t>RMBS</t>
  </si>
  <si>
    <t>Vaneck Australian Rmbs ETF</t>
  </si>
  <si>
    <t>RMC</t>
  </si>
  <si>
    <t>Resimac Group Ltd Ordinary</t>
  </si>
  <si>
    <t>RMD</t>
  </si>
  <si>
    <t>Resmed Inc CDI 10:1 Foreign Exempt NYSE</t>
  </si>
  <si>
    <t>RMI</t>
  </si>
  <si>
    <t>Resource Minerals International Ltd Ordinary</t>
  </si>
  <si>
    <t>RML</t>
  </si>
  <si>
    <t>Resolution Minerals Ltd Ordinary</t>
  </si>
  <si>
    <t>RMS</t>
  </si>
  <si>
    <t>Ramelius Resources Limited Ordinary</t>
  </si>
  <si>
    <t>RMX</t>
  </si>
  <si>
    <t>Red Mountain Mining Limited Ordinary</t>
  </si>
  <si>
    <t>RMY</t>
  </si>
  <si>
    <t>RMA Global Limited Ordinary</t>
  </si>
  <si>
    <t>RND</t>
  </si>
  <si>
    <t>Rand Mining Limited Ordinary</t>
  </si>
  <si>
    <t>RNT</t>
  </si>
  <si>
    <t>Rent.Com.AU Limited Ordinary</t>
  </si>
  <si>
    <t>RNU</t>
  </si>
  <si>
    <t>Renascor Resources Limited Ordinary</t>
  </si>
  <si>
    <t>RNV</t>
  </si>
  <si>
    <t>Renerve Limited Ordinary</t>
  </si>
  <si>
    <t>RNX</t>
  </si>
  <si>
    <t>Renegade Exploration Limited Ordinary</t>
  </si>
  <si>
    <t>ROBO</t>
  </si>
  <si>
    <t>Global X Robo Global Robotics &amp; Automation ETF</t>
  </si>
  <si>
    <t>ROC</t>
  </si>
  <si>
    <t>Rocketboots Limited Ordinary</t>
  </si>
  <si>
    <t>ROG</t>
  </si>
  <si>
    <t>Red Sky Energy Limited Ordinary</t>
  </si>
  <si>
    <t>RON</t>
  </si>
  <si>
    <t>Ronin Resources Ltd Ordinary</t>
  </si>
  <si>
    <t>ROYL</t>
  </si>
  <si>
    <t>BetaShares Global Royalties ETF</t>
  </si>
  <si>
    <t>RPL</t>
  </si>
  <si>
    <t>Regal Partners Limited Ordinary</t>
  </si>
  <si>
    <t>RPM</t>
  </si>
  <si>
    <t>RPM Automotive Group Limited Ordinary</t>
  </si>
  <si>
    <t>RR1</t>
  </si>
  <si>
    <t>Reach Resources Limited Ordinary</t>
  </si>
  <si>
    <t>RRE</t>
  </si>
  <si>
    <t>Right Resources Limited Ordinary</t>
  </si>
  <si>
    <t>RRL</t>
  </si>
  <si>
    <t>Regis Resources Limited Ordinary</t>
  </si>
  <si>
    <t>RRR</t>
  </si>
  <si>
    <t>Revolver Resources Holdings Ltd Ordinary</t>
  </si>
  <si>
    <t>RSG</t>
  </si>
  <si>
    <t>Resolute Mining Limited Ordinary</t>
  </si>
  <si>
    <t>RSM</t>
  </si>
  <si>
    <t>Russell Investments Australian Semi-Government Bond ETF</t>
  </si>
  <si>
    <t>RSSL</t>
  </si>
  <si>
    <t>Global X Russell 2000 ETF</t>
  </si>
  <si>
    <t>RTG</t>
  </si>
  <si>
    <t>RTG Mining Inc. CDI 1:1</t>
  </si>
  <si>
    <t>RTH</t>
  </si>
  <si>
    <t>RAS Technology Holdings Limited Ordinary</t>
  </si>
  <si>
    <t>RTR</t>
  </si>
  <si>
    <t>Rumble Resources Limited Ordinary</t>
  </si>
  <si>
    <t>RUL</t>
  </si>
  <si>
    <t>Rpmglobal Holdings Limited Ordinary</t>
  </si>
  <si>
    <t>RVT</t>
  </si>
  <si>
    <t>Richmond Vanadium Technology Limited Ordinary</t>
  </si>
  <si>
    <t>RWC</t>
  </si>
  <si>
    <t>Reliance Worldwide Corporation Limited Ordinary</t>
  </si>
  <si>
    <t>RWD</t>
  </si>
  <si>
    <t>Reward Minerals Ltd Ordinary</t>
  </si>
  <si>
    <t>RWL</t>
  </si>
  <si>
    <t>Rubicon Water Limited Ordinary</t>
  </si>
  <si>
    <t>RXL</t>
  </si>
  <si>
    <t>Rox Resources Limited Ordinary</t>
  </si>
  <si>
    <t>RXR</t>
  </si>
  <si>
    <t>Robex Resources Inc. CDI 1:1</t>
  </si>
  <si>
    <t>RYD</t>
  </si>
  <si>
    <t>Ryder Capital Limited Ordinary</t>
  </si>
  <si>
    <t>RYM</t>
  </si>
  <si>
    <t>Ryman Healthcare Limited Ordinary Foreign Exempt NZX</t>
  </si>
  <si>
    <t>Health Care (Aged Care)</t>
  </si>
  <si>
    <t>RYZ</t>
  </si>
  <si>
    <t>Ryzon Materials Limited Ordinary</t>
  </si>
  <si>
    <t>RZI</t>
  </si>
  <si>
    <t>Raiz Invest Limited Ordinary</t>
  </si>
  <si>
    <t>S2R</t>
  </si>
  <si>
    <t>S2 Resources Ltd Ordinary</t>
  </si>
  <si>
    <t>S32</t>
  </si>
  <si>
    <t>South32 Limited Ordinary</t>
  </si>
  <si>
    <t>S3GO</t>
  </si>
  <si>
    <t>Firetrail S3 Global Opps Fund - Active ETF</t>
  </si>
  <si>
    <t>S66</t>
  </si>
  <si>
    <t>Star Combo Pharma Limited Ordinary</t>
  </si>
  <si>
    <t>SAN</t>
  </si>
  <si>
    <t>Sagalio Energy Limited Ordinary</t>
  </si>
  <si>
    <t>SB2</t>
  </si>
  <si>
    <t>Salter Brothers Emerging Companies Limited Ordinary</t>
  </si>
  <si>
    <t>SBM</t>
  </si>
  <si>
    <t>St Barbara Limited Ordinary</t>
  </si>
  <si>
    <t>SBR</t>
  </si>
  <si>
    <t>Sabre Resources Limited Ordinary</t>
  </si>
  <si>
    <t>SCG</t>
  </si>
  <si>
    <t>Scentre Group Ordinary/Units Stapled Securities</t>
  </si>
  <si>
    <t>SCN</t>
  </si>
  <si>
    <t>Scorpion Minerals Limited Ordinary</t>
  </si>
  <si>
    <t>SCP</t>
  </si>
  <si>
    <t>Scalare Partners Holdings Limited Ordinary</t>
  </si>
  <si>
    <t>SCT</t>
  </si>
  <si>
    <t>Scout Security Limited Ordinary</t>
  </si>
  <si>
    <t>SDF</t>
  </si>
  <si>
    <t>Steadfast Group Limited Ordinary</t>
  </si>
  <si>
    <t>SDI</t>
  </si>
  <si>
    <t>SDI Limited Ordinary</t>
  </si>
  <si>
    <t>SDR</t>
  </si>
  <si>
    <t>Siteminder Limited Ordinary</t>
  </si>
  <si>
    <t>SDV</t>
  </si>
  <si>
    <t>Scidev Ltd Ordinary</t>
  </si>
  <si>
    <t>SEA</t>
  </si>
  <si>
    <t>Sea Forest Limited Ordinary</t>
  </si>
  <si>
    <t>SEC</t>
  </si>
  <si>
    <t>Spheria Emerging Companies Limited Ordinary</t>
  </si>
  <si>
    <t>SEG</t>
  </si>
  <si>
    <t>Sports Entertainment Group Limited Ordinary</t>
  </si>
  <si>
    <t>SEK</t>
  </si>
  <si>
    <t>Seek Limited Ordinary</t>
  </si>
  <si>
    <t>SEMI</t>
  </si>
  <si>
    <t>Global X Semiconductor ETF</t>
  </si>
  <si>
    <t>SEN</t>
  </si>
  <si>
    <t>Senetas Corporation Limited Ordinary</t>
  </si>
  <si>
    <t>SEQ</t>
  </si>
  <si>
    <t>Sequoia Financial Group Ltd Ordinary</t>
  </si>
  <si>
    <t>SER</t>
  </si>
  <si>
    <t>Strategic Energy Resources Limited Ordinary</t>
  </si>
  <si>
    <t>SFC</t>
  </si>
  <si>
    <t>Schaffer Corporation Limited Ordinary</t>
  </si>
  <si>
    <t>SFG</t>
  </si>
  <si>
    <t>Seafarms Group Limited Ordinary</t>
  </si>
  <si>
    <t>SFIF</t>
  </si>
  <si>
    <t>Seed Financial Income Fund Active ETF</t>
  </si>
  <si>
    <t>SFM</t>
  </si>
  <si>
    <t>Santa FE Minerals Ltd Ordinary</t>
  </si>
  <si>
    <t>SFR</t>
  </si>
  <si>
    <t>Sandfire Resources Limited Ordinary</t>
  </si>
  <si>
    <t>SFX</t>
  </si>
  <si>
    <t>Sheffield Resources Limited Ordinary</t>
  </si>
  <si>
    <t>SFY</t>
  </si>
  <si>
    <t>State Street SPDR S&amp;P/ASX 50 ETF</t>
  </si>
  <si>
    <t>Investment Trusts</t>
  </si>
  <si>
    <t>SGA</t>
  </si>
  <si>
    <t>Sarytogan Graphite Limited Ordinary</t>
  </si>
  <si>
    <t>SGH</t>
  </si>
  <si>
    <t>SGH Limited Ordinary</t>
  </si>
  <si>
    <t>SGI</t>
  </si>
  <si>
    <t>Stealth Group Holdings Ltd Ordinary</t>
  </si>
  <si>
    <t>SGM</t>
  </si>
  <si>
    <t>Sims Limited Ordinary</t>
  </si>
  <si>
    <t>SGP</t>
  </si>
  <si>
    <t>Stockland Ordinary/Units Stapled Securities</t>
  </si>
  <si>
    <t>SGQ</t>
  </si>
  <si>
    <t>St George Mining Limited Ordinary</t>
  </si>
  <si>
    <t>SGR</t>
  </si>
  <si>
    <t>The Star Entertainment Group Limited Ordinary</t>
  </si>
  <si>
    <t>SHA</t>
  </si>
  <si>
    <t>Shape Australia Corporation Limited Ordinary</t>
  </si>
  <si>
    <t>SHE</t>
  </si>
  <si>
    <t>Stonehorse Energy Limited Ordinary</t>
  </si>
  <si>
    <t>SHG</t>
  </si>
  <si>
    <t>Singular Health Group Ltd Ordinary</t>
  </si>
  <si>
    <t>SHJ</t>
  </si>
  <si>
    <t>Shine Justice Ltd Ordinary</t>
  </si>
  <si>
    <t>SHL</t>
  </si>
  <si>
    <t>Sonic Healthcare Limited Ordinary</t>
  </si>
  <si>
    <t>SHM</t>
  </si>
  <si>
    <t>Shriro Holdings Limited Ordinary</t>
  </si>
  <si>
    <t>SHN</t>
  </si>
  <si>
    <t>Sunshine Metals Limited Ordinary</t>
  </si>
  <si>
    <t>SHO</t>
  </si>
  <si>
    <t>Sportshero Limited Ordinary</t>
  </si>
  <si>
    <t>SHP</t>
  </si>
  <si>
    <t>South Harz Potash Ltd Ordinary</t>
  </si>
  <si>
    <t>SHV</t>
  </si>
  <si>
    <t>Select Harvests Limited Ordinary</t>
  </si>
  <si>
    <t>SIG</t>
  </si>
  <si>
    <t>Sigma Healthcare Limited Ordinary</t>
  </si>
  <si>
    <t>SIO</t>
  </si>
  <si>
    <t>Simonds Group Limited Ordinary</t>
  </si>
  <si>
    <t>SIQ</t>
  </si>
  <si>
    <t>Smartgroup Corporation Ltd Ordinary</t>
  </si>
  <si>
    <t>SIS</t>
  </si>
  <si>
    <t>Simble Solutions Limited Ordinary</t>
  </si>
  <si>
    <t>SIV</t>
  </si>
  <si>
    <t>SIV Capital Limited Ordinary</t>
  </si>
  <si>
    <t>SIX</t>
  </si>
  <si>
    <t>Sprintex Limited Ordinary</t>
  </si>
  <si>
    <t>SKC</t>
  </si>
  <si>
    <t>Skycity Entertainment Group Limited Ordinary Foreign Exempt NZX</t>
  </si>
  <si>
    <t>SKK</t>
  </si>
  <si>
    <t>Stakk Limited Ordinary</t>
  </si>
  <si>
    <t>SKM</t>
  </si>
  <si>
    <t>Skylark Minerals Limited Ordinary</t>
  </si>
  <si>
    <t>SKN</t>
  </si>
  <si>
    <t>Skin Elements Limited Ordinary</t>
  </si>
  <si>
    <t>SKO</t>
  </si>
  <si>
    <t>Serko Limited Ordinary Foreign Exempt NZX</t>
  </si>
  <si>
    <t>SKS</t>
  </si>
  <si>
    <t>SKS Technologies Group Limited Ordinary</t>
  </si>
  <si>
    <t>SKT</t>
  </si>
  <si>
    <t>Sky Network Television Limited Ordinary Foreign Exempt NZX</t>
  </si>
  <si>
    <t>SKUK</t>
  </si>
  <si>
    <t>Hejaz Sukuk Active ETF</t>
  </si>
  <si>
    <t>SKY</t>
  </si>
  <si>
    <t>Sky Metals Limited Ordinary</t>
  </si>
  <si>
    <t>SLA</t>
  </si>
  <si>
    <t>Solara Minerals Ltd Ordinary</t>
  </si>
  <si>
    <t>SLB</t>
  </si>
  <si>
    <t>Stelar Metals Limited Ordinary</t>
  </si>
  <si>
    <t>SLC</t>
  </si>
  <si>
    <t>Superloop Limited Ordinary</t>
  </si>
  <si>
    <t>SLD</t>
  </si>
  <si>
    <t>Saluda Medical, Inc. CDI 10:1 US Person Prohibited Excluding QIB</t>
  </si>
  <si>
    <t>SLF</t>
  </si>
  <si>
    <t>State Street SPDR S&amp;P/ASX 200 Listed Property ETF</t>
  </si>
  <si>
    <t>SLM</t>
  </si>
  <si>
    <t>Solis Minerals Limited Ordinary Fully Paid</t>
  </si>
  <si>
    <t>SLS</t>
  </si>
  <si>
    <t>Solstice Minerals Limited Ordinary</t>
  </si>
  <si>
    <t>SLX</t>
  </si>
  <si>
    <t>Silex Systems Limited Ordinary</t>
  </si>
  <si>
    <t>SLZ</t>
  </si>
  <si>
    <t>Sultan Resources Ltd Ordinary</t>
  </si>
  <si>
    <t>SM1</t>
  </si>
  <si>
    <t>Synlait Milk Limited Ordinary Foreign Exempt NZX</t>
  </si>
  <si>
    <t>SMI</t>
  </si>
  <si>
    <t>Santana Minerals Limited Ordinary</t>
  </si>
  <si>
    <t>SMLL</t>
  </si>
  <si>
    <t>BetaShares Australian Small Companies Select ETF</t>
  </si>
  <si>
    <t>SMM</t>
  </si>
  <si>
    <t>Somerset Minerals Limited Ordinary</t>
  </si>
  <si>
    <t>SMN</t>
  </si>
  <si>
    <t>Structural Monitoring Systems PLC CDI 1:1</t>
  </si>
  <si>
    <t>SMR</t>
  </si>
  <si>
    <t>Stanmore Resources Limited Ordinary</t>
  </si>
  <si>
    <t>SMS</t>
  </si>
  <si>
    <t>Star Minerals Limited Ordinary</t>
  </si>
  <si>
    <t>SMX</t>
  </si>
  <si>
    <t>Strata Minerals Limited Ordinary</t>
  </si>
  <si>
    <t>SNAS</t>
  </si>
  <si>
    <t>Global X Ultra Short Nasdaq-100 Complex ETF</t>
  </si>
  <si>
    <t>SNC</t>
  </si>
  <si>
    <t>Sandon Capital Investments Limited Ordinary</t>
  </si>
  <si>
    <t>SND</t>
  </si>
  <si>
    <t>Saunders International Limited Ordinary</t>
  </si>
  <si>
    <t>SNG</t>
  </si>
  <si>
    <t>Siren Gold Limited Ordinary</t>
  </si>
  <si>
    <t>SNL</t>
  </si>
  <si>
    <t>Supply Network Limited Ordinary</t>
  </si>
  <si>
    <t>SNM</t>
  </si>
  <si>
    <t>Sentinel Metals Limited Ordinary</t>
  </si>
  <si>
    <t>Materials (Metals Exploration)</t>
  </si>
  <si>
    <t>SNS</t>
  </si>
  <si>
    <t>Sensen Networks Limited Ordinary</t>
  </si>
  <si>
    <t>SNT</t>
  </si>
  <si>
    <t>Syntara Limited Ordinary</t>
  </si>
  <si>
    <t>SNX</t>
  </si>
  <si>
    <t>Sierra Nevada Gold Inc. CDI 1:1 US Person Prohibited Excluding QIB</t>
  </si>
  <si>
    <t>SNZ</t>
  </si>
  <si>
    <t>Summerset Group Holdings Limited Ordinary Foreign Exempt NZX</t>
  </si>
  <si>
    <t>SOC</t>
  </si>
  <si>
    <t>Soco Corporation Ltd Ordinary</t>
  </si>
  <si>
    <t>SOL</t>
  </si>
  <si>
    <t>Washington H. Soul Pattinson and Company Limited Ordinary</t>
  </si>
  <si>
    <t>SOM</t>
  </si>
  <si>
    <t>Somnomed Limited Ordinary</t>
  </si>
  <si>
    <t>SOP</t>
  </si>
  <si>
    <t>Synertec Corporation Limited Ordinary</t>
  </si>
  <si>
    <t>SOR</t>
  </si>
  <si>
    <t>Strategic Elements Limited Ordinary</t>
  </si>
  <si>
    <t>SP3</t>
  </si>
  <si>
    <t>Spectur Limited Ordinary</t>
  </si>
  <si>
    <t>SP8</t>
  </si>
  <si>
    <t>Streamplay Studio Limited Ordinary</t>
  </si>
  <si>
    <t>SPA</t>
  </si>
  <si>
    <t>Spacetalk Ltd Ordinary</t>
  </si>
  <si>
    <t>SPD</t>
  </si>
  <si>
    <t>Southern Palladium Limited Ordinary</t>
  </si>
  <si>
    <t>SPG</t>
  </si>
  <si>
    <t>SPC Global Holdings Ltd Ordinary</t>
  </si>
  <si>
    <t>SPK</t>
  </si>
  <si>
    <t>Spark New Zealand Limited Ordinary Foreign Exempt NZX</t>
  </si>
  <si>
    <t>SPL</t>
  </si>
  <si>
    <t>Starpharma Holdings Limited Ordinary</t>
  </si>
  <si>
    <t>SPN</t>
  </si>
  <si>
    <t>Sparc Technologies Limited Ordinary</t>
  </si>
  <si>
    <t>SPQ</t>
  </si>
  <si>
    <t>Superior Resources Limited Ordinary</t>
  </si>
  <si>
    <t>SPX</t>
  </si>
  <si>
    <t>Spenda Limited Ordinary</t>
  </si>
  <si>
    <t>SPY</t>
  </si>
  <si>
    <t>SPDR S&amp;P 500 SPDR S&amp;P 500 ETF</t>
  </si>
  <si>
    <t>6.1663E+11</t>
  </si>
  <si>
    <t>SPZ</t>
  </si>
  <si>
    <t>Smart Parking Limited Ordinary</t>
  </si>
  <si>
    <t>SQX</t>
  </si>
  <si>
    <t>SQX Resources Limited Ordinary</t>
  </si>
  <si>
    <t>SRG</t>
  </si>
  <si>
    <t>SRG Global Limited Ordinary</t>
  </si>
  <si>
    <t>SRH</t>
  </si>
  <si>
    <t>Saferoads Holdings Limited Ordinary</t>
  </si>
  <si>
    <t>Business Support Supplies</t>
  </si>
  <si>
    <t>SRJ</t>
  </si>
  <si>
    <t>SRJ Technologies Group PLC CDI 1:1</t>
  </si>
  <si>
    <t>SRK</t>
  </si>
  <si>
    <t>Strike Resources Limited Ordinary</t>
  </si>
  <si>
    <t>SRL</t>
  </si>
  <si>
    <t>Sunrise Energy Metals Limited Ordinary</t>
  </si>
  <si>
    <t>SRN</t>
  </si>
  <si>
    <t>Surefire Resources NL Ordinary</t>
  </si>
  <si>
    <t>SRR</t>
  </si>
  <si>
    <t>Sarama Resources Ltd CDI 1:1</t>
  </si>
  <si>
    <t>SRT</t>
  </si>
  <si>
    <t>Strata Investment Holdings PLC CDI 1:1</t>
  </si>
  <si>
    <t>Materials (Mining Investment)</t>
  </si>
  <si>
    <t>SRV</t>
  </si>
  <si>
    <t>Servcorp Limited Ordinary</t>
  </si>
  <si>
    <t>SRZ</t>
  </si>
  <si>
    <t>Stellar Resources Limited Ordinary</t>
  </si>
  <si>
    <t>SS1</t>
  </si>
  <si>
    <t>Sun Silver Limited Ordinary</t>
  </si>
  <si>
    <t>SSG</t>
  </si>
  <si>
    <t>Shaver Shop Group Limited Ordinary</t>
  </si>
  <si>
    <t>SSH</t>
  </si>
  <si>
    <t>SSH Group Ltd Ordinary</t>
  </si>
  <si>
    <t>SSL</t>
  </si>
  <si>
    <t>Sietel Limited Ordinary</t>
  </si>
  <si>
    <t>SSM</t>
  </si>
  <si>
    <t>Service Stream Limited Ordinary</t>
  </si>
  <si>
    <t>SSO</t>
  </si>
  <si>
    <t>State Street SPDR S&amp;P/ASX Small Ordinaries ETF</t>
  </si>
  <si>
    <t>SST</t>
  </si>
  <si>
    <t>Steamships Trading Company Limited 50 Toea Ordinary</t>
  </si>
  <si>
    <t>Marine Freight &amp; Logistics</t>
  </si>
  <si>
    <t>STG</t>
  </si>
  <si>
    <t>Straker Limited Ordinary</t>
  </si>
  <si>
    <t>STH</t>
  </si>
  <si>
    <t>Stepchange Holdings Limited Ordinary</t>
  </si>
  <si>
    <t>STK</t>
  </si>
  <si>
    <t>Strickland Metals Limited Ordinary</t>
  </si>
  <si>
    <t>STM</t>
  </si>
  <si>
    <t>Sunstone Metals Ltd Ordinary</t>
  </si>
  <si>
    <t>STN</t>
  </si>
  <si>
    <t>Saturn Metals Limited Ordinary</t>
  </si>
  <si>
    <t>STO</t>
  </si>
  <si>
    <t>Santos Limited Ordinary</t>
  </si>
  <si>
    <t>STP</t>
  </si>
  <si>
    <t>Step One Clothing Limited Ordinary</t>
  </si>
  <si>
    <t>STV</t>
  </si>
  <si>
    <t>Swift TV Ltd Ordinary</t>
  </si>
  <si>
    <t>STW</t>
  </si>
  <si>
    <t>State Street SPDR S&amp;P/ASX 200 ETF</t>
  </si>
  <si>
    <t>STX</t>
  </si>
  <si>
    <t>Strike Energy Limited Ordinary</t>
  </si>
  <si>
    <t>SUBD</t>
  </si>
  <si>
    <t>Vaneck Australian Subordinated Debt ETF</t>
  </si>
  <si>
    <t>SUH</t>
  </si>
  <si>
    <t>Southern Hemisphere Mining Limited Ordinary</t>
  </si>
  <si>
    <t>SUL</t>
  </si>
  <si>
    <t>Super Retail Group Limited Ordinary</t>
  </si>
  <si>
    <t>SUM</t>
  </si>
  <si>
    <t>Summit Minerals Limited Ordinary</t>
  </si>
  <si>
    <t>SUN</t>
  </si>
  <si>
    <t>Suncorp Group Limited Ordinary</t>
  </si>
  <si>
    <t>SVG</t>
  </si>
  <si>
    <t>Savannah Goldfields Limited Ordinary</t>
  </si>
  <si>
    <t>SVL</t>
  </si>
  <si>
    <t>Silver Mines Limited Ordinary</t>
  </si>
  <si>
    <t>SVM</t>
  </si>
  <si>
    <t>Sovereign Metals Limited Ordinary</t>
  </si>
  <si>
    <t>SVNP</t>
  </si>
  <si>
    <t>Savana US Small Caps Active ETF</t>
  </si>
  <si>
    <t>SVR</t>
  </si>
  <si>
    <t>Solvar Limited Ordinary</t>
  </si>
  <si>
    <t>SVY</t>
  </si>
  <si>
    <t>Stavely Minerals Limited Ordinary</t>
  </si>
  <si>
    <t>SWM</t>
  </si>
  <si>
    <t>Seven West Media Limited Ordinary</t>
  </si>
  <si>
    <t>SWP</t>
  </si>
  <si>
    <t>Swoop Holdings Limited Ordinary</t>
  </si>
  <si>
    <t>SWTZ</t>
  </si>
  <si>
    <t>Switzer Dividend Growth Fund - Active ETF</t>
  </si>
  <si>
    <t>SX2</t>
  </si>
  <si>
    <t>Southern Cross Gold Consolidated Ltd. CDI 1:1</t>
  </si>
  <si>
    <t>SXE</t>
  </si>
  <si>
    <t>Southern Cross Electrical Engineering Ltd Ordinary</t>
  </si>
  <si>
    <t>SXL</t>
  </si>
  <si>
    <t>Southern Cross Media Group Limited Ordinary</t>
  </si>
  <si>
    <t>SYI</t>
  </si>
  <si>
    <t>State Street SPDR MSCI AUS Select High Dividend Yield ETF</t>
  </si>
  <si>
    <t>SYL</t>
  </si>
  <si>
    <t>Symal Group Limited Ordinary</t>
  </si>
  <si>
    <t>SYR</t>
  </si>
  <si>
    <t>Syrah Resources Limited Ordinary</t>
  </si>
  <si>
    <t>T3D</t>
  </si>
  <si>
    <t>333D Limited Ordinary</t>
  </si>
  <si>
    <t>T3MP</t>
  </si>
  <si>
    <t>JP Morgan Climate Change Solutions Active ETF</t>
  </si>
  <si>
    <t>T88</t>
  </si>
  <si>
    <t>Taiton Resources Limited Ordinary</t>
  </si>
  <si>
    <t>T92</t>
  </si>
  <si>
    <t>Terra Critical Minerals Limited Ordinary</t>
  </si>
  <si>
    <t>TAH</t>
  </si>
  <si>
    <t>Tabcorp Holdings Limited Ordinary</t>
  </si>
  <si>
    <t>TAL</t>
  </si>
  <si>
    <t>Talius Group Limited Ordinary</t>
  </si>
  <si>
    <t>TAM</t>
  </si>
  <si>
    <t>Tanami Gold NL Ordinary</t>
  </si>
  <si>
    <t>TAR</t>
  </si>
  <si>
    <t>Taruga Minerals Limited Ordinary</t>
  </si>
  <si>
    <t>TAS</t>
  </si>
  <si>
    <t>Tasman Resources Ltd Ordinary</t>
  </si>
  <si>
    <t>TAT</t>
  </si>
  <si>
    <t>Tartana Minerals Limited Ordinary</t>
  </si>
  <si>
    <t>TBN</t>
  </si>
  <si>
    <t>Tamboran Resources Corporation CDI 200:1 US Person Prohibited Excluding QIB</t>
  </si>
  <si>
    <t>TBR</t>
  </si>
  <si>
    <t>Tribune Resources Limited Ordinary</t>
  </si>
  <si>
    <t>TCAP</t>
  </si>
  <si>
    <t>Ten Cap Alpha Plus Complex ETF</t>
  </si>
  <si>
    <t>TCF</t>
  </si>
  <si>
    <t>360 Capital Mortgage Reit Ordinary Units</t>
  </si>
  <si>
    <t>TCG</t>
  </si>
  <si>
    <t>Turaco Gold Limited Ordinary</t>
  </si>
  <si>
    <t>TCL</t>
  </si>
  <si>
    <t>Transurban Group Ordinary/Units Stapled Securities</t>
  </si>
  <si>
    <t>TCO</t>
  </si>
  <si>
    <t>Transmetro Corporation Limited Ordinary</t>
  </si>
  <si>
    <t>TD1</t>
  </si>
  <si>
    <t>Tali Digital Limited Ordinary</t>
  </si>
  <si>
    <t>TDO</t>
  </si>
  <si>
    <t>3D Energi Limited Ordinary</t>
  </si>
  <si>
    <t>TEA</t>
  </si>
  <si>
    <t>Tasmea Limited Ordinary</t>
  </si>
  <si>
    <t>TECH</t>
  </si>
  <si>
    <t>Global X Morningstar Global Technology ETF</t>
  </si>
  <si>
    <t>TEE</t>
  </si>
  <si>
    <t>Top End Energy Limited Ordinary</t>
  </si>
  <si>
    <t>TEG</t>
  </si>
  <si>
    <t>Triangle Energy (Global) Limited Ordinary</t>
  </si>
  <si>
    <t>TEK</t>
  </si>
  <si>
    <t>Thorney Technologies Ltd Ordinary</t>
  </si>
  <si>
    <t>TEM</t>
  </si>
  <si>
    <t>Tempest Minerals Limited Ordinary</t>
  </si>
  <si>
    <t>TER</t>
  </si>
  <si>
    <t>Terracom Limited Ordinary</t>
  </si>
  <si>
    <t>TFL</t>
  </si>
  <si>
    <t>Tasfoods Limited Ordinary</t>
  </si>
  <si>
    <t>TG1</t>
  </si>
  <si>
    <t>Techgen Metals Ltd Ordinary</t>
  </si>
  <si>
    <t>TG6</t>
  </si>
  <si>
    <t>TG Metals Limited Ordinary</t>
  </si>
  <si>
    <t>TGF</t>
  </si>
  <si>
    <t>Tribeca Global Natural Resources Limited Ordinary</t>
  </si>
  <si>
    <t>TGH</t>
  </si>
  <si>
    <t>Terragen Holdings Limited Ordinary</t>
  </si>
  <si>
    <t>TGM</t>
  </si>
  <si>
    <t>Theta Gold Mines Limited Ordinary</t>
  </si>
  <si>
    <t>TGN</t>
  </si>
  <si>
    <t>Tungsten Mining NL Ordinary</t>
  </si>
  <si>
    <t>TGP</t>
  </si>
  <si>
    <t>360 Capital Group Ordinary/Units Stapled Securities</t>
  </si>
  <si>
    <t>THL</t>
  </si>
  <si>
    <t>Tourism Holdings Rentals Limited Ordinary Foreign Exempt NZX</t>
  </si>
  <si>
    <t>THR</t>
  </si>
  <si>
    <t>Thor Energy PLC CDI 1:1</t>
  </si>
  <si>
    <t>TIA</t>
  </si>
  <si>
    <t>Tian An Australia Limited Ordinary</t>
  </si>
  <si>
    <t>TIG</t>
  </si>
  <si>
    <t>Tigers Realm Coal Limited Ordinary</t>
  </si>
  <si>
    <t>TIO</t>
  </si>
  <si>
    <t>Temas Resources Corp. CDI 1:1</t>
  </si>
  <si>
    <t>Materials (Specialty Metals)</t>
  </si>
  <si>
    <t>TIP</t>
  </si>
  <si>
    <t>Teaminvest Private Group Limited Ordinary</t>
  </si>
  <si>
    <t>TKM</t>
  </si>
  <si>
    <t>Trek Metals Limited CDI 1:1</t>
  </si>
  <si>
    <t>TLC</t>
  </si>
  <si>
    <t>The Lottery Corporation Limited Ordinary</t>
  </si>
  <si>
    <t>TLG</t>
  </si>
  <si>
    <t>Talga Group Ltd Ordinary</t>
  </si>
  <si>
    <t>TLM</t>
  </si>
  <si>
    <t>Talisman Mining Limited Ordinary</t>
  </si>
  <si>
    <t>TLS</t>
  </si>
  <si>
    <t>Telstra Group Limited Ordinary</t>
  </si>
  <si>
    <t>TLX</t>
  </si>
  <si>
    <t>Telix Pharmaceuticals Limited Ordinary</t>
  </si>
  <si>
    <t>TM1</t>
  </si>
  <si>
    <t>Terra Metals Limited Ordinary</t>
  </si>
  <si>
    <t>TMB</t>
  </si>
  <si>
    <t>Tambourah Metals Ltd Ordinary</t>
  </si>
  <si>
    <t>TMK</t>
  </si>
  <si>
    <t>TMK Energy Limited Ordinary</t>
  </si>
  <si>
    <t>TML</t>
  </si>
  <si>
    <t>Timah Resources Limited Ordinary</t>
  </si>
  <si>
    <t>TMS</t>
  </si>
  <si>
    <t>Tennant Minerals Limited Ordinary</t>
  </si>
  <si>
    <t>TMX</t>
  </si>
  <si>
    <t>Terrain Minerals Limited Ordinary</t>
  </si>
  <si>
    <t>TNC</t>
  </si>
  <si>
    <t>True North Copper Limited Ordinary</t>
  </si>
  <si>
    <t>TNE</t>
  </si>
  <si>
    <t>Technology One Limited Ordinary</t>
  </si>
  <si>
    <t>TNY</t>
  </si>
  <si>
    <t>Tinybeans Group Ltd Ordinary</t>
  </si>
  <si>
    <t>TOE</t>
  </si>
  <si>
    <t>Toro Energy Limited Ordinary</t>
  </si>
  <si>
    <t>TOK</t>
  </si>
  <si>
    <t>Tolu Minerals Limited Ordinary</t>
  </si>
  <si>
    <t>TOLL</t>
  </si>
  <si>
    <t>BetaShares FTSE Global Infrastructure Share CH ETF</t>
  </si>
  <si>
    <t>TON</t>
  </si>
  <si>
    <t>Triton Minerals Ltd Ordinary</t>
  </si>
  <si>
    <t>TOP</t>
  </si>
  <si>
    <t>Thorney Opportunities Ltd Ordinary</t>
  </si>
  <si>
    <t>TOR</t>
  </si>
  <si>
    <t>Torque Metals Limited. Ordinary</t>
  </si>
  <si>
    <t>TOT</t>
  </si>
  <si>
    <t>360 Capital Reit Stapled Securities</t>
  </si>
  <si>
    <t>TOU</t>
  </si>
  <si>
    <t>Tlou Energy Limited Ordinary</t>
  </si>
  <si>
    <t>TPC</t>
  </si>
  <si>
    <t>TPC Consolidated Limited Ordinary</t>
  </si>
  <si>
    <t>TPG</t>
  </si>
  <si>
    <t>TPG Telecom Limited Ordinary</t>
  </si>
  <si>
    <t>TPW</t>
  </si>
  <si>
    <t>Temple &amp; Webster Group Ltd Ordinary</t>
  </si>
  <si>
    <t>TR2</t>
  </si>
  <si>
    <t>Tali Resources Ltd Ordinary</t>
  </si>
  <si>
    <t>TR8</t>
  </si>
  <si>
    <t>Tarrina Resources Limited Ordinary</t>
  </si>
  <si>
    <t>TRA</t>
  </si>
  <si>
    <t>Turners Automotive Group Limited Ordinary Foreign Exempt NZX</t>
  </si>
  <si>
    <t>TRE</t>
  </si>
  <si>
    <t>Toubani Resources Limited Ordinary</t>
  </si>
  <si>
    <t>TRI</t>
  </si>
  <si>
    <t>Trivarx Ltd Ordinary</t>
  </si>
  <si>
    <t>TRJ</t>
  </si>
  <si>
    <t>Trajan Group Holdings Limited Ordinary</t>
  </si>
  <si>
    <t>Office Equipment</t>
  </si>
  <si>
    <t>TRM</t>
  </si>
  <si>
    <t>Truscott Mining Corporation Limited Ordinary</t>
  </si>
  <si>
    <t>TRP</t>
  </si>
  <si>
    <t>Tissue Repair Ltd Ordinary</t>
  </si>
  <si>
    <t>TRU</t>
  </si>
  <si>
    <t>Truscreen Group Limited Ordinary Foreign Exempt NZX</t>
  </si>
  <si>
    <t>Health Care (Medical Devices)</t>
  </si>
  <si>
    <t>TSK</t>
  </si>
  <si>
    <t>Tusker Minerals Ltd Ordinary</t>
  </si>
  <si>
    <t>TSL</t>
  </si>
  <si>
    <t>Titanium Sands Limited Ordinary</t>
  </si>
  <si>
    <t>TSO</t>
  </si>
  <si>
    <t>Tesoro Gold Ltd Ordinary</t>
  </si>
  <si>
    <t>TTM</t>
  </si>
  <si>
    <t>Titan Minerals Limited Ordinary</t>
  </si>
  <si>
    <t>TTT</t>
  </si>
  <si>
    <t>Titomic Limited Ordinary</t>
  </si>
  <si>
    <t>TTX</t>
  </si>
  <si>
    <t>Tetratherix Limited Ordinary</t>
  </si>
  <si>
    <t>TUA</t>
  </si>
  <si>
    <t>Tuas Limited Ordinary</t>
  </si>
  <si>
    <t>TVL</t>
  </si>
  <si>
    <t>Touch Ventures Limited Ordinary</t>
  </si>
  <si>
    <t>TVN</t>
  </si>
  <si>
    <t>Tivan Limited Ordinary</t>
  </si>
  <si>
    <t>TWD</t>
  </si>
  <si>
    <t>Tamawood Limited Ordinary</t>
  </si>
  <si>
    <t>TWE</t>
  </si>
  <si>
    <t>Treasury Wine Estates Limited Ordinary</t>
  </si>
  <si>
    <t>TWL</t>
  </si>
  <si>
    <t>Trade Window Holdings Limited Ordinary Foreign Exempt NZX</t>
  </si>
  <si>
    <t>Information Technology (Software)</t>
  </si>
  <si>
    <t>TWR</t>
  </si>
  <si>
    <t>Tower Limited Ordinary Foreign Exempt NZX</t>
  </si>
  <si>
    <t>TYR</t>
  </si>
  <si>
    <t>Tyro Payments Limited Ordinary</t>
  </si>
  <si>
    <t>TYX</t>
  </si>
  <si>
    <t>Tyranna Resources Limited Ordinary</t>
  </si>
  <si>
    <t>TZL</t>
  </si>
  <si>
    <t>TZ Limited Ordinary</t>
  </si>
  <si>
    <t>TZN</t>
  </si>
  <si>
    <t>Terramin Australia Limited Ordinary</t>
  </si>
  <si>
    <t>U100</t>
  </si>
  <si>
    <t>Global X US 100 ETF. ETF</t>
  </si>
  <si>
    <t>UBI</t>
  </si>
  <si>
    <t>Universal Biosensors Inc. CDI 1:1</t>
  </si>
  <si>
    <t>UBN</t>
  </si>
  <si>
    <t>Urbanise.Com Limited Ordinary</t>
  </si>
  <si>
    <t>UCM</t>
  </si>
  <si>
    <t>Uscom Limited Ordinary</t>
  </si>
  <si>
    <t>UMAX</t>
  </si>
  <si>
    <t>BetaShares S&amp;P 500 Yield Maximiser Complex ETF</t>
  </si>
  <si>
    <t>UNI</t>
  </si>
  <si>
    <t>Universal Store Holdings Limited Ordinary</t>
  </si>
  <si>
    <t>UNT</t>
  </si>
  <si>
    <t>Unith Ltd Ordinary</t>
  </si>
  <si>
    <t>UOS</t>
  </si>
  <si>
    <t>United Overseas Australia Limited Ordinary</t>
  </si>
  <si>
    <t>URAN</t>
  </si>
  <si>
    <t>Vaneck Uranium and Energy Innovation ETF</t>
  </si>
  <si>
    <t>URF</t>
  </si>
  <si>
    <t>US Masters Residential Property Fund Units Stapled Securities</t>
  </si>
  <si>
    <t>Residential REITs</t>
  </si>
  <si>
    <t>URNM</t>
  </si>
  <si>
    <t>BetaShares Global Uranium ETF</t>
  </si>
  <si>
    <t>USC</t>
  </si>
  <si>
    <t>US1 Critical Minerals Limited Ordinary</t>
  </si>
  <si>
    <t>USD</t>
  </si>
  <si>
    <t>BetaShares U.S. Dollar ETF</t>
  </si>
  <si>
    <t>USHY</t>
  </si>
  <si>
    <t>Global X USD High Yield Bond (Currency Hedged) ETF</t>
  </si>
  <si>
    <t>USIG</t>
  </si>
  <si>
    <t>Global X USD Corporate Bond (Currency Hedged) ETF</t>
  </si>
  <si>
    <t>USL</t>
  </si>
  <si>
    <t>Unico Silver Limited Ordinary</t>
  </si>
  <si>
    <t>UTIP</t>
  </si>
  <si>
    <t>BetaShares Inflation Protected US Trsy Bond CH ETF</t>
  </si>
  <si>
    <t>UWC</t>
  </si>
  <si>
    <t>Underwood Capital Limited Ordinary</t>
  </si>
  <si>
    <t>UYLD</t>
  </si>
  <si>
    <t>Global X S&amp;P 500 Covered Call Complex ETF</t>
  </si>
  <si>
    <t>VACF</t>
  </si>
  <si>
    <t>Vanguard Australian Corp Fixed Interest Index ETF</t>
  </si>
  <si>
    <t>VAE</t>
  </si>
  <si>
    <t>Vanguard FTSE Asia EX Japan Shares Index ETF</t>
  </si>
  <si>
    <t>VAF</t>
  </si>
  <si>
    <t>Vanguard Australian Fixed Interest Index ETF</t>
  </si>
  <si>
    <t>VAP</t>
  </si>
  <si>
    <t>Vanguard Australian Property Securities Index ETF</t>
  </si>
  <si>
    <t>VAR</t>
  </si>
  <si>
    <t>Variscan Mines Limited Ordinary</t>
  </si>
  <si>
    <t>VAS</t>
  </si>
  <si>
    <t>Vanguard Australian Shares Index ETF</t>
  </si>
  <si>
    <t>VAU</t>
  </si>
  <si>
    <t>Vault Minerals Limited Ordinary</t>
  </si>
  <si>
    <t>VBC</t>
  </si>
  <si>
    <t>Verbrec Limited Ordinary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</si>
  <si>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</si>
  <si>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</si>
  <si>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</si>
  <si>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</si>
  <si>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</si>
  <si>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 Ordinary</t>
  </si>
  <si>
    <t>VBTC</t>
  </si>
  <si>
    <t>Vaneck Bitcoin ETF</t>
  </si>
  <si>
    <t>VBX</t>
  </si>
  <si>
    <t>VBX Limited Ordinary</t>
  </si>
  <si>
    <t>VCF</t>
  </si>
  <si>
    <t>Vanguard International Credit Securities Index (Hedged) ETF</t>
  </si>
  <si>
    <t>VCX</t>
  </si>
  <si>
    <t>Vicinity Centres Ordinary/Units Stapled Securities</t>
  </si>
  <si>
    <t>VDAL</t>
  </si>
  <si>
    <t>Vanguard Diversified ALL Growth Index ETF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</si>
  <si>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</si>
  <si>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</si>
  <si>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</si>
  <si>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</si>
  <si>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</si>
  <si>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</si>
  <si>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</si>
  <si>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</si>
  <si>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VDIF</t>
  </si>
  <si>
    <t>Vanguard Diversified Income ETF</t>
  </si>
  <si>
    <t>VEA</t>
  </si>
  <si>
    <t>Viva Energy Group Limited Ordinary</t>
  </si>
  <si>
    <t>VEE</t>
  </si>
  <si>
    <t>Veem Ltd Ordinary</t>
  </si>
  <si>
    <t>Shipbuilding</t>
  </si>
  <si>
    <t>VEFI</t>
  </si>
  <si>
    <t>Vanguard Ethically Conscious GLB AGG Bond Index (Hedged) ETF</t>
  </si>
  <si>
    <t>VEN</t>
  </si>
  <si>
    <t>Vintage Energy Ltd Ordinary</t>
  </si>
  <si>
    <t>VEQ</t>
  </si>
  <si>
    <t>Vanguard FTSE Europe Shares ETF</t>
  </si>
  <si>
    <t>VESG</t>
  </si>
  <si>
    <t>Vanguard Ethically Conscious International Shares Index ETF</t>
  </si>
  <si>
    <t>VETH</t>
  </si>
  <si>
    <t>Vanguard Ethically Conscious Australian Shares ETF</t>
  </si>
  <si>
    <t>VEU</t>
  </si>
  <si>
    <t>Vanguard All-World Ex-US Shares Index ETF</t>
  </si>
  <si>
    <t>VFX</t>
  </si>
  <si>
    <t>Visionflex Group Limited Ordinary</t>
  </si>
  <si>
    <t>VFY</t>
  </si>
  <si>
    <t>Vitrafy Life Sciences Limited Ordinary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</si>
  <si>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</si>
  <si>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</si>
  <si>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</si>
  <si>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</si>
  <si>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</si>
  <si>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</si>
  <si>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VGL</t>
  </si>
  <si>
    <t>Vista Group International Limited Ordinary Foreign Exempt NZX</t>
  </si>
  <si>
    <t>VGN</t>
  </si>
  <si>
    <t>Virgin Australia Holdings Limited Ordinary</t>
  </si>
  <si>
    <t>VGS</t>
  </si>
  <si>
    <t>Vanguard MSCI Index International Shares ETF</t>
  </si>
  <si>
    <t>VHL</t>
  </si>
  <si>
    <t>Vitasora Health Limited Ordinary</t>
  </si>
  <si>
    <t>VHM</t>
  </si>
  <si>
    <t>VHM Limited Ordinary</t>
  </si>
  <si>
    <t>VHY</t>
  </si>
  <si>
    <t>Vanguard Australian Shares High Yield ETF</t>
  </si>
  <si>
    <t>VIF</t>
  </si>
  <si>
    <t>Vanguard International Fixed Interest Index (Hedged) ETF</t>
  </si>
  <si>
    <t>VIG</t>
  </si>
  <si>
    <t>Victor Group Holdings Limited Ordinary</t>
  </si>
  <si>
    <t>VISM</t>
  </si>
  <si>
    <t>Vanguard MSCI International Small Companies Index ETF</t>
  </si>
  <si>
    <t>VIT</t>
  </si>
  <si>
    <t>Vitura Health Limited Ordinary</t>
  </si>
  <si>
    <t>VKA</t>
  </si>
  <si>
    <t>Viking Mines Limited Ordinary</t>
  </si>
  <si>
    <t>VLC</t>
  </si>
  <si>
    <t>Vanguard MSCI Australian Large Companies Index ETF</t>
  </si>
  <si>
    <t>VLS</t>
  </si>
  <si>
    <t>Vita Life Sciences Limited. Ordinary</t>
  </si>
  <si>
    <t>VLUE</t>
  </si>
  <si>
    <t>Vaneck MSCI International Value ETF</t>
  </si>
  <si>
    <t>VMC</t>
  </si>
  <si>
    <t>Venus Metals Corporation Limited Ordinary</t>
  </si>
  <si>
    <t>VMIN</t>
  </si>
  <si>
    <t>Vanguard Global Minimum Volatility Active ETF</t>
  </si>
  <si>
    <t>VML</t>
  </si>
  <si>
    <t>Vital Metals Limited Ordinary</t>
  </si>
  <si>
    <t>VMM</t>
  </si>
  <si>
    <t>Viridis Mining and Minerals Limited Ordinary</t>
  </si>
  <si>
    <t>VMS</t>
  </si>
  <si>
    <t>Venari Minerals NL Ordinary</t>
  </si>
  <si>
    <t>VMT</t>
  </si>
  <si>
    <t>Vmoto Limited Ordinary</t>
  </si>
  <si>
    <t>Auto &amp; Truck Manufacturers</t>
  </si>
  <si>
    <t>VNGS</t>
  </si>
  <si>
    <t>Vaughan Nelson GLB Equity Smid Fund - Active ETF</t>
  </si>
  <si>
    <t>VNL</t>
  </si>
  <si>
    <t>Vinyl Group Ltd Ordinary</t>
  </si>
  <si>
    <t>VNT</t>
  </si>
  <si>
    <t>Ventia Services Group Limited Ordinary</t>
  </si>
  <si>
    <t>VPR</t>
  </si>
  <si>
    <t>Volt Group Limited Ordinary</t>
  </si>
  <si>
    <t>VR1</t>
  </si>
  <si>
    <t>Vection Technologies Ltd Ordinary</t>
  </si>
  <si>
    <t>VR8</t>
  </si>
  <si>
    <t>Vanadium Resources Limited Ordinary</t>
  </si>
  <si>
    <t>VRC</t>
  </si>
  <si>
    <t>Volt Resources Limited Ordinary</t>
  </si>
  <si>
    <t>VRL</t>
  </si>
  <si>
    <t>Verity Resources Limited Ordinary</t>
  </si>
  <si>
    <t>VRS</t>
  </si>
  <si>
    <t>Veris Limited Ordinary</t>
  </si>
  <si>
    <t>VRX</t>
  </si>
  <si>
    <t>VRX Silica Limited Ordinary</t>
  </si>
  <si>
    <t>VSL</t>
  </si>
  <si>
    <t>Vulcan Steel Limited Ordinary</t>
  </si>
  <si>
    <t>VSO</t>
  </si>
  <si>
    <t>Vanguard MSCI Australian Small Companies Index ETF</t>
  </si>
  <si>
    <t>VSR</t>
  </si>
  <si>
    <t>Voltaic Strategic Resources Ltd Ordinary</t>
  </si>
  <si>
    <t>VTM</t>
  </si>
  <si>
    <t>Victory Metals Limited Ordinary</t>
  </si>
  <si>
    <t>VTS</t>
  </si>
  <si>
    <t>Vanguard US Total Market Shares Index ETF</t>
  </si>
  <si>
    <t>2.75262E+11</t>
  </si>
  <si>
    <t>VTX</t>
  </si>
  <si>
    <t>Vertex Minerals Limited Ordinary</t>
  </si>
  <si>
    <t>VUL</t>
  </si>
  <si>
    <t>Vulcan Energy Resources Limited Ordinary</t>
  </si>
  <si>
    <t>VVA</t>
  </si>
  <si>
    <t>Viva Leisure Limited Ordinary</t>
  </si>
  <si>
    <t>VVLU</t>
  </si>
  <si>
    <t>Vanguard Global Value Equity Active ETF</t>
  </si>
  <si>
    <t>VYS</t>
  </si>
  <si>
    <t>Vysarn Limited Ordinary</t>
  </si>
  <si>
    <t>W2V</t>
  </si>
  <si>
    <t>Way2Vat Ltd. Ordinary</t>
  </si>
  <si>
    <t>WA1</t>
  </si>
  <si>
    <t>WA1 Resources Ltd Ordinary</t>
  </si>
  <si>
    <t>WAA</t>
  </si>
  <si>
    <t>WAM Active Limited Ordinary</t>
  </si>
  <si>
    <t>WAF</t>
  </si>
  <si>
    <t>West African Resources Limited Ordinary</t>
  </si>
  <si>
    <t>WAG</t>
  </si>
  <si>
    <t>The Australian Wealth Advisors Group Limited Ordinary</t>
  </si>
  <si>
    <t>WAK</t>
  </si>
  <si>
    <t>WA Kaolin Limited Ordinary</t>
  </si>
  <si>
    <t>WAM</t>
  </si>
  <si>
    <t>WAM Capital Limited Ordinary</t>
  </si>
  <si>
    <t>WAR</t>
  </si>
  <si>
    <t>WAM Strategic Value Limited Ordinary</t>
  </si>
  <si>
    <t>WAT</t>
  </si>
  <si>
    <t>Waterco Limited Ordinary</t>
  </si>
  <si>
    <t>WAX</t>
  </si>
  <si>
    <t>WAM Research Limited Ordinary</t>
  </si>
  <si>
    <t>WBC</t>
  </si>
  <si>
    <t>Westpac Banking Corporation Ordinary</t>
  </si>
  <si>
    <t>1.33221E+11</t>
  </si>
  <si>
    <t>WBND</t>
  </si>
  <si>
    <t>BetaShares Global Aggregate Bond Currency Hedged ETF</t>
  </si>
  <si>
    <t>WBT</t>
  </si>
  <si>
    <t>Weebit Nano Ltd Ordinary</t>
  </si>
  <si>
    <t>WC1</t>
  </si>
  <si>
    <t>West Cobar Metals Limited Ordinary</t>
  </si>
  <si>
    <t>WC8</t>
  </si>
  <si>
    <t>Wildcat Resources Limited Ordinary</t>
  </si>
  <si>
    <t>WCE</t>
  </si>
  <si>
    <t>West Coast Silver Limited Ordinary</t>
  </si>
  <si>
    <t>WCMQ</t>
  </si>
  <si>
    <t>WCM Quality Global Growth Fund - Active ETF</t>
  </si>
  <si>
    <t>WCN</t>
  </si>
  <si>
    <t>White Cliff Minerals Limited Ordinary</t>
  </si>
  <si>
    <t>WDIV</t>
  </si>
  <si>
    <t>State Street SPDR S&amp;P Global Dividend ETF</t>
  </si>
  <si>
    <t>WDMF</t>
  </si>
  <si>
    <t>iShares World Equity Factor ETF</t>
  </si>
  <si>
    <t>WDS</t>
  </si>
  <si>
    <t>Woodside Energy Group Ltd Ordinary</t>
  </si>
  <si>
    <t>WEB</t>
  </si>
  <si>
    <t>Web Travel Group Limited Ordinary</t>
  </si>
  <si>
    <t>WEC</t>
  </si>
  <si>
    <t>White Energy Company Limited Ordinary</t>
  </si>
  <si>
    <t>WEL</t>
  </si>
  <si>
    <t>Winchester Energy Ltd Ordinary</t>
  </si>
  <si>
    <t>WEMG</t>
  </si>
  <si>
    <t>SPDR S&amp;P Emerging Markets Carbon Aware ETF</t>
  </si>
  <si>
    <t>WES</t>
  </si>
  <si>
    <t>Wesfarmers Limited Ordinary</t>
  </si>
  <si>
    <t>WGB</t>
  </si>
  <si>
    <t>WAM Global Limited Ordinary</t>
  </si>
  <si>
    <t>WGN</t>
  </si>
  <si>
    <t>Wagners Holding Company Limited Ordinary</t>
  </si>
  <si>
    <t>WGR</t>
  </si>
  <si>
    <t>Western Gold Resources Limited Ordinary</t>
  </si>
  <si>
    <t>WGX</t>
  </si>
  <si>
    <t>Westgold Resources Limited Ordinary</t>
  </si>
  <si>
    <t>WHC</t>
  </si>
  <si>
    <t>Whitehaven Coal Limited Ordinary</t>
  </si>
  <si>
    <t>WHF</t>
  </si>
  <si>
    <t>Whitefield Industrials Limited Ordinary</t>
  </si>
  <si>
    <t>WHI</t>
  </si>
  <si>
    <t>Whitefield Income Limited Ordinary</t>
  </si>
  <si>
    <t>WHK</t>
  </si>
  <si>
    <t>Whitehawk Limited Ordinary</t>
  </si>
  <si>
    <t>WIA</t>
  </si>
  <si>
    <t>WIA Gold Limited Ordinary</t>
  </si>
  <si>
    <t>WIN</t>
  </si>
  <si>
    <t>WIN Metals Ltd Ordinary</t>
  </si>
  <si>
    <t>WIRE</t>
  </si>
  <si>
    <t>Global X Copper Miners ETF</t>
  </si>
  <si>
    <t>WJL</t>
  </si>
  <si>
    <t>Webjet Group Limited Ordinary</t>
  </si>
  <si>
    <t>WLE</t>
  </si>
  <si>
    <t>WAM Leaders Limited Ordinary</t>
  </si>
  <si>
    <t>WMA</t>
  </si>
  <si>
    <t>WAM Alternative Assets Limited Ordinary</t>
  </si>
  <si>
    <t>WMG</t>
  </si>
  <si>
    <t>Western Mines Group Ltd Ordinary</t>
  </si>
  <si>
    <t>WMI</t>
  </si>
  <si>
    <t>WAM Microcap Limited Ordinary</t>
  </si>
  <si>
    <t>WMX</t>
  </si>
  <si>
    <t>WAM Income Maximiser Limited Ordinary</t>
  </si>
  <si>
    <t>WNR</t>
  </si>
  <si>
    <t>Wingara AG Ltd Ordinary</t>
  </si>
  <si>
    <t>WNX</t>
  </si>
  <si>
    <t>Wellnex Life Limited Ordinary</t>
  </si>
  <si>
    <t>WOA</t>
  </si>
  <si>
    <t>Wide Open Agriculture Ltd Ordinary</t>
  </si>
  <si>
    <t>WOR</t>
  </si>
  <si>
    <t>Worley Limited Ordinary</t>
  </si>
  <si>
    <t>WOT</t>
  </si>
  <si>
    <t>Wotso Ordinary/Units Stapled Securities</t>
  </si>
  <si>
    <t>WOW</t>
  </si>
  <si>
    <t>Woolworths Group Limited Ordinary</t>
  </si>
  <si>
    <t>WPR</t>
  </si>
  <si>
    <t>Waypoint Reit Ordinary/Units Stapled Securities</t>
  </si>
  <si>
    <t>WQG</t>
  </si>
  <si>
    <t>WCM Global Growth Limited Ordinary</t>
  </si>
  <si>
    <t>WR1</t>
  </si>
  <si>
    <t>Winsome Resources Limited Ordinary</t>
  </si>
  <si>
    <t>WRK</t>
  </si>
  <si>
    <t>Wrkr Ltd Ordinary</t>
  </si>
  <si>
    <t>WRLD</t>
  </si>
  <si>
    <t>BetaShares Managed Risk Global Shares Complex ETF</t>
  </si>
  <si>
    <t>WSI</t>
  </si>
  <si>
    <t>Weststar Industrial Limited Ordinary</t>
  </si>
  <si>
    <t>WSR</t>
  </si>
  <si>
    <t>Westar Resources Limited Ordinary</t>
  </si>
  <si>
    <t>WTC</t>
  </si>
  <si>
    <t>Wisetech Global Limited Ordinary</t>
  </si>
  <si>
    <t>WTL</t>
  </si>
  <si>
    <t>WT Financial Group Limited Ordinary</t>
  </si>
  <si>
    <t>WTM</t>
  </si>
  <si>
    <t>Waratah Minerals Limited Ordinary</t>
  </si>
  <si>
    <t>WTN</t>
  </si>
  <si>
    <t>Winton Land Limited Ordinary Foreign Exempt NZX</t>
  </si>
  <si>
    <t>Real Estate (Property Development)</t>
  </si>
  <si>
    <t>WVOL</t>
  </si>
  <si>
    <t>iShares MSCI World EX Aust Minimum Volatility ETF</t>
  </si>
  <si>
    <t>WWG</t>
  </si>
  <si>
    <t>Wiseway Group Limited Ordinary</t>
  </si>
  <si>
    <t>WWI</t>
  </si>
  <si>
    <t>West Wits Mining Limited Ordinary</t>
  </si>
  <si>
    <t>WWWW</t>
  </si>
  <si>
    <t>ETFS US Technology ETF</t>
  </si>
  <si>
    <t>WXHG</t>
  </si>
  <si>
    <t>SPDR S&amp;P World EX AUS Carbon Aware (Hedged) ETF</t>
  </si>
  <si>
    <t>WXOZ</t>
  </si>
  <si>
    <t>SPDR S&amp;P World EX Australia Carbon Aware ETF</t>
  </si>
  <si>
    <t>WYX</t>
  </si>
  <si>
    <t>Western Yilgarn NL Ordinary</t>
  </si>
  <si>
    <t>WZR</t>
  </si>
  <si>
    <t>Wisr Limited Ordinary</t>
  </si>
  <si>
    <t>X2M</t>
  </si>
  <si>
    <t>X2M Connect Limited Ordinary</t>
  </si>
  <si>
    <t>XALG</t>
  </si>
  <si>
    <t>Alphinity Global Equity Fund - Active ETF</t>
  </si>
  <si>
    <t>XARO</t>
  </si>
  <si>
    <t>Ardea Real Outcome Bond Complex ETF</t>
  </si>
  <si>
    <t>XASG</t>
  </si>
  <si>
    <t>Alphinity Global Sustainable Equity Fund - Active ETF</t>
  </si>
  <si>
    <t>XF1</t>
  </si>
  <si>
    <t>Xref Limited Ordinary</t>
  </si>
  <si>
    <t>XGL</t>
  </si>
  <si>
    <t>Xamble Group Limited CDI 1:1</t>
  </si>
  <si>
    <t>XGOV</t>
  </si>
  <si>
    <t>Vaneck 10+ Year Australian Government Bond ETF</t>
  </si>
  <si>
    <t>XMET</t>
  </si>
  <si>
    <t>BetaShares Energy Transition Metals ETF</t>
  </si>
  <si>
    <t>XPD</t>
  </si>
  <si>
    <t>Xpedra Resources Limited Ordinary</t>
  </si>
  <si>
    <t>XPN</t>
  </si>
  <si>
    <t>Xpon Technologies Group Limited Ordinary</t>
  </si>
  <si>
    <t>XRA</t>
  </si>
  <si>
    <t>Xenora Minerals Ltd Ordinary</t>
  </si>
  <si>
    <t>XRF</t>
  </si>
  <si>
    <t>XRF Scientific Limited Ordinary</t>
  </si>
  <si>
    <t>XRG</t>
  </si>
  <si>
    <t>Xreality Group Ltd Ordinary</t>
  </si>
  <si>
    <t>XRO</t>
  </si>
  <si>
    <t>Xero Limited Ordinary</t>
  </si>
  <si>
    <t>XST</t>
  </si>
  <si>
    <t>Xstate Resources Limited Ordinary</t>
  </si>
  <si>
    <t>XX20</t>
  </si>
  <si>
    <t>First Sentier Ex-20 Australian Share Active ETF</t>
  </si>
  <si>
    <t>XYZ</t>
  </si>
  <si>
    <t>Block, Inc. CDI 1:1 Foreign Exempt NYSE</t>
  </si>
  <si>
    <t>YAL</t>
  </si>
  <si>
    <t>Yancoal Australia Limited Ordinary</t>
  </si>
  <si>
    <t>YANK</t>
  </si>
  <si>
    <t>BetaShares Strong US Dollar Complex ETF</t>
  </si>
  <si>
    <t>YAR</t>
  </si>
  <si>
    <t>Yari Minerals Limited Ordinary</t>
  </si>
  <si>
    <t>YMAX</t>
  </si>
  <si>
    <t>BetaShares Australian Top 20 EQY Yield Maximiser Complex ETF</t>
  </si>
  <si>
    <t>YOJ</t>
  </si>
  <si>
    <t>Yojee Limited Ordinary</t>
  </si>
  <si>
    <t>YOW</t>
  </si>
  <si>
    <t>Yowie Group Ltd Ordinary</t>
  </si>
  <si>
    <t>YRL</t>
  </si>
  <si>
    <t>Yandal Resources Limited Ordinary</t>
  </si>
  <si>
    <t>YUG</t>
  </si>
  <si>
    <t>Yugo Metals Limited Ordinary</t>
  </si>
  <si>
    <t>ZAG</t>
  </si>
  <si>
    <t>Zuleika Gold Limited Ordinary</t>
  </si>
  <si>
    <t>ZEO</t>
  </si>
  <si>
    <t>Zeotech Limited Ordinary</t>
  </si>
  <si>
    <t>ZEU</t>
  </si>
  <si>
    <t>Zeus Resources Limited Ordinary</t>
  </si>
  <si>
    <t>ZGL</t>
  </si>
  <si>
    <t>Zicom Group Limited Ordinary</t>
  </si>
  <si>
    <t>ZIM</t>
  </si>
  <si>
    <t>Zimplats Holdings Limited 10c US Ordinary</t>
  </si>
  <si>
    <t>ZIP</t>
  </si>
  <si>
    <t>Zip Co Limited. Ordinary</t>
  </si>
  <si>
    <t>ZLD</t>
  </si>
  <si>
    <t>Zelira Therapeutics Limited Ordinary</t>
  </si>
  <si>
    <t>ZMI</t>
  </si>
  <si>
    <t>Zinc of Ireland NL Ordinary</t>
  </si>
  <si>
    <t>ZMM</t>
  </si>
  <si>
    <t>Zimi Limited Ordinary</t>
  </si>
  <si>
    <t>ZNC</t>
  </si>
  <si>
    <t>Zenith Minerals Limited Ordinary</t>
  </si>
  <si>
    <t>ZNO</t>
  </si>
  <si>
    <t>Zoono Group Limited Ordinary</t>
  </si>
  <si>
    <t>ZYAU</t>
  </si>
  <si>
    <t>Global X S&amp;P/ASX 200 High Dividend ETF</t>
  </si>
  <si>
    <t>ZYUS</t>
  </si>
  <si>
    <t>Global X S&amp;P 500 High Yield Low Volatility ETF</t>
  </si>
  <si>
    <t>XJO</t>
  </si>
  <si>
    <t>ASX 200</t>
  </si>
  <si>
    <t>XKO</t>
  </si>
  <si>
    <t>ASX 300</t>
  </si>
  <si>
    <t>XAO</t>
  </si>
  <si>
    <t>ASX 500</t>
  </si>
  <si>
    <t>INX</t>
  </si>
  <si>
    <t>S&amp;P 500</t>
  </si>
  <si>
    <t>.DJI</t>
  </si>
  <si>
    <t>Dow</t>
  </si>
  <si>
    <t>.IXIC</t>
  </si>
  <si>
    <t>NASDAQ</t>
  </si>
  <si>
    <t>AUDUSD</t>
  </si>
  <si>
    <t>AUD/USD</t>
  </si>
  <si>
    <t>AUDTHB</t>
  </si>
  <si>
    <t>AUD/THB</t>
  </si>
  <si>
    <t>USDTHB</t>
  </si>
  <si>
    <t>USD/THB</t>
  </si>
  <si>
    <t>BTCUSD</t>
  </si>
  <si>
    <t>BTC/USD</t>
  </si>
  <si>
    <t>GCW00</t>
  </si>
  <si>
    <t>Gold  (100 oz)        COMEX</t>
  </si>
  <si>
    <t>SIW00</t>
  </si>
  <si>
    <t>Silver (5000 oz) COMEX</t>
  </si>
  <si>
    <t>BZW00</t>
  </si>
  <si>
    <t>Brent Oil</t>
  </si>
  <si>
    <t>^GSPC</t>
  </si>
  <si>
    <t>S&amp;P 500 (US)</t>
  </si>
  <si>
    <t>Indices</t>
  </si>
  <si>
    <t>^DJI</t>
  </si>
  <si>
    <t>Dow Jones Industrial (US)</t>
  </si>
  <si>
    <t>^IXIC</t>
  </si>
  <si>
    <t>NASDAQ Composite (US)</t>
  </si>
  <si>
    <t>^FTSE</t>
  </si>
  <si>
    <t>FTSE 100 (UK)</t>
  </si>
  <si>
    <t>^N225</t>
  </si>
  <si>
    <t>Nikkei 225 (Japan)</t>
  </si>
  <si>
    <t>^HSI</t>
  </si>
  <si>
    <t>Hang Seng Index (Hong Kong)</t>
  </si>
  <si>
    <t>^STOXX50E</t>
  </si>
  <si>
    <t>EURO STOXX 50 (Europe)</t>
  </si>
  <si>
    <t>^AXJO</t>
  </si>
  <si>
    <t>S&amp;P/ASX 200 (Australia)</t>
  </si>
  <si>
    <t>GC=F</t>
  </si>
  <si>
    <t>Gold Futures</t>
  </si>
  <si>
    <t>Commodities</t>
  </si>
  <si>
    <t>SI=F</t>
  </si>
  <si>
    <t>Silver Futures</t>
  </si>
  <si>
    <t>CL=F</t>
  </si>
  <si>
    <t>Crude Oil (WTI)</t>
  </si>
  <si>
    <t>BZ=F</t>
  </si>
  <si>
    <t>Brent Crude Oil</t>
  </si>
  <si>
    <t>HG=F</t>
  </si>
  <si>
    <t>Copper Futures</t>
  </si>
  <si>
    <t>BTC-USD</t>
  </si>
  <si>
    <t>Bitcoin (USD)</t>
  </si>
  <si>
    <t>Cryptocurrency</t>
  </si>
  <si>
    <t>BTC-AUD</t>
  </si>
  <si>
    <t>Bitcoin (AUD)</t>
  </si>
  <si>
    <t>AUDUSD=X</t>
  </si>
  <si>
    <t>Currencies</t>
  </si>
  <si>
    <t>AUDGBP=X</t>
  </si>
  <si>
    <t>AUD/GBP</t>
  </si>
  <si>
    <t>AUDEUR=X</t>
  </si>
  <si>
    <t>AUD/EUR</t>
  </si>
  <si>
    <t>AUDJPY=X</t>
  </si>
  <si>
    <t>AUD/JPY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</si>
</sst>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sz val="16.0"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16.0"/>
      <color theme="1"/>
      <name val="Aptos Narrow"/>
    </font>
    <font>
      <b/>
      <sz val="11.0"/>
      <color theme="1"/>
      <name val="Arial"/>
    </font>
    <font>
      <sz val="11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25"/>
    <col customWidth="1" min="9" max="9" width="14.0"/>
    <col customWidth="1" min="11" max="11" width="20.0"/>
    <col customWidth="1" min="12" max="12" width="15.25"/>
    <col customWidth="1" min="13" max="13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360.0</v>
      </c>
      <c r="B2" s="5" t="s">
        <v>13</v>
      </c>
      <c r="C2" s="4" t="s">
        <v>14</v>
      </c>
      <c r="D2" s="6">
        <v>32.46</v>
      </c>
      <c r="E2" s="6">
        <v>33.53</v>
      </c>
      <c r="F2" s="7">
        <v>179.6</v>
      </c>
      <c r="G2" s="7">
        <v>55.87</v>
      </c>
      <c r="H2" s="7">
        <v>14.93</v>
      </c>
      <c r="I2" s="7">
        <v>7.29636184E9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15</v>
      </c>
      <c r="B3" s="5" t="s">
        <v>16</v>
      </c>
      <c r="C3" s="4" t="s">
        <v>17</v>
      </c>
      <c r="D3" s="6">
        <v>0.2</v>
      </c>
      <c r="E3" s="6">
        <v>0.19</v>
      </c>
      <c r="F3" s="4"/>
      <c r="G3" s="7">
        <v>0.2</v>
      </c>
      <c r="H3" s="7">
        <v>0.17</v>
      </c>
      <c r="I3" s="7" t="e">
        <v>#N/A</v>
      </c>
      <c r="J3" s="7">
        <v>0.004</v>
      </c>
      <c r="K3" s="7">
        <v>0.003</v>
      </c>
      <c r="L3" s="7">
        <v>0.015</v>
      </c>
      <c r="M3" s="7">
        <v>0.002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18</v>
      </c>
      <c r="B4" s="5" t="s">
        <v>19</v>
      </c>
      <c r="C4" s="4" t="s">
        <v>20</v>
      </c>
      <c r="D4" s="6">
        <v>0.03</v>
      </c>
      <c r="E4" s="6">
        <v>0.03</v>
      </c>
      <c r="F4" s="4"/>
      <c r="G4" s="7">
        <v>0.11</v>
      </c>
      <c r="H4" s="7">
        <v>0.01</v>
      </c>
      <c r="I4" s="7">
        <v>1.1149459E7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21</v>
      </c>
      <c r="B5" s="5" t="s">
        <v>22</v>
      </c>
      <c r="C5" s="4" t="s">
        <v>23</v>
      </c>
      <c r="D5" s="6">
        <v>0.0</v>
      </c>
      <c r="E5" s="6">
        <v>0.0</v>
      </c>
      <c r="F5" s="4"/>
      <c r="G5" s="7">
        <v>0.02</v>
      </c>
      <c r="H5" s="7">
        <v>0.0</v>
      </c>
      <c r="I5" s="7">
        <v>3381060.0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24</v>
      </c>
      <c r="B6" s="5" t="s">
        <v>25</v>
      </c>
      <c r="C6" s="4" t="s">
        <v>26</v>
      </c>
      <c r="D6" s="6">
        <v>0.09</v>
      </c>
      <c r="E6" s="6">
        <v>0.09</v>
      </c>
      <c r="F6" s="4"/>
      <c r="G6" s="7">
        <v>0.12</v>
      </c>
      <c r="H6" s="7">
        <v>0.03</v>
      </c>
      <c r="I6" s="7">
        <v>1.5759595E7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24</v>
      </c>
      <c r="B7" s="5" t="s">
        <v>25</v>
      </c>
      <c r="C7" s="4" t="s">
        <v>26</v>
      </c>
      <c r="D7" s="6">
        <v>0.09</v>
      </c>
      <c r="E7" s="6">
        <v>0.09</v>
      </c>
      <c r="F7" s="4"/>
      <c r="G7" s="7">
        <v>0.12</v>
      </c>
      <c r="H7" s="7">
        <v>0.03</v>
      </c>
      <c r="I7" s="7">
        <v>1.5759595E7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8" t="s">
        <v>24</v>
      </c>
      <c r="B8" s="8" t="s">
        <v>25</v>
      </c>
      <c r="C8" s="9" t="s">
        <v>26</v>
      </c>
      <c r="D8" s="10">
        <v>0.09</v>
      </c>
      <c r="E8" s="6">
        <v>0.09</v>
      </c>
      <c r="F8" s="4"/>
      <c r="G8" s="7">
        <v>0.12</v>
      </c>
      <c r="H8" s="7">
        <v>0.03</v>
      </c>
      <c r="I8" s="7">
        <v>1.5759595E7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27</v>
      </c>
      <c r="B9" s="5" t="s">
        <v>28</v>
      </c>
      <c r="C9" s="4" t="s">
        <v>23</v>
      </c>
      <c r="D9" s="6">
        <v>0.01</v>
      </c>
      <c r="E9" s="6">
        <v>0.01</v>
      </c>
      <c r="F9" s="4"/>
      <c r="G9" s="7">
        <v>0.02</v>
      </c>
      <c r="H9" s="7">
        <v>0.01</v>
      </c>
      <c r="I9" s="7">
        <v>3.3099711E7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29</v>
      </c>
      <c r="B10" s="5" t="s">
        <v>30</v>
      </c>
      <c r="C10" s="4" t="s">
        <v>31</v>
      </c>
      <c r="D10" s="6">
        <v>0.01</v>
      </c>
      <c r="E10" s="6">
        <v>0.01</v>
      </c>
      <c r="F10" s="4"/>
      <c r="G10" s="7">
        <v>0.01</v>
      </c>
      <c r="H10" s="7">
        <v>0.01</v>
      </c>
      <c r="I10" s="7">
        <v>1.4380145E7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32</v>
      </c>
      <c r="B11" s="5" t="s">
        <v>33</v>
      </c>
      <c r="C11" s="4" t="s">
        <v>34</v>
      </c>
      <c r="D11" s="6">
        <v>51.33</v>
      </c>
      <c r="E11" s="6">
        <v>51.4</v>
      </c>
      <c r="F11" s="4"/>
      <c r="G11" s="7">
        <v>52.5</v>
      </c>
      <c r="H11" s="7">
        <v>50.85</v>
      </c>
      <c r="I11" s="7" t="e">
        <v>#N/A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35</v>
      </c>
      <c r="B12" s="5" t="s">
        <v>36</v>
      </c>
      <c r="C12" s="4" t="s">
        <v>37</v>
      </c>
      <c r="D12" s="6">
        <v>0.05</v>
      </c>
      <c r="E12" s="6">
        <v>0.04</v>
      </c>
      <c r="F12" s="4"/>
      <c r="G12" s="7">
        <v>0.11</v>
      </c>
      <c r="H12" s="7">
        <v>0.01</v>
      </c>
      <c r="I12" s="7">
        <v>1.7601691E7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38</v>
      </c>
      <c r="B13" s="5" t="s">
        <v>39</v>
      </c>
      <c r="C13" s="4" t="s">
        <v>14</v>
      </c>
      <c r="D13" s="6">
        <v>0.0</v>
      </c>
      <c r="E13" s="6">
        <v>0.0</v>
      </c>
      <c r="F13" s="4"/>
      <c r="G13" s="7">
        <v>0.1</v>
      </c>
      <c r="H13" s="7">
        <v>0.0</v>
      </c>
      <c r="I13" s="7">
        <v>78184.0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40</v>
      </c>
      <c r="B14" s="5" t="s">
        <v>41</v>
      </c>
      <c r="C14" s="4" t="s">
        <v>34</v>
      </c>
      <c r="D14" s="6">
        <v>24.95</v>
      </c>
      <c r="E14" s="6">
        <v>24.95</v>
      </c>
      <c r="F14" s="4"/>
      <c r="G14" s="7">
        <v>25.28</v>
      </c>
      <c r="H14" s="7">
        <v>24.88</v>
      </c>
      <c r="I14" s="7" t="e">
        <v>#N/A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42</v>
      </c>
      <c r="B15" s="5" t="s">
        <v>43</v>
      </c>
      <c r="C15" s="4" t="s">
        <v>34</v>
      </c>
      <c r="D15" s="6">
        <v>24.8</v>
      </c>
      <c r="E15" s="6">
        <v>24.8</v>
      </c>
      <c r="F15" s="4"/>
      <c r="G15" s="7">
        <v>25.3</v>
      </c>
      <c r="H15" s="7">
        <v>24.8</v>
      </c>
      <c r="I15" s="7" t="e">
        <v>#N/A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44</v>
      </c>
      <c r="B16" s="5" t="s">
        <v>45</v>
      </c>
      <c r="C16" s="4" t="s">
        <v>17</v>
      </c>
      <c r="D16" s="6">
        <v>0.56</v>
      </c>
      <c r="E16" s="6">
        <v>0.57</v>
      </c>
      <c r="F16" s="4"/>
      <c r="G16" s="7">
        <v>0.62</v>
      </c>
      <c r="H16" s="7">
        <v>0.11</v>
      </c>
      <c r="I16" s="7">
        <v>7.68327579E8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46</v>
      </c>
      <c r="B17" s="5" t="s">
        <v>47</v>
      </c>
      <c r="C17" s="4" t="s">
        <v>34</v>
      </c>
      <c r="D17" s="6">
        <v>24.69</v>
      </c>
      <c r="E17" s="6">
        <v>24.77</v>
      </c>
      <c r="F17" s="4"/>
      <c r="G17" s="7">
        <v>25.47</v>
      </c>
      <c r="H17" s="7">
        <v>24.64</v>
      </c>
      <c r="I17" s="7" t="e">
        <v>#N/A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48</v>
      </c>
      <c r="B18" s="5" t="s">
        <v>49</v>
      </c>
      <c r="C18" s="4" t="s">
        <v>50</v>
      </c>
      <c r="D18" s="6">
        <v>0.29</v>
      </c>
      <c r="E18" s="6">
        <v>0.28</v>
      </c>
      <c r="F18" s="4"/>
      <c r="G18" s="7">
        <v>0.54</v>
      </c>
      <c r="H18" s="7">
        <v>0.19</v>
      </c>
      <c r="I18" s="7">
        <v>2.71315785E8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51</v>
      </c>
      <c r="B19" s="5" t="s">
        <v>52</v>
      </c>
      <c r="C19" s="4" t="s">
        <v>14</v>
      </c>
      <c r="D19" s="6">
        <v>0.04</v>
      </c>
      <c r="E19" s="6">
        <v>0.04</v>
      </c>
      <c r="F19" s="4"/>
      <c r="G19" s="7">
        <v>0.11</v>
      </c>
      <c r="H19" s="7">
        <v>0.04</v>
      </c>
      <c r="I19" s="7">
        <v>3.1397991E7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53</v>
      </c>
      <c r="B20" s="5" t="s">
        <v>54</v>
      </c>
      <c r="C20" s="4" t="s">
        <v>14</v>
      </c>
      <c r="D20" s="6">
        <v>0.62</v>
      </c>
      <c r="E20" s="6">
        <v>0.62</v>
      </c>
      <c r="F20" s="7">
        <v>805.19</v>
      </c>
      <c r="G20" s="7">
        <v>0.84</v>
      </c>
      <c r="H20" s="7">
        <v>0.55</v>
      </c>
      <c r="I20" s="7">
        <v>1.69202E8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 t="s">
        <v>55</v>
      </c>
      <c r="B21" s="5" t="s">
        <v>56</v>
      </c>
      <c r="C21" s="4" t="s">
        <v>57</v>
      </c>
      <c r="D21" s="6">
        <v>0.01</v>
      </c>
      <c r="E21" s="6">
        <v>0.01</v>
      </c>
      <c r="F21" s="4"/>
      <c r="G21" s="7">
        <v>0.08</v>
      </c>
      <c r="H21" s="7">
        <v>0.01</v>
      </c>
      <c r="I21" s="7">
        <v>2.4936878E7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 t="s">
        <v>58</v>
      </c>
      <c r="B22" s="5" t="s">
        <v>59</v>
      </c>
      <c r="C22" s="4" t="s">
        <v>60</v>
      </c>
      <c r="D22" s="6">
        <v>4.54</v>
      </c>
      <c r="E22" s="6">
        <v>3.93</v>
      </c>
      <c r="F22" s="4"/>
      <c r="G22" s="7">
        <v>4.65</v>
      </c>
      <c r="H22" s="7">
        <v>0.23</v>
      </c>
      <c r="I22" s="7">
        <v>2.384294479E9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 t="s">
        <v>61</v>
      </c>
      <c r="B23" s="5" t="s">
        <v>62</v>
      </c>
      <c r="C23" s="4" t="s">
        <v>37</v>
      </c>
      <c r="D23" s="6">
        <v>0.51</v>
      </c>
      <c r="E23" s="6">
        <v>0.52</v>
      </c>
      <c r="F23" s="4"/>
      <c r="G23" s="7">
        <v>2.65</v>
      </c>
      <c r="H23" s="7">
        <v>0.5</v>
      </c>
      <c r="I23" s="7">
        <v>8.0645749E7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 t="s">
        <v>63</v>
      </c>
      <c r="B24" s="5" t="s">
        <v>64</v>
      </c>
      <c r="C24" s="4" t="s">
        <v>65</v>
      </c>
      <c r="D24" s="6">
        <v>0.02</v>
      </c>
      <c r="E24" s="6">
        <v>0.02</v>
      </c>
      <c r="F24" s="4"/>
      <c r="G24" s="7">
        <v>0.06</v>
      </c>
      <c r="H24" s="7">
        <v>0.02</v>
      </c>
      <c r="I24" s="7">
        <v>9096601.0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 t="s">
        <v>63</v>
      </c>
      <c r="B25" s="5" t="s">
        <v>64</v>
      </c>
      <c r="C25" s="4" t="s">
        <v>65</v>
      </c>
      <c r="D25" s="6">
        <v>0.02</v>
      </c>
      <c r="E25" s="6">
        <v>0.02</v>
      </c>
      <c r="F25" s="4"/>
      <c r="G25" s="7">
        <v>0.06</v>
      </c>
      <c r="H25" s="7">
        <v>0.02</v>
      </c>
      <c r="I25" s="7">
        <v>9096601.0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8" t="s">
        <v>63</v>
      </c>
      <c r="B26" s="8" t="s">
        <v>64</v>
      </c>
      <c r="C26" s="9" t="s">
        <v>65</v>
      </c>
      <c r="D26" s="10">
        <v>0.02</v>
      </c>
      <c r="E26" s="6">
        <v>0.02</v>
      </c>
      <c r="F26" s="4"/>
      <c r="G26" s="7">
        <v>0.06</v>
      </c>
      <c r="H26" s="7">
        <v>0.02</v>
      </c>
      <c r="I26" s="7">
        <v>9096601.0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 t="s">
        <v>66</v>
      </c>
      <c r="B27" s="5" t="s">
        <v>67</v>
      </c>
      <c r="C27" s="4" t="s">
        <v>68</v>
      </c>
      <c r="D27" s="6">
        <v>0.14</v>
      </c>
      <c r="E27" s="6">
        <v>0.13</v>
      </c>
      <c r="F27" s="4"/>
      <c r="G27" s="7">
        <v>0.17</v>
      </c>
      <c r="H27" s="7">
        <v>0.13</v>
      </c>
      <c r="I27" s="7">
        <v>3.6464E7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 t="s">
        <v>69</v>
      </c>
      <c r="B28" s="5" t="s">
        <v>70</v>
      </c>
      <c r="C28" s="4" t="s">
        <v>34</v>
      </c>
      <c r="D28" s="6">
        <v>51.69</v>
      </c>
      <c r="E28" s="6">
        <v>51.85</v>
      </c>
      <c r="F28" s="4"/>
      <c r="G28" s="7">
        <v>53.94</v>
      </c>
      <c r="H28" s="7">
        <v>50.66</v>
      </c>
      <c r="I28" s="7" t="e">
        <v>#N/A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 t="s">
        <v>71</v>
      </c>
      <c r="B29" s="5" t="s">
        <v>72</v>
      </c>
      <c r="C29" s="4" t="s">
        <v>73</v>
      </c>
      <c r="D29" s="6">
        <v>0.86</v>
      </c>
      <c r="E29" s="6">
        <v>0.88</v>
      </c>
      <c r="F29" s="4"/>
      <c r="G29" s="7">
        <v>1.03</v>
      </c>
      <c r="H29" s="7">
        <v>0.72</v>
      </c>
      <c r="I29" s="7" t="e">
        <v>#N/A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 t="s">
        <v>74</v>
      </c>
      <c r="B30" s="5" t="s">
        <v>75</v>
      </c>
      <c r="C30" s="4" t="s">
        <v>76</v>
      </c>
      <c r="D30" s="6">
        <v>0.02</v>
      </c>
      <c r="E30" s="6">
        <v>0.02</v>
      </c>
      <c r="F30" s="4"/>
      <c r="G30" s="7">
        <v>0.05</v>
      </c>
      <c r="H30" s="7">
        <v>0.02</v>
      </c>
      <c r="I30" s="7">
        <v>2.6734784E7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 t="s">
        <v>77</v>
      </c>
      <c r="B31" s="5" t="s">
        <v>78</v>
      </c>
      <c r="C31" s="4" t="s">
        <v>14</v>
      </c>
      <c r="D31" s="6">
        <v>0.04</v>
      </c>
      <c r="E31" s="6">
        <v>0.04</v>
      </c>
      <c r="F31" s="4"/>
      <c r="G31" s="7">
        <v>0.05</v>
      </c>
      <c r="H31" s="7">
        <v>0.01</v>
      </c>
      <c r="I31" s="7">
        <v>8291510.0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79</v>
      </c>
      <c r="B32" s="5" t="s">
        <v>80</v>
      </c>
      <c r="C32" s="4" t="s">
        <v>81</v>
      </c>
      <c r="D32" s="6">
        <v>0.02</v>
      </c>
      <c r="E32" s="6">
        <v>0.02</v>
      </c>
      <c r="F32" s="7">
        <v>8.06</v>
      </c>
      <c r="G32" s="7">
        <v>0.05</v>
      </c>
      <c r="H32" s="7">
        <v>0.01</v>
      </c>
      <c r="I32" s="7">
        <v>5030920.0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 t="s">
        <v>82</v>
      </c>
      <c r="B33" s="5" t="s">
        <v>83</v>
      </c>
      <c r="C33" s="4" t="s">
        <v>37</v>
      </c>
      <c r="D33" s="6">
        <v>0.23</v>
      </c>
      <c r="E33" s="6">
        <v>0.22</v>
      </c>
      <c r="F33" s="4"/>
      <c r="G33" s="7">
        <v>0.34</v>
      </c>
      <c r="H33" s="7">
        <v>0.11</v>
      </c>
      <c r="I33" s="7">
        <v>7.8205238E7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 t="s">
        <v>84</v>
      </c>
      <c r="B34" s="5" t="s">
        <v>85</v>
      </c>
      <c r="C34" s="4" t="s">
        <v>86</v>
      </c>
      <c r="D34" s="6">
        <v>0.66</v>
      </c>
      <c r="E34" s="6">
        <v>0.66</v>
      </c>
      <c r="F34" s="4"/>
      <c r="G34" s="7">
        <v>0.69</v>
      </c>
      <c r="H34" s="7">
        <v>0.06</v>
      </c>
      <c r="I34" s="7">
        <v>3.64264574E8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 t="s">
        <v>87</v>
      </c>
      <c r="B35" s="5" t="s">
        <v>88</v>
      </c>
      <c r="C35" s="4" t="s">
        <v>17</v>
      </c>
      <c r="D35" s="6">
        <v>0.6</v>
      </c>
      <c r="E35" s="6">
        <v>0.59</v>
      </c>
      <c r="F35" s="7">
        <v>24.17</v>
      </c>
      <c r="G35" s="7">
        <v>0.61</v>
      </c>
      <c r="H35" s="7">
        <v>0.28</v>
      </c>
      <c r="I35" s="7">
        <v>4.74583803E8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 t="s">
        <v>89</v>
      </c>
      <c r="B36" s="5" t="s">
        <v>90</v>
      </c>
      <c r="C36" s="4" t="s">
        <v>91</v>
      </c>
      <c r="D36" s="6">
        <v>0.41</v>
      </c>
      <c r="E36" s="6">
        <v>0.4</v>
      </c>
      <c r="F36" s="4"/>
      <c r="G36" s="7">
        <v>0.74</v>
      </c>
      <c r="H36" s="7">
        <v>0.37</v>
      </c>
      <c r="I36" s="7">
        <v>1.2674625E8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 t="s">
        <v>92</v>
      </c>
      <c r="B37" s="5" t="s">
        <v>93</v>
      </c>
      <c r="C37" s="4" t="s">
        <v>34</v>
      </c>
      <c r="D37" s="6">
        <v>145.21</v>
      </c>
      <c r="E37" s="6">
        <v>146.08</v>
      </c>
      <c r="F37" s="4"/>
      <c r="G37" s="7">
        <v>151.97</v>
      </c>
      <c r="H37" s="7">
        <v>119.7</v>
      </c>
      <c r="I37" s="7" t="e">
        <v>#N/A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 t="s">
        <v>94</v>
      </c>
      <c r="B38" s="5" t="s">
        <v>95</v>
      </c>
      <c r="C38" s="4" t="s">
        <v>96</v>
      </c>
      <c r="D38" s="6">
        <v>9.18</v>
      </c>
      <c r="E38" s="6">
        <v>9.21</v>
      </c>
      <c r="F38" s="4"/>
      <c r="G38" s="7">
        <v>9.78</v>
      </c>
      <c r="H38" s="7">
        <v>5.43</v>
      </c>
      <c r="I38" s="7">
        <v>7.81453E9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 t="s">
        <v>97</v>
      </c>
      <c r="B39" s="5" t="s">
        <v>98</v>
      </c>
      <c r="C39" s="4" t="s">
        <v>34</v>
      </c>
      <c r="D39" s="6">
        <v>50.77</v>
      </c>
      <c r="E39" s="6">
        <v>50.6</v>
      </c>
      <c r="F39" s="4"/>
      <c r="G39" s="7">
        <v>53.0</v>
      </c>
      <c r="H39" s="7">
        <v>49.0</v>
      </c>
      <c r="I39" s="7" t="e">
        <v>#N/A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 t="s">
        <v>99</v>
      </c>
      <c r="B40" s="5" t="s">
        <v>100</v>
      </c>
      <c r="C40" s="4" t="s">
        <v>101</v>
      </c>
      <c r="D40" s="6">
        <v>0.06</v>
      </c>
      <c r="E40" s="6">
        <v>0.06</v>
      </c>
      <c r="F40" s="4"/>
      <c r="G40" s="7">
        <v>0.09</v>
      </c>
      <c r="H40" s="7">
        <v>0.03</v>
      </c>
      <c r="I40" s="7">
        <v>2.9831497E7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 t="s">
        <v>102</v>
      </c>
      <c r="B41" s="5" t="s">
        <v>103</v>
      </c>
      <c r="C41" s="4" t="s">
        <v>104</v>
      </c>
      <c r="D41" s="6">
        <v>0.77</v>
      </c>
      <c r="E41" s="6">
        <v>0.78</v>
      </c>
      <c r="F41" s="4"/>
      <c r="G41" s="7">
        <v>1.05</v>
      </c>
      <c r="H41" s="7">
        <v>0.64</v>
      </c>
      <c r="I41" s="7">
        <v>8.73154568E8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 t="s">
        <v>105</v>
      </c>
      <c r="B42" s="5" t="s">
        <v>106</v>
      </c>
      <c r="C42" s="4" t="s">
        <v>86</v>
      </c>
      <c r="D42" s="6">
        <v>0.09</v>
      </c>
      <c r="E42" s="6">
        <v>0.09</v>
      </c>
      <c r="F42" s="4"/>
      <c r="G42" s="7">
        <v>0.17</v>
      </c>
      <c r="H42" s="7">
        <v>0.06</v>
      </c>
      <c r="I42" s="7">
        <v>4920630.0</v>
      </c>
      <c r="J42" s="7">
        <v>3.77</v>
      </c>
      <c r="K42" s="7">
        <v>3.85</v>
      </c>
      <c r="L42" s="7">
        <v>4.11</v>
      </c>
      <c r="M42" s="7">
        <v>3.38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 t="s">
        <v>107</v>
      </c>
      <c r="B43" s="5" t="s">
        <v>108</v>
      </c>
      <c r="C43" s="4" t="s">
        <v>109</v>
      </c>
      <c r="D43" s="6">
        <v>0.29</v>
      </c>
      <c r="E43" s="6">
        <v>0.3</v>
      </c>
      <c r="F43" s="4"/>
      <c r="G43" s="7">
        <v>0.39</v>
      </c>
      <c r="H43" s="7">
        <v>0.25</v>
      </c>
      <c r="I43" s="7">
        <v>3.8869463E7</v>
      </c>
      <c r="J43" s="4"/>
      <c r="K43" s="4"/>
      <c r="L43" s="4"/>
      <c r="M43" s="4"/>
      <c r="N43" s="4"/>
      <c r="O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 t="s">
        <v>110</v>
      </c>
      <c r="B44" s="5" t="s">
        <v>111</v>
      </c>
      <c r="C44" s="4" t="s">
        <v>34</v>
      </c>
      <c r="D44" s="6">
        <v>50.1</v>
      </c>
      <c r="E44" s="6">
        <v>50.25</v>
      </c>
      <c r="F44" s="4"/>
      <c r="G44" s="7">
        <v>50.3</v>
      </c>
      <c r="H44" s="7">
        <v>50.07</v>
      </c>
      <c r="I44" s="7" t="e">
        <v>#N/A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 t="s">
        <v>112</v>
      </c>
      <c r="B45" s="5" t="s">
        <v>113</v>
      </c>
      <c r="C45" s="4" t="s">
        <v>96</v>
      </c>
      <c r="D45" s="6">
        <v>1.45</v>
      </c>
      <c r="E45" s="6">
        <v>1.45</v>
      </c>
      <c r="F45" s="7">
        <v>15.31</v>
      </c>
      <c r="G45" s="7">
        <v>1.58</v>
      </c>
      <c r="H45" s="7">
        <v>1.33</v>
      </c>
      <c r="I45" s="7">
        <v>8.70997918E8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 t="s">
        <v>114</v>
      </c>
      <c r="B46" s="5" t="s">
        <v>115</v>
      </c>
      <c r="C46" s="4" t="s">
        <v>116</v>
      </c>
      <c r="D46" s="6">
        <v>80.36</v>
      </c>
      <c r="E46" s="6">
        <v>80.6</v>
      </c>
      <c r="F46" s="4"/>
      <c r="G46" s="7">
        <v>81.19</v>
      </c>
      <c r="H46" s="7">
        <v>36.2</v>
      </c>
      <c r="I46" s="7">
        <v>1.4641824797E10</v>
      </c>
      <c r="J46" s="4"/>
      <c r="K46" s="4"/>
      <c r="L46" s="4"/>
      <c r="M46" s="4"/>
      <c r="N46" s="4"/>
      <c r="O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 t="s">
        <v>117</v>
      </c>
      <c r="B47" s="5" t="s">
        <v>118</v>
      </c>
      <c r="C47" s="4" t="s">
        <v>17</v>
      </c>
      <c r="D47" s="6">
        <v>0.02</v>
      </c>
      <c r="E47" s="6">
        <v>0.02</v>
      </c>
      <c r="F47" s="4"/>
      <c r="G47" s="7">
        <v>0.03</v>
      </c>
      <c r="H47" s="7">
        <v>0.01</v>
      </c>
      <c r="I47" s="7">
        <v>4953904.0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 t="s">
        <v>119</v>
      </c>
      <c r="B48" s="5" t="s">
        <v>120</v>
      </c>
      <c r="C48" s="4" t="s">
        <v>121</v>
      </c>
      <c r="D48" s="6">
        <v>0.42</v>
      </c>
      <c r="E48" s="6">
        <v>0.4</v>
      </c>
      <c r="F48" s="7">
        <v>9.99</v>
      </c>
      <c r="G48" s="7">
        <v>0.59</v>
      </c>
      <c r="H48" s="7">
        <v>0.32</v>
      </c>
      <c r="I48" s="7">
        <v>5.516914E7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 t="s">
        <v>122</v>
      </c>
      <c r="B49" s="5" t="s">
        <v>123</v>
      </c>
      <c r="C49" s="4" t="s">
        <v>17</v>
      </c>
      <c r="D49" s="6">
        <v>0.04</v>
      </c>
      <c r="E49" s="6">
        <v>0.04</v>
      </c>
      <c r="F49" s="4"/>
      <c r="G49" s="7">
        <v>0.06</v>
      </c>
      <c r="H49" s="7">
        <v>0.03</v>
      </c>
      <c r="I49" s="7">
        <v>3.0007439E7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 t="s">
        <v>124</v>
      </c>
      <c r="B50" s="5" t="s">
        <v>125</v>
      </c>
      <c r="C50" s="4" t="s">
        <v>126</v>
      </c>
      <c r="D50" s="6">
        <v>0.05</v>
      </c>
      <c r="E50" s="6">
        <v>0.05</v>
      </c>
      <c r="F50" s="7">
        <v>9.4</v>
      </c>
      <c r="G50" s="7">
        <v>0.05</v>
      </c>
      <c r="H50" s="7">
        <v>0.04</v>
      </c>
      <c r="I50" s="7">
        <v>1.843019E7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 t="s">
        <v>127</v>
      </c>
      <c r="B51" s="5" t="s">
        <v>128</v>
      </c>
      <c r="C51" s="4" t="s">
        <v>86</v>
      </c>
      <c r="D51" s="6">
        <v>0.26</v>
      </c>
      <c r="E51" s="6">
        <v>0.27</v>
      </c>
      <c r="F51" s="4"/>
      <c r="G51" s="7">
        <v>0.28</v>
      </c>
      <c r="H51" s="7">
        <v>0.13</v>
      </c>
      <c r="I51" s="7">
        <v>4.57175663E8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 t="s">
        <v>129</v>
      </c>
      <c r="B52" s="5" t="s">
        <v>130</v>
      </c>
      <c r="C52" s="4" t="s">
        <v>34</v>
      </c>
      <c r="D52" s="6" t="e">
        <v>#N/A</v>
      </c>
      <c r="E52" s="6" t="e">
        <v>#N/A</v>
      </c>
      <c r="F52" s="4"/>
      <c r="G52" s="4"/>
      <c r="H52" s="4"/>
      <c r="I52" s="7" t="e">
        <v>#N/A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 t="s">
        <v>131</v>
      </c>
      <c r="B53" s="5" t="s">
        <v>132</v>
      </c>
      <c r="C53" s="4" t="s">
        <v>86</v>
      </c>
      <c r="D53" s="6">
        <v>0.01</v>
      </c>
      <c r="E53" s="6">
        <v>0.01</v>
      </c>
      <c r="F53" s="7">
        <v>7.46</v>
      </c>
      <c r="G53" s="7">
        <v>0.01</v>
      </c>
      <c r="H53" s="7">
        <v>0.0</v>
      </c>
      <c r="I53" s="7">
        <v>3.1073009E7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 t="s">
        <v>133</v>
      </c>
      <c r="B54" s="5" t="s">
        <v>134</v>
      </c>
      <c r="C54" s="4" t="s">
        <v>135</v>
      </c>
      <c r="D54" s="6">
        <v>5.0</v>
      </c>
      <c r="E54" s="6">
        <v>5.04</v>
      </c>
      <c r="F54" s="7">
        <v>44.77</v>
      </c>
      <c r="G54" s="7">
        <v>6.1</v>
      </c>
      <c r="H54" s="7">
        <v>3.36</v>
      </c>
      <c r="I54" s="7">
        <v>1.4628795E9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136</v>
      </c>
      <c r="B55" s="5" t="s">
        <v>137</v>
      </c>
      <c r="C55" s="4" t="s">
        <v>138</v>
      </c>
      <c r="D55" s="6">
        <v>0.03</v>
      </c>
      <c r="E55" s="6">
        <v>0.03</v>
      </c>
      <c r="F55" s="4"/>
      <c r="G55" s="7">
        <v>0.05</v>
      </c>
      <c r="H55" s="7">
        <v>0.02</v>
      </c>
      <c r="I55" s="7">
        <v>3373439.0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 t="s">
        <v>139</v>
      </c>
      <c r="B56" s="5" t="s">
        <v>140</v>
      </c>
      <c r="C56" s="4" t="s">
        <v>141</v>
      </c>
      <c r="D56" s="6">
        <v>1.2</v>
      </c>
      <c r="E56" s="6">
        <v>1.21</v>
      </c>
      <c r="F56" s="7">
        <v>39.85</v>
      </c>
      <c r="G56" s="7">
        <v>1.3</v>
      </c>
      <c r="H56" s="7">
        <v>1.03</v>
      </c>
      <c r="I56" s="7">
        <v>1.072389402E9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 t="s">
        <v>142</v>
      </c>
      <c r="B57" s="5" t="s">
        <v>143</v>
      </c>
      <c r="C57" s="4" t="s">
        <v>17</v>
      </c>
      <c r="D57" s="6">
        <v>0.0</v>
      </c>
      <c r="E57" s="6">
        <v>0.0</v>
      </c>
      <c r="F57" s="4"/>
      <c r="G57" s="7">
        <v>0.01</v>
      </c>
      <c r="H57" s="7">
        <v>0.0</v>
      </c>
      <c r="I57" s="7">
        <v>1674740.0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 t="s">
        <v>144</v>
      </c>
      <c r="B58" s="5" t="s">
        <v>145</v>
      </c>
      <c r="C58" s="4" t="s">
        <v>146</v>
      </c>
      <c r="D58" s="6">
        <v>0.11</v>
      </c>
      <c r="E58" s="6">
        <v>0.11</v>
      </c>
      <c r="F58" s="7">
        <v>23.76</v>
      </c>
      <c r="G58" s="7">
        <v>0.14</v>
      </c>
      <c r="H58" s="7">
        <v>0.07</v>
      </c>
      <c r="I58" s="7">
        <v>4.3764148E7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 t="s">
        <v>147</v>
      </c>
      <c r="B59" s="5" t="s">
        <v>148</v>
      </c>
      <c r="C59" s="4" t="s">
        <v>73</v>
      </c>
      <c r="D59" s="6">
        <v>0.07</v>
      </c>
      <c r="E59" s="6">
        <v>0.07</v>
      </c>
      <c r="F59" s="4"/>
      <c r="G59" s="7">
        <v>0.14</v>
      </c>
      <c r="H59" s="7">
        <v>0.03</v>
      </c>
      <c r="I59" s="7">
        <v>2.7623111E7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 t="s">
        <v>149</v>
      </c>
      <c r="B60" s="5" t="s">
        <v>150</v>
      </c>
      <c r="C60" s="4" t="s">
        <v>151</v>
      </c>
      <c r="D60" s="6">
        <v>1.29</v>
      </c>
      <c r="E60" s="6">
        <v>1.27</v>
      </c>
      <c r="F60" s="7">
        <v>164.54</v>
      </c>
      <c r="G60" s="7">
        <v>1.33</v>
      </c>
      <c r="H60" s="7">
        <v>0.61</v>
      </c>
      <c r="I60" s="7">
        <v>1.21205751E8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 t="s">
        <v>152</v>
      </c>
      <c r="B61" s="5" t="s">
        <v>153</v>
      </c>
      <c r="C61" s="4" t="s">
        <v>34</v>
      </c>
      <c r="D61" s="6">
        <v>140.3</v>
      </c>
      <c r="E61" s="6">
        <v>139.0</v>
      </c>
      <c r="F61" s="4"/>
      <c r="G61" s="7">
        <v>144.63</v>
      </c>
      <c r="H61" s="7">
        <v>71.63</v>
      </c>
      <c r="I61" s="7" t="e">
        <v>#N/A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 t="s">
        <v>154</v>
      </c>
      <c r="B62" s="5" t="s">
        <v>155</v>
      </c>
      <c r="C62" s="4" t="s">
        <v>156</v>
      </c>
      <c r="D62" s="6">
        <v>1.68</v>
      </c>
      <c r="E62" s="6">
        <v>1.7</v>
      </c>
      <c r="F62" s="4"/>
      <c r="G62" s="7">
        <v>2.13</v>
      </c>
      <c r="H62" s="7">
        <v>0.82</v>
      </c>
      <c r="I62" s="7">
        <v>2.72476167E8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 t="s">
        <v>157</v>
      </c>
      <c r="B63" s="5" t="s">
        <v>158</v>
      </c>
      <c r="C63" s="4" t="s">
        <v>159</v>
      </c>
      <c r="D63" s="6">
        <v>1.03</v>
      </c>
      <c r="E63" s="6">
        <v>1.03</v>
      </c>
      <c r="F63" s="7">
        <v>13.94</v>
      </c>
      <c r="G63" s="7">
        <v>1.2</v>
      </c>
      <c r="H63" s="7">
        <v>0.95</v>
      </c>
      <c r="I63" s="7">
        <v>3.22281084E8</v>
      </c>
      <c r="J63" s="7">
        <v>6.29</v>
      </c>
      <c r="K63" s="7">
        <v>6.29</v>
      </c>
      <c r="L63" s="7">
        <v>6.49</v>
      </c>
      <c r="M63" s="7">
        <v>5.63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160</v>
      </c>
      <c r="B64" s="5" t="s">
        <v>161</v>
      </c>
      <c r="C64" s="4" t="s">
        <v>162</v>
      </c>
      <c r="D64" s="6">
        <v>2.73</v>
      </c>
      <c r="E64" s="6">
        <v>2.75</v>
      </c>
      <c r="F64" s="7">
        <v>16.01</v>
      </c>
      <c r="G64" s="7">
        <v>3.83</v>
      </c>
      <c r="H64" s="7">
        <v>2.38</v>
      </c>
      <c r="I64" s="7">
        <v>5.24762787E8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 t="s">
        <v>163</v>
      </c>
      <c r="B65" s="5" t="s">
        <v>164</v>
      </c>
      <c r="C65" s="4" t="s">
        <v>17</v>
      </c>
      <c r="D65" s="6">
        <v>0.08</v>
      </c>
      <c r="E65" s="6">
        <v>0.08</v>
      </c>
      <c r="F65" s="4"/>
      <c r="G65" s="7">
        <v>0.11</v>
      </c>
      <c r="H65" s="7">
        <v>0.04</v>
      </c>
      <c r="I65" s="7">
        <v>6516549.0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 t="s">
        <v>165</v>
      </c>
      <c r="B66" s="5" t="s">
        <v>166</v>
      </c>
      <c r="C66" s="4" t="s">
        <v>37</v>
      </c>
      <c r="D66" s="6">
        <v>0.03</v>
      </c>
      <c r="E66" s="6">
        <v>0.03</v>
      </c>
      <c r="F66" s="4"/>
      <c r="G66" s="7">
        <v>0.03</v>
      </c>
      <c r="H66" s="7">
        <v>0.02</v>
      </c>
      <c r="I66" s="7">
        <v>2.08034E7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 t="s">
        <v>167</v>
      </c>
      <c r="B67" s="5" t="s">
        <v>168</v>
      </c>
      <c r="C67" s="4" t="s">
        <v>169</v>
      </c>
      <c r="D67" s="6">
        <v>0.94</v>
      </c>
      <c r="E67" s="6">
        <v>0.94</v>
      </c>
      <c r="F67" s="7">
        <v>8.67</v>
      </c>
      <c r="G67" s="7">
        <v>0.98</v>
      </c>
      <c r="H67" s="7">
        <v>0.69</v>
      </c>
      <c r="I67" s="7">
        <v>8.401186E7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 t="s">
        <v>170</v>
      </c>
      <c r="B68" s="5" t="s">
        <v>171</v>
      </c>
      <c r="C68" s="4" t="s">
        <v>172</v>
      </c>
      <c r="D68" s="6">
        <v>0.02</v>
      </c>
      <c r="E68" s="6">
        <v>0.02</v>
      </c>
      <c r="F68" s="4"/>
      <c r="G68" s="7">
        <v>0.03</v>
      </c>
      <c r="H68" s="7">
        <v>0.01</v>
      </c>
      <c r="I68" s="7">
        <v>6159130.0</v>
      </c>
      <c r="J68" s="7">
        <v>0.001</v>
      </c>
      <c r="K68" s="7">
        <v>0.001</v>
      </c>
      <c r="L68" s="7">
        <v>0.002</v>
      </c>
      <c r="M68" s="7">
        <v>0.001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 t="s">
        <v>173</v>
      </c>
      <c r="B69" s="5" t="s">
        <v>174</v>
      </c>
      <c r="C69" s="4" t="s">
        <v>17</v>
      </c>
      <c r="D69" s="6">
        <v>0.05</v>
      </c>
      <c r="E69" s="6">
        <v>0.05</v>
      </c>
      <c r="F69" s="4"/>
      <c r="G69" s="7">
        <v>0.06</v>
      </c>
      <c r="H69" s="7">
        <v>0.01</v>
      </c>
      <c r="I69" s="7">
        <v>2.0266848E7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 t="s">
        <v>175</v>
      </c>
      <c r="B70" s="5" t="s">
        <v>176</v>
      </c>
      <c r="C70" s="4" t="s">
        <v>177</v>
      </c>
      <c r="D70" s="6">
        <v>0.08</v>
      </c>
      <c r="E70" s="6">
        <v>0.08</v>
      </c>
      <c r="F70" s="7">
        <v>14.42</v>
      </c>
      <c r="G70" s="7">
        <v>0.1</v>
      </c>
      <c r="H70" s="7">
        <v>0.07</v>
      </c>
      <c r="I70" s="7">
        <v>1.672163E7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 t="s">
        <v>178</v>
      </c>
      <c r="B71" s="5" t="s">
        <v>179</v>
      </c>
      <c r="C71" s="4" t="s">
        <v>23</v>
      </c>
      <c r="D71" s="6">
        <v>0.07</v>
      </c>
      <c r="E71" s="6">
        <v>0.06</v>
      </c>
      <c r="F71" s="4"/>
      <c r="G71" s="7">
        <v>0.07</v>
      </c>
      <c r="H71" s="7">
        <v>0.02</v>
      </c>
      <c r="I71" s="7">
        <v>2.13840724E8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 t="s">
        <v>180</v>
      </c>
      <c r="B72" s="5" t="s">
        <v>181</v>
      </c>
      <c r="C72" s="4" t="s">
        <v>182</v>
      </c>
      <c r="D72" s="6">
        <v>0.04</v>
      </c>
      <c r="E72" s="6">
        <v>0.04</v>
      </c>
      <c r="F72" s="4"/>
      <c r="G72" s="7">
        <v>0.06</v>
      </c>
      <c r="H72" s="7">
        <v>0.04</v>
      </c>
      <c r="I72" s="7">
        <v>1.369937E7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 t="s">
        <v>183</v>
      </c>
      <c r="B73" s="5" t="s">
        <v>184</v>
      </c>
      <c r="C73" s="4" t="s">
        <v>101</v>
      </c>
      <c r="D73" s="6">
        <v>4.11</v>
      </c>
      <c r="E73" s="6">
        <v>4.06</v>
      </c>
      <c r="F73" s="4"/>
      <c r="G73" s="7">
        <v>10.44</v>
      </c>
      <c r="H73" s="7">
        <v>3.74</v>
      </c>
      <c r="I73" s="7">
        <v>3.46590433E8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 t="s">
        <v>185</v>
      </c>
      <c r="B74" s="5" t="s">
        <v>186</v>
      </c>
      <c r="C74" s="4" t="s">
        <v>17</v>
      </c>
      <c r="D74" s="6">
        <v>0.06</v>
      </c>
      <c r="E74" s="6">
        <v>0.07</v>
      </c>
      <c r="F74" s="4"/>
      <c r="G74" s="7">
        <v>0.16</v>
      </c>
      <c r="H74" s="7">
        <v>0.04</v>
      </c>
      <c r="I74" s="7">
        <v>4174714.0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 t="s">
        <v>187</v>
      </c>
      <c r="B75" s="5" t="s">
        <v>188</v>
      </c>
      <c r="C75" s="4" t="s">
        <v>17</v>
      </c>
      <c r="D75" s="6">
        <v>0.05</v>
      </c>
      <c r="E75" s="6">
        <v>0.05</v>
      </c>
      <c r="F75" s="4"/>
      <c r="G75" s="7">
        <v>0.07</v>
      </c>
      <c r="H75" s="7">
        <v>0.02</v>
      </c>
      <c r="I75" s="7">
        <v>1.1891535E7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 t="s">
        <v>189</v>
      </c>
      <c r="B76" s="5" t="s">
        <v>190</v>
      </c>
      <c r="C76" s="4" t="s">
        <v>34</v>
      </c>
      <c r="D76" s="6" t="e">
        <v>#N/A</v>
      </c>
      <c r="E76" s="6" t="e">
        <v>#N/A</v>
      </c>
      <c r="F76" s="4"/>
      <c r="G76" s="4"/>
      <c r="H76" s="4"/>
      <c r="I76" s="7" t="e">
        <v>#N/A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 t="s">
        <v>191</v>
      </c>
      <c r="B77" s="5" t="s">
        <v>192</v>
      </c>
      <c r="C77" s="4" t="s">
        <v>17</v>
      </c>
      <c r="D77" s="6">
        <v>0.01</v>
      </c>
      <c r="E77" s="6">
        <v>0.01</v>
      </c>
      <c r="F77" s="4"/>
      <c r="G77" s="7">
        <v>0.02</v>
      </c>
      <c r="H77" s="7">
        <v>0.0</v>
      </c>
      <c r="I77" s="7">
        <v>1.6427752E7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 t="s">
        <v>193</v>
      </c>
      <c r="B78" s="5" t="s">
        <v>194</v>
      </c>
      <c r="C78" s="4" t="s">
        <v>195</v>
      </c>
      <c r="D78" s="6">
        <v>1.8</v>
      </c>
      <c r="E78" s="6">
        <v>1.77</v>
      </c>
      <c r="F78" s="7">
        <v>12.46</v>
      </c>
      <c r="G78" s="7">
        <v>2.99</v>
      </c>
      <c r="H78" s="7">
        <v>1.67</v>
      </c>
      <c r="I78" s="7">
        <v>3.18304971E8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 t="s">
        <v>196</v>
      </c>
      <c r="B79" s="5" t="s">
        <v>197</v>
      </c>
      <c r="C79" s="4" t="s">
        <v>17</v>
      </c>
      <c r="D79" s="6">
        <v>0.01</v>
      </c>
      <c r="E79" s="6">
        <v>0.01</v>
      </c>
      <c r="F79" s="4"/>
      <c r="G79" s="7">
        <v>0.03</v>
      </c>
      <c r="H79" s="7">
        <v>0.01</v>
      </c>
      <c r="I79" s="7">
        <v>9.0619314E7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 t="s">
        <v>198</v>
      </c>
      <c r="B80" s="5" t="s">
        <v>199</v>
      </c>
      <c r="C80" s="4" t="s">
        <v>23</v>
      </c>
      <c r="D80" s="6">
        <v>0.02</v>
      </c>
      <c r="E80" s="6">
        <v>0.02</v>
      </c>
      <c r="F80" s="4"/>
      <c r="G80" s="7">
        <v>0.03</v>
      </c>
      <c r="H80" s="7">
        <v>0.01</v>
      </c>
      <c r="I80" s="7">
        <v>6.3003821E7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 t="s">
        <v>200</v>
      </c>
      <c r="B81" s="5" t="s">
        <v>201</v>
      </c>
      <c r="C81" s="4" t="s">
        <v>60</v>
      </c>
      <c r="D81" s="6">
        <v>0.01</v>
      </c>
      <c r="E81" s="6">
        <v>0.01</v>
      </c>
      <c r="F81" s="4"/>
      <c r="G81" s="7">
        <v>0.01</v>
      </c>
      <c r="H81" s="7">
        <v>0.0</v>
      </c>
      <c r="I81" s="7">
        <v>6278379.0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 t="s">
        <v>202</v>
      </c>
      <c r="B82" s="5" t="s">
        <v>203</v>
      </c>
      <c r="C82" s="4" t="s">
        <v>68</v>
      </c>
      <c r="D82" s="6">
        <v>0.0</v>
      </c>
      <c r="E82" s="6">
        <v>0.0</v>
      </c>
      <c r="F82" s="4"/>
      <c r="G82" s="7">
        <v>0.0</v>
      </c>
      <c r="H82" s="7">
        <v>0.0</v>
      </c>
      <c r="I82" s="7">
        <v>1612248.0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 t="s">
        <v>204</v>
      </c>
      <c r="B83" s="5" t="s">
        <v>205</v>
      </c>
      <c r="C83" s="4" t="s">
        <v>17</v>
      </c>
      <c r="D83" s="6">
        <v>0.33</v>
      </c>
      <c r="E83" s="6">
        <v>0.34</v>
      </c>
      <c r="F83" s="4"/>
      <c r="G83" s="7">
        <v>0.47</v>
      </c>
      <c r="H83" s="7">
        <v>0.13</v>
      </c>
      <c r="I83" s="7">
        <v>7.0919081E7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 t="s">
        <v>206</v>
      </c>
      <c r="B84" s="5" t="s">
        <v>207</v>
      </c>
      <c r="C84" s="4" t="s">
        <v>76</v>
      </c>
      <c r="D84" s="6">
        <v>0.03</v>
      </c>
      <c r="E84" s="6">
        <v>0.03</v>
      </c>
      <c r="F84" s="4"/>
      <c r="G84" s="7">
        <v>0.05</v>
      </c>
      <c r="H84" s="7">
        <v>0.02</v>
      </c>
      <c r="I84" s="7">
        <v>1.50149E7</v>
      </c>
      <c r="J84" s="7">
        <v>6.92</v>
      </c>
      <c r="K84" s="7">
        <v>6.96</v>
      </c>
      <c r="L84" s="7">
        <v>7.1</v>
      </c>
      <c r="M84" s="7">
        <v>6.0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 t="s">
        <v>208</v>
      </c>
      <c r="B85" s="5" t="s">
        <v>209</v>
      </c>
      <c r="C85" s="4" t="s">
        <v>210</v>
      </c>
      <c r="D85" s="6">
        <v>0.01</v>
      </c>
      <c r="E85" s="6">
        <v>0.01</v>
      </c>
      <c r="F85" s="4"/>
      <c r="G85" s="7">
        <v>0.01</v>
      </c>
      <c r="H85" s="7">
        <v>0.0</v>
      </c>
      <c r="I85" s="7">
        <v>1.577688E7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 t="s">
        <v>208</v>
      </c>
      <c r="B86" s="5" t="s">
        <v>209</v>
      </c>
      <c r="C86" s="4" t="s">
        <v>210</v>
      </c>
      <c r="D86" s="6">
        <v>0.01</v>
      </c>
      <c r="E86" s="6">
        <v>0.01</v>
      </c>
      <c r="F86" s="4"/>
      <c r="G86" s="7">
        <v>0.01</v>
      </c>
      <c r="H86" s="7">
        <v>0.0</v>
      </c>
      <c r="I86" s="7">
        <v>1.577688E7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 t="s">
        <v>211</v>
      </c>
      <c r="B87" s="5" t="s">
        <v>212</v>
      </c>
      <c r="C87" s="4" t="s">
        <v>34</v>
      </c>
      <c r="D87" s="6">
        <v>50.3</v>
      </c>
      <c r="E87" s="6">
        <v>50.52</v>
      </c>
      <c r="F87" s="4"/>
      <c r="G87" s="7">
        <v>52.43</v>
      </c>
      <c r="H87" s="7">
        <v>50.1</v>
      </c>
      <c r="I87" s="7" t="e">
        <v>#N/A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 t="s">
        <v>213</v>
      </c>
      <c r="B88" s="5" t="s">
        <v>214</v>
      </c>
      <c r="C88" s="4" t="s">
        <v>26</v>
      </c>
      <c r="D88" s="6">
        <v>0.18</v>
      </c>
      <c r="E88" s="6">
        <v>0.18</v>
      </c>
      <c r="F88" s="4"/>
      <c r="G88" s="7">
        <v>0.28</v>
      </c>
      <c r="H88" s="7">
        <v>0.1</v>
      </c>
      <c r="I88" s="7">
        <v>1.52764199E8</v>
      </c>
      <c r="J88" s="7">
        <v>0.092</v>
      </c>
      <c r="K88" s="7">
        <v>0.092</v>
      </c>
      <c r="L88" s="7">
        <v>0.095</v>
      </c>
      <c r="M88" s="7">
        <v>0.085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 t="s">
        <v>213</v>
      </c>
      <c r="B89" s="5" t="s">
        <v>214</v>
      </c>
      <c r="C89" s="4" t="s">
        <v>26</v>
      </c>
      <c r="D89" s="6">
        <v>0.18</v>
      </c>
      <c r="E89" s="6">
        <v>0.18</v>
      </c>
      <c r="F89" s="4"/>
      <c r="G89" s="7">
        <v>0.28</v>
      </c>
      <c r="H89" s="7">
        <v>0.1</v>
      </c>
      <c r="I89" s="7">
        <v>1.52764199E8</v>
      </c>
      <c r="J89" s="7">
        <v>0.092</v>
      </c>
      <c r="K89" s="7">
        <v>0.092</v>
      </c>
      <c r="L89" s="7">
        <v>0.095</v>
      </c>
      <c r="M89" s="7">
        <v>0.085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8" t="s">
        <v>213</v>
      </c>
      <c r="B90" s="8" t="s">
        <v>214</v>
      </c>
      <c r="C90" s="9" t="s">
        <v>26</v>
      </c>
      <c r="D90" s="10">
        <v>0.18</v>
      </c>
      <c r="E90" s="6">
        <v>0.18</v>
      </c>
      <c r="F90" s="4"/>
      <c r="G90" s="7">
        <v>0.28</v>
      </c>
      <c r="H90" s="7">
        <v>0.1</v>
      </c>
      <c r="I90" s="7">
        <v>1.52764199E8</v>
      </c>
      <c r="J90" s="7">
        <v>0.092</v>
      </c>
      <c r="K90" s="7">
        <v>0.092</v>
      </c>
      <c r="L90" s="7">
        <v>0.095</v>
      </c>
      <c r="M90" s="7">
        <v>0.085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 t="s">
        <v>215</v>
      </c>
      <c r="B91" s="5" t="s">
        <v>216</v>
      </c>
      <c r="C91" s="4" t="s">
        <v>169</v>
      </c>
      <c r="D91" s="6">
        <v>4.96</v>
      </c>
      <c r="E91" s="6">
        <v>5.05</v>
      </c>
      <c r="F91" s="7">
        <v>27.96</v>
      </c>
      <c r="G91" s="7">
        <v>8.31</v>
      </c>
      <c r="H91" s="7">
        <v>4.53</v>
      </c>
      <c r="I91" s="7">
        <v>5.64596804E8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 t="s">
        <v>217</v>
      </c>
      <c r="B92" s="5" t="s">
        <v>218</v>
      </c>
      <c r="C92" s="4" t="s">
        <v>169</v>
      </c>
      <c r="D92" s="6">
        <v>0.01</v>
      </c>
      <c r="E92" s="6">
        <v>0.01</v>
      </c>
      <c r="F92" s="4"/>
      <c r="G92" s="7">
        <v>0.01</v>
      </c>
      <c r="H92" s="7">
        <v>0.01</v>
      </c>
      <c r="I92" s="7">
        <v>1.0700886E7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 t="s">
        <v>219</v>
      </c>
      <c r="B93" s="5" t="s">
        <v>220</v>
      </c>
      <c r="C93" s="4" t="s">
        <v>221</v>
      </c>
      <c r="D93" s="6">
        <v>0.06</v>
      </c>
      <c r="E93" s="6">
        <v>0.06</v>
      </c>
      <c r="F93" s="4"/>
      <c r="G93" s="7">
        <v>0.08</v>
      </c>
      <c r="H93" s="7">
        <v>0.03</v>
      </c>
      <c r="I93" s="7">
        <v>1.380929E7</v>
      </c>
      <c r="J93" s="7">
        <v>0.875</v>
      </c>
      <c r="K93" s="7">
        <v>0.87</v>
      </c>
      <c r="L93" s="7">
        <v>0.875</v>
      </c>
      <c r="M93" s="7">
        <v>0.345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 t="s">
        <v>222</v>
      </c>
      <c r="B94" s="5" t="s">
        <v>223</v>
      </c>
      <c r="C94" s="4" t="s">
        <v>76</v>
      </c>
      <c r="D94" s="6">
        <v>2.93</v>
      </c>
      <c r="E94" s="6">
        <v>2.92</v>
      </c>
      <c r="F94" s="4"/>
      <c r="G94" s="7">
        <v>3.03</v>
      </c>
      <c r="H94" s="7">
        <v>1.65</v>
      </c>
      <c r="I94" s="7">
        <v>8.78650764E8</v>
      </c>
      <c r="J94" s="7">
        <v>0.064</v>
      </c>
      <c r="K94" s="7">
        <v>0.064</v>
      </c>
      <c r="L94" s="7">
        <v>0.13</v>
      </c>
      <c r="M94" s="7">
        <v>0.036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 t="s">
        <v>224</v>
      </c>
      <c r="B95" s="5" t="s">
        <v>225</v>
      </c>
      <c r="C95" s="4" t="s">
        <v>226</v>
      </c>
      <c r="D95" s="6">
        <v>0.56</v>
      </c>
      <c r="E95" s="6">
        <v>0.56</v>
      </c>
      <c r="F95" s="4"/>
      <c r="G95" s="7">
        <v>0.67</v>
      </c>
      <c r="H95" s="7">
        <v>0.53</v>
      </c>
      <c r="I95" s="7" t="e">
        <v>#N/A</v>
      </c>
      <c r="J95" s="4"/>
      <c r="K95" s="4"/>
      <c r="L95" s="4"/>
      <c r="M95" s="4"/>
      <c r="N95" s="4"/>
      <c r="O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 t="s">
        <v>227</v>
      </c>
      <c r="B96" s="5" t="s">
        <v>228</v>
      </c>
      <c r="C96" s="4" t="s">
        <v>182</v>
      </c>
      <c r="D96" s="6">
        <v>0.08</v>
      </c>
      <c r="E96" s="6">
        <v>0.07</v>
      </c>
      <c r="F96" s="4"/>
      <c r="G96" s="7">
        <v>0.09</v>
      </c>
      <c r="H96" s="7">
        <v>0.05</v>
      </c>
      <c r="I96" s="7">
        <v>5944896.0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 t="s">
        <v>229</v>
      </c>
      <c r="B97" s="5" t="s">
        <v>230</v>
      </c>
      <c r="C97" s="4" t="s">
        <v>34</v>
      </c>
      <c r="D97" s="6">
        <v>97.68</v>
      </c>
      <c r="E97" s="6">
        <v>97.78</v>
      </c>
      <c r="F97" s="4"/>
      <c r="G97" s="7">
        <v>99.31</v>
      </c>
      <c r="H97" s="7">
        <v>95.42</v>
      </c>
      <c r="I97" s="7" t="e">
        <v>#N/A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 t="s">
        <v>231</v>
      </c>
      <c r="B98" s="5" t="s">
        <v>232</v>
      </c>
      <c r="C98" s="4" t="s">
        <v>26</v>
      </c>
      <c r="D98" s="6">
        <v>0.39</v>
      </c>
      <c r="E98" s="6">
        <v>0.39</v>
      </c>
      <c r="F98" s="4"/>
      <c r="G98" s="7">
        <v>0.4</v>
      </c>
      <c r="H98" s="7">
        <v>0.22</v>
      </c>
      <c r="I98" s="7">
        <v>1.46706094E8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 t="s">
        <v>231</v>
      </c>
      <c r="B99" s="5" t="s">
        <v>232</v>
      </c>
      <c r="C99" s="4" t="s">
        <v>26</v>
      </c>
      <c r="D99" s="6">
        <v>0.39</v>
      </c>
      <c r="E99" s="6">
        <v>0.39</v>
      </c>
      <c r="F99" s="4"/>
      <c r="G99" s="7">
        <v>0.4</v>
      </c>
      <c r="H99" s="7">
        <v>0.22</v>
      </c>
      <c r="I99" s="7">
        <v>1.46706094E8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8" t="s">
        <v>231</v>
      </c>
      <c r="B100" s="8" t="s">
        <v>232</v>
      </c>
      <c r="C100" s="9" t="s">
        <v>26</v>
      </c>
      <c r="D100" s="10">
        <v>0.39</v>
      </c>
      <c r="E100" s="6">
        <v>0.39</v>
      </c>
      <c r="F100" s="4"/>
      <c r="G100" s="7">
        <v>0.4</v>
      </c>
      <c r="H100" s="7">
        <v>0.22</v>
      </c>
      <c r="I100" s="7">
        <v>1.46706094E8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5" t="s">
        <v>233</v>
      </c>
      <c r="B101" s="5" t="s">
        <v>234</v>
      </c>
      <c r="C101" s="4" t="s">
        <v>37</v>
      </c>
      <c r="D101" s="6">
        <v>0.01</v>
      </c>
      <c r="E101" s="6">
        <v>0.01</v>
      </c>
      <c r="F101" s="4"/>
      <c r="G101" s="7">
        <v>0.01</v>
      </c>
      <c r="H101" s="7">
        <v>0.01</v>
      </c>
      <c r="I101" s="7">
        <v>2.0867357E7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5" t="s">
        <v>235</v>
      </c>
      <c r="B102" s="5" t="s">
        <v>236</v>
      </c>
      <c r="C102" s="4" t="s">
        <v>177</v>
      </c>
      <c r="D102" s="6">
        <v>0.06</v>
      </c>
      <c r="E102" s="6">
        <v>0.06</v>
      </c>
      <c r="F102" s="7">
        <v>1.84</v>
      </c>
      <c r="G102" s="7">
        <v>0.35</v>
      </c>
      <c r="H102" s="7">
        <v>0.0</v>
      </c>
      <c r="I102" s="7">
        <v>4.3581857E7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5" t="s">
        <v>237</v>
      </c>
      <c r="B103" s="5" t="s">
        <v>238</v>
      </c>
      <c r="C103" s="4" t="s">
        <v>239</v>
      </c>
      <c r="D103" s="6">
        <v>2.14</v>
      </c>
      <c r="E103" s="6">
        <v>2.18</v>
      </c>
      <c r="F103" s="7">
        <v>16.86</v>
      </c>
      <c r="G103" s="7">
        <v>2.92</v>
      </c>
      <c r="H103" s="7">
        <v>1.43</v>
      </c>
      <c r="I103" s="7">
        <v>5.81566428E8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5" t="s">
        <v>240</v>
      </c>
      <c r="B104" s="5" t="s">
        <v>241</v>
      </c>
      <c r="C104" s="4" t="s">
        <v>169</v>
      </c>
      <c r="D104" s="6">
        <v>7.16</v>
      </c>
      <c r="E104" s="6">
        <v>7.19</v>
      </c>
      <c r="F104" s="7">
        <v>31.52</v>
      </c>
      <c r="G104" s="7">
        <v>7.68</v>
      </c>
      <c r="H104" s="7">
        <v>6.8</v>
      </c>
      <c r="I104" s="7">
        <v>8.971358088E9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5" t="s">
        <v>242</v>
      </c>
      <c r="B105" s="5" t="s">
        <v>243</v>
      </c>
      <c r="C105" s="4" t="s">
        <v>244</v>
      </c>
      <c r="D105" s="6">
        <v>0.18</v>
      </c>
      <c r="E105" s="6">
        <v>0.18</v>
      </c>
      <c r="F105" s="7">
        <v>163.64</v>
      </c>
      <c r="G105" s="7">
        <v>0.18</v>
      </c>
      <c r="H105" s="7">
        <v>0.1</v>
      </c>
      <c r="I105" s="7">
        <v>1.66924E7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5" t="s">
        <v>245</v>
      </c>
      <c r="B106" s="5" t="s">
        <v>246</v>
      </c>
      <c r="C106" s="4" t="s">
        <v>172</v>
      </c>
      <c r="D106" s="6">
        <v>3.0</v>
      </c>
      <c r="E106" s="6">
        <v>3.0</v>
      </c>
      <c r="F106" s="4"/>
      <c r="G106" s="7">
        <v>3.3</v>
      </c>
      <c r="H106" s="7">
        <v>2.2</v>
      </c>
      <c r="I106" s="7">
        <v>3.54448E8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5" t="s">
        <v>247</v>
      </c>
      <c r="B107" s="5" t="s">
        <v>248</v>
      </c>
      <c r="C107" s="4" t="s">
        <v>17</v>
      </c>
      <c r="D107" s="6">
        <v>0.23</v>
      </c>
      <c r="E107" s="6">
        <v>0.23</v>
      </c>
      <c r="F107" s="4"/>
      <c r="G107" s="7">
        <v>0.25</v>
      </c>
      <c r="H107" s="7">
        <v>0.12</v>
      </c>
      <c r="I107" s="7">
        <v>5.9270915E7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5" t="s">
        <v>249</v>
      </c>
      <c r="B108" s="5" t="s">
        <v>250</v>
      </c>
      <c r="C108" s="4" t="s">
        <v>17</v>
      </c>
      <c r="D108" s="6">
        <v>0.17</v>
      </c>
      <c r="E108" s="6">
        <v>0.17</v>
      </c>
      <c r="F108" s="4"/>
      <c r="G108" s="7">
        <v>0.18</v>
      </c>
      <c r="H108" s="7">
        <v>0.02</v>
      </c>
      <c r="I108" s="7">
        <v>1.02485793E8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5" t="s">
        <v>251</v>
      </c>
      <c r="B109" s="5" t="s">
        <v>252</v>
      </c>
      <c r="C109" s="4" t="s">
        <v>26</v>
      </c>
      <c r="D109" s="6">
        <v>0.03</v>
      </c>
      <c r="E109" s="6">
        <v>0.03</v>
      </c>
      <c r="F109" s="4"/>
      <c r="G109" s="7">
        <v>0.04</v>
      </c>
      <c r="H109" s="7">
        <v>0.02</v>
      </c>
      <c r="I109" s="7">
        <v>9.2438151E7</v>
      </c>
      <c r="J109" s="7">
        <v>0.0045</v>
      </c>
      <c r="K109" s="7">
        <v>0.0045</v>
      </c>
      <c r="L109" s="7">
        <v>0.009</v>
      </c>
      <c r="M109" s="7">
        <v>0.003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5" t="s">
        <v>251</v>
      </c>
      <c r="B110" s="5" t="s">
        <v>252</v>
      </c>
      <c r="C110" s="4" t="s">
        <v>26</v>
      </c>
      <c r="D110" s="6">
        <v>0.03</v>
      </c>
      <c r="E110" s="6">
        <v>0.03</v>
      </c>
      <c r="F110" s="4"/>
      <c r="G110" s="7">
        <v>0.04</v>
      </c>
      <c r="H110" s="7">
        <v>0.02</v>
      </c>
      <c r="I110" s="7">
        <v>9.2438151E7</v>
      </c>
      <c r="J110" s="7">
        <v>0.0045</v>
      </c>
      <c r="K110" s="7">
        <v>0.0045</v>
      </c>
      <c r="L110" s="7">
        <v>0.009</v>
      </c>
      <c r="M110" s="7">
        <v>0.003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8" t="s">
        <v>251</v>
      </c>
      <c r="B111" s="8" t="s">
        <v>252</v>
      </c>
      <c r="C111" s="9" t="s">
        <v>26</v>
      </c>
      <c r="D111" s="10">
        <v>0.03</v>
      </c>
      <c r="E111" s="6">
        <v>0.03</v>
      </c>
      <c r="F111" s="4"/>
      <c r="G111" s="7">
        <v>0.04</v>
      </c>
      <c r="H111" s="7">
        <v>0.02</v>
      </c>
      <c r="I111" s="7">
        <v>9.2438151E7</v>
      </c>
      <c r="J111" s="7">
        <v>0.0045</v>
      </c>
      <c r="K111" s="7">
        <v>0.0045</v>
      </c>
      <c r="L111" s="7">
        <v>0.009</v>
      </c>
      <c r="M111" s="7">
        <v>0.003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5" t="s">
        <v>253</v>
      </c>
      <c r="B112" s="5" t="s">
        <v>254</v>
      </c>
      <c r="C112" s="4" t="s">
        <v>34</v>
      </c>
      <c r="D112" s="6">
        <v>99.87</v>
      </c>
      <c r="E112" s="6">
        <v>99.87</v>
      </c>
      <c r="F112" s="4"/>
      <c r="G112" s="7">
        <v>100.24</v>
      </c>
      <c r="H112" s="7">
        <v>99.58</v>
      </c>
      <c r="I112" s="7" t="e">
        <v>#N/A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5" t="s">
        <v>255</v>
      </c>
      <c r="B113" s="5" t="s">
        <v>256</v>
      </c>
      <c r="C113" s="4" t="s">
        <v>257</v>
      </c>
      <c r="D113" s="6">
        <v>1.01</v>
      </c>
      <c r="E113" s="6">
        <v>1.01</v>
      </c>
      <c r="F113" s="7">
        <v>16.55</v>
      </c>
      <c r="G113" s="7">
        <v>1.09</v>
      </c>
      <c r="H113" s="7">
        <v>0.69</v>
      </c>
      <c r="I113" s="7">
        <v>3.40161835E8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5" t="s">
        <v>258</v>
      </c>
      <c r="B114" s="5" t="s">
        <v>259</v>
      </c>
      <c r="C114" s="4" t="s">
        <v>260</v>
      </c>
      <c r="D114" s="6">
        <v>9.33</v>
      </c>
      <c r="E114" s="6">
        <v>9.31</v>
      </c>
      <c r="F114" s="4"/>
      <c r="G114" s="7">
        <v>12.14</v>
      </c>
      <c r="H114" s="7">
        <v>8.03</v>
      </c>
      <c r="I114" s="7">
        <v>6.276731324E9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5" t="s">
        <v>261</v>
      </c>
      <c r="B115" s="5" t="s">
        <v>262</v>
      </c>
      <c r="C115" s="4" t="s">
        <v>23</v>
      </c>
      <c r="D115" s="6">
        <v>0.31</v>
      </c>
      <c r="E115" s="6">
        <v>0.3</v>
      </c>
      <c r="F115" s="4"/>
      <c r="G115" s="7">
        <v>0.89</v>
      </c>
      <c r="H115" s="7">
        <v>0.19</v>
      </c>
      <c r="I115" s="7">
        <v>3.8526289E7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5" t="s">
        <v>263</v>
      </c>
      <c r="B116" s="5" t="s">
        <v>264</v>
      </c>
      <c r="C116" s="4" t="s">
        <v>265</v>
      </c>
      <c r="D116" s="6">
        <v>0.02</v>
      </c>
      <c r="E116" s="6">
        <v>0.02</v>
      </c>
      <c r="F116" s="4"/>
      <c r="G116" s="7">
        <v>0.05</v>
      </c>
      <c r="H116" s="7">
        <v>0.02</v>
      </c>
      <c r="I116" s="7">
        <v>3.6467039E7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5" t="s">
        <v>266</v>
      </c>
      <c r="B117" s="5" t="s">
        <v>267</v>
      </c>
      <c r="C117" s="4" t="s">
        <v>34</v>
      </c>
      <c r="D117" s="6">
        <v>40.95</v>
      </c>
      <c r="E117" s="6">
        <v>41.14</v>
      </c>
      <c r="F117" s="4"/>
      <c r="G117" s="7">
        <v>43.1</v>
      </c>
      <c r="H117" s="7">
        <v>40.62</v>
      </c>
      <c r="I117" s="7" t="e">
        <v>#N/A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5" t="s">
        <v>268</v>
      </c>
      <c r="B118" s="5" t="s">
        <v>269</v>
      </c>
      <c r="C118" s="4" t="s">
        <v>34</v>
      </c>
      <c r="D118" s="6" t="e">
        <v>#N/A</v>
      </c>
      <c r="E118" s="6" t="e">
        <v>#N/A</v>
      </c>
      <c r="F118" s="4"/>
      <c r="G118" s="4"/>
      <c r="H118" s="4"/>
      <c r="I118" s="7" t="e">
        <v>#N/A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5" t="s">
        <v>270</v>
      </c>
      <c r="B119" s="5" t="s">
        <v>271</v>
      </c>
      <c r="C119" s="4" t="s">
        <v>37</v>
      </c>
      <c r="D119" s="6">
        <v>0.12</v>
      </c>
      <c r="E119" s="6">
        <v>0.12</v>
      </c>
      <c r="F119" s="7">
        <v>3.57</v>
      </c>
      <c r="G119" s="7">
        <v>0.14</v>
      </c>
      <c r="H119" s="7">
        <v>0.01</v>
      </c>
      <c r="I119" s="7">
        <v>1.77493316E8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5" t="s">
        <v>272</v>
      </c>
      <c r="B120" s="5" t="s">
        <v>273</v>
      </c>
      <c r="C120" s="4" t="s">
        <v>274</v>
      </c>
      <c r="D120" s="6">
        <v>0.41</v>
      </c>
      <c r="E120" s="6">
        <v>0.4</v>
      </c>
      <c r="F120" s="7">
        <v>25.28</v>
      </c>
      <c r="G120" s="7">
        <v>0.45</v>
      </c>
      <c r="H120" s="7">
        <v>0.22</v>
      </c>
      <c r="I120" s="7">
        <v>1.49877135E8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5" t="s">
        <v>275</v>
      </c>
      <c r="B121" s="5" t="s">
        <v>276</v>
      </c>
      <c r="C121" s="4" t="s">
        <v>60</v>
      </c>
      <c r="D121" s="6">
        <v>0.02</v>
      </c>
      <c r="E121" s="6">
        <v>0.02</v>
      </c>
      <c r="F121" s="4"/>
      <c r="G121" s="7">
        <v>0.03</v>
      </c>
      <c r="H121" s="7">
        <v>0.02</v>
      </c>
      <c r="I121" s="7">
        <v>1.2730429E7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5" t="s">
        <v>277</v>
      </c>
      <c r="B122" s="5" t="s">
        <v>278</v>
      </c>
      <c r="C122" s="4" t="s">
        <v>126</v>
      </c>
      <c r="D122" s="6">
        <v>0.04</v>
      </c>
      <c r="E122" s="6">
        <v>0.04</v>
      </c>
      <c r="F122" s="4"/>
      <c r="G122" s="7">
        <v>0.09</v>
      </c>
      <c r="H122" s="7">
        <v>0.03</v>
      </c>
      <c r="I122" s="7">
        <v>2.3414639E7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5" t="s">
        <v>279</v>
      </c>
      <c r="B123" s="5" t="s">
        <v>280</v>
      </c>
      <c r="C123" s="4" t="s">
        <v>17</v>
      </c>
      <c r="D123" s="6">
        <v>0.53</v>
      </c>
      <c r="E123" s="6">
        <v>0.53</v>
      </c>
      <c r="F123" s="4"/>
      <c r="G123" s="7">
        <v>0.75</v>
      </c>
      <c r="H123" s="7">
        <v>0.12</v>
      </c>
      <c r="I123" s="7">
        <v>3.8182305E7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5" t="s">
        <v>281</v>
      </c>
      <c r="B124" s="5" t="s">
        <v>282</v>
      </c>
      <c r="C124" s="4" t="s">
        <v>146</v>
      </c>
      <c r="D124" s="6">
        <v>1.01</v>
      </c>
      <c r="E124" s="6">
        <v>1.03</v>
      </c>
      <c r="F124" s="7">
        <v>13.26</v>
      </c>
      <c r="G124" s="7">
        <v>1.1</v>
      </c>
      <c r="H124" s="7">
        <v>0.56</v>
      </c>
      <c r="I124" s="7">
        <v>8.2541169E7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5" t="s">
        <v>283</v>
      </c>
      <c r="B125" s="5" t="s">
        <v>284</v>
      </c>
      <c r="C125" s="4" t="s">
        <v>17</v>
      </c>
      <c r="D125" s="6">
        <v>0.01</v>
      </c>
      <c r="E125" s="6">
        <v>0.01</v>
      </c>
      <c r="F125" s="4"/>
      <c r="G125" s="7">
        <v>0.01</v>
      </c>
      <c r="H125" s="7">
        <v>0.0</v>
      </c>
      <c r="I125" s="7">
        <v>1.0310104E7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5" t="s">
        <v>285</v>
      </c>
      <c r="B126" s="5" t="s">
        <v>286</v>
      </c>
      <c r="C126" s="4" t="s">
        <v>162</v>
      </c>
      <c r="D126" s="6" t="e">
        <v>#N/A</v>
      </c>
      <c r="E126" s="6" t="e">
        <v>#N/A</v>
      </c>
      <c r="F126" s="4"/>
      <c r="G126" s="4"/>
      <c r="H126" s="4"/>
      <c r="I126" s="7" t="e">
        <v>#N/A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5" t="s">
        <v>287</v>
      </c>
      <c r="B127" s="5" t="s">
        <v>288</v>
      </c>
      <c r="C127" s="4" t="s">
        <v>182</v>
      </c>
      <c r="D127" s="6" t="e">
        <v>#N/A</v>
      </c>
      <c r="E127" s="6" t="e">
        <v>#N/A</v>
      </c>
      <c r="F127" s="4"/>
      <c r="G127" s="4"/>
      <c r="H127" s="4"/>
      <c r="I127" s="7" t="e">
        <v>#N/A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5" t="s">
        <v>289</v>
      </c>
      <c r="B128" s="5" t="s">
        <v>290</v>
      </c>
      <c r="C128" s="4" t="s">
        <v>291</v>
      </c>
      <c r="D128" s="6">
        <v>7.22</v>
      </c>
      <c r="E128" s="6">
        <v>7.21</v>
      </c>
      <c r="F128" s="4"/>
      <c r="G128" s="7">
        <v>8.0</v>
      </c>
      <c r="H128" s="7">
        <v>6.61</v>
      </c>
      <c r="I128" s="7">
        <v>1.406483E10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5" t="s">
        <v>292</v>
      </c>
      <c r="B129" s="5" t="s">
        <v>293</v>
      </c>
      <c r="C129" s="4" t="s">
        <v>294</v>
      </c>
      <c r="D129" s="6">
        <v>0.97</v>
      </c>
      <c r="E129" s="6">
        <v>0.96</v>
      </c>
      <c r="F129" s="4"/>
      <c r="G129" s="7">
        <v>1.12</v>
      </c>
      <c r="H129" s="7">
        <v>0.83</v>
      </c>
      <c r="I129" s="7" t="e">
        <v>#N/A</v>
      </c>
      <c r="J129" s="4"/>
      <c r="K129" s="4"/>
      <c r="L129" s="4"/>
      <c r="M129" s="4"/>
      <c r="N129" s="4"/>
      <c r="O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5" t="s">
        <v>295</v>
      </c>
      <c r="B130" s="5" t="s">
        <v>296</v>
      </c>
      <c r="C130" s="4" t="s">
        <v>37</v>
      </c>
      <c r="D130" s="6">
        <v>13.24</v>
      </c>
      <c r="E130" s="6">
        <v>13.16</v>
      </c>
      <c r="F130" s="4"/>
      <c r="G130" s="7">
        <v>15.3</v>
      </c>
      <c r="H130" s="7">
        <v>1.44</v>
      </c>
      <c r="I130" s="7">
        <v>3.050204026E9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5" t="s">
        <v>297</v>
      </c>
      <c r="B131" s="5" t="s">
        <v>298</v>
      </c>
      <c r="C131" s="4" t="s">
        <v>182</v>
      </c>
      <c r="D131" s="6">
        <v>0.8</v>
      </c>
      <c r="E131" s="6">
        <v>0.8</v>
      </c>
      <c r="F131" s="4"/>
      <c r="G131" s="7">
        <v>0.95</v>
      </c>
      <c r="H131" s="7">
        <v>0.48</v>
      </c>
      <c r="I131" s="7">
        <v>1.66007202E8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5" t="s">
        <v>299</v>
      </c>
      <c r="B132" s="5" t="s">
        <v>300</v>
      </c>
      <c r="C132" s="4" t="s">
        <v>34</v>
      </c>
      <c r="D132" s="6">
        <v>14.92</v>
      </c>
      <c r="E132" s="6">
        <v>14.83</v>
      </c>
      <c r="F132" s="4"/>
      <c r="G132" s="7">
        <v>15.81</v>
      </c>
      <c r="H132" s="7">
        <v>10.03</v>
      </c>
      <c r="I132" s="7" t="e">
        <v>#N/A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5" t="s">
        <v>301</v>
      </c>
      <c r="B133" s="5" t="s">
        <v>302</v>
      </c>
      <c r="C133" s="4" t="s">
        <v>169</v>
      </c>
      <c r="D133" s="6">
        <v>1.49</v>
      </c>
      <c r="E133" s="6">
        <v>1.48</v>
      </c>
      <c r="F133" s="7">
        <v>5.22</v>
      </c>
      <c r="G133" s="7">
        <v>1.78</v>
      </c>
      <c r="H133" s="7">
        <v>1.3</v>
      </c>
      <c r="I133" s="7">
        <v>7.9070622E7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5" t="s">
        <v>303</v>
      </c>
      <c r="B134" s="5" t="s">
        <v>304</v>
      </c>
      <c r="C134" s="4" t="s">
        <v>17</v>
      </c>
      <c r="D134" s="6">
        <v>0.58</v>
      </c>
      <c r="E134" s="6">
        <v>0.6</v>
      </c>
      <c r="F134" s="7">
        <v>12.43</v>
      </c>
      <c r="G134" s="7">
        <v>0.62</v>
      </c>
      <c r="H134" s="7">
        <v>0.14</v>
      </c>
      <c r="I134" s="7">
        <v>6.9435742E8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5" t="s">
        <v>305</v>
      </c>
      <c r="B135" s="5" t="s">
        <v>306</v>
      </c>
      <c r="C135" s="4" t="s">
        <v>17</v>
      </c>
      <c r="D135" s="6">
        <v>0.02</v>
      </c>
      <c r="E135" s="6">
        <v>0.02</v>
      </c>
      <c r="F135" s="4"/>
      <c r="G135" s="7">
        <v>0.03</v>
      </c>
      <c r="H135" s="7">
        <v>0.01</v>
      </c>
      <c r="I135" s="7">
        <v>6522060.0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5" t="s">
        <v>307</v>
      </c>
      <c r="B136" s="5" t="s">
        <v>308</v>
      </c>
      <c r="C136" s="4" t="s">
        <v>309</v>
      </c>
      <c r="D136" s="6">
        <v>0.51</v>
      </c>
      <c r="E136" s="6">
        <v>0.51</v>
      </c>
      <c r="F136" s="4"/>
      <c r="G136" s="7">
        <v>0.58</v>
      </c>
      <c r="H136" s="7">
        <v>0.5</v>
      </c>
      <c r="I136" s="7">
        <v>1.86316E9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5" t="s">
        <v>310</v>
      </c>
      <c r="B137" s="5" t="s">
        <v>311</v>
      </c>
      <c r="C137" s="4" t="s">
        <v>312</v>
      </c>
      <c r="D137" s="6">
        <v>0.01</v>
      </c>
      <c r="E137" s="6">
        <v>0.01</v>
      </c>
      <c r="F137" s="4"/>
      <c r="G137" s="7">
        <v>0.02</v>
      </c>
      <c r="H137" s="7">
        <v>0.0</v>
      </c>
      <c r="I137" s="7">
        <v>1.5133029E7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5" t="s">
        <v>313</v>
      </c>
      <c r="B138" s="5" t="s">
        <v>314</v>
      </c>
      <c r="C138" s="4" t="s">
        <v>226</v>
      </c>
      <c r="D138" s="6">
        <v>0.01</v>
      </c>
      <c r="E138" s="6">
        <v>0.01</v>
      </c>
      <c r="F138" s="4"/>
      <c r="G138" s="7">
        <v>0.01</v>
      </c>
      <c r="H138" s="7">
        <v>0.0</v>
      </c>
      <c r="I138" s="7">
        <v>1.1494539E7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5" t="s">
        <v>315</v>
      </c>
      <c r="B139" s="5" t="s">
        <v>316</v>
      </c>
      <c r="C139" s="4" t="s">
        <v>17</v>
      </c>
      <c r="D139" s="6">
        <v>0.14</v>
      </c>
      <c r="E139" s="6">
        <v>0.14</v>
      </c>
      <c r="F139" s="4"/>
      <c r="G139" s="7">
        <v>0.2</v>
      </c>
      <c r="H139" s="7">
        <v>0.08</v>
      </c>
      <c r="I139" s="7">
        <v>2.3634593E7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5" t="s">
        <v>317</v>
      </c>
      <c r="B140" s="5" t="s">
        <v>318</v>
      </c>
      <c r="C140" s="4" t="s">
        <v>319</v>
      </c>
      <c r="D140" s="6">
        <v>0.11</v>
      </c>
      <c r="E140" s="6">
        <v>0.11</v>
      </c>
      <c r="F140" s="4"/>
      <c r="G140" s="7">
        <v>0.14</v>
      </c>
      <c r="H140" s="7">
        <v>0.09</v>
      </c>
      <c r="I140" s="7">
        <v>1.458759E7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5" t="s">
        <v>320</v>
      </c>
      <c r="B141" s="5" t="s">
        <v>321</v>
      </c>
      <c r="C141" s="4" t="s">
        <v>312</v>
      </c>
      <c r="D141" s="6">
        <v>0.27</v>
      </c>
      <c r="E141" s="6">
        <v>0.25</v>
      </c>
      <c r="F141" s="4"/>
      <c r="G141" s="7">
        <v>0.35</v>
      </c>
      <c r="H141" s="7">
        <v>0.2</v>
      </c>
      <c r="I141" s="7">
        <v>1.37061941E8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5" t="s">
        <v>322</v>
      </c>
      <c r="B142" s="5" t="s">
        <v>323</v>
      </c>
      <c r="C142" s="4" t="s">
        <v>17</v>
      </c>
      <c r="D142" s="6">
        <v>0.0</v>
      </c>
      <c r="E142" s="6">
        <v>0.0</v>
      </c>
      <c r="F142" s="4"/>
      <c r="G142" s="7">
        <v>0.01</v>
      </c>
      <c r="H142" s="7">
        <v>0.0</v>
      </c>
      <c r="I142" s="7">
        <v>1800060.0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5" t="s">
        <v>324</v>
      </c>
      <c r="B143" s="5" t="s">
        <v>325</v>
      </c>
      <c r="C143" s="4" t="s">
        <v>210</v>
      </c>
      <c r="D143" s="6">
        <v>0.08</v>
      </c>
      <c r="E143" s="6">
        <v>0.08</v>
      </c>
      <c r="F143" s="4"/>
      <c r="G143" s="7">
        <v>0.14</v>
      </c>
      <c r="H143" s="7">
        <v>0.07</v>
      </c>
      <c r="I143" s="7">
        <v>1.511396E7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5" t="s">
        <v>324</v>
      </c>
      <c r="B144" s="5" t="s">
        <v>325</v>
      </c>
      <c r="C144" s="4" t="s">
        <v>210</v>
      </c>
      <c r="D144" s="6">
        <v>0.08</v>
      </c>
      <c r="E144" s="6">
        <v>0.08</v>
      </c>
      <c r="F144" s="4"/>
      <c r="G144" s="7">
        <v>0.14</v>
      </c>
      <c r="H144" s="7">
        <v>0.07</v>
      </c>
      <c r="I144" s="7">
        <v>1.511396E7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5" t="s">
        <v>326</v>
      </c>
      <c r="B145" s="5" t="s">
        <v>327</v>
      </c>
      <c r="C145" s="4" t="s">
        <v>328</v>
      </c>
      <c r="D145" s="6">
        <v>6.2</v>
      </c>
      <c r="E145" s="6">
        <v>6.2</v>
      </c>
      <c r="F145" s="4"/>
      <c r="G145" s="7">
        <v>6.2</v>
      </c>
      <c r="H145" s="7">
        <v>5.56</v>
      </c>
      <c r="I145" s="7">
        <v>1.81102552E8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5" t="s">
        <v>329</v>
      </c>
      <c r="B146" s="5" t="s">
        <v>330</v>
      </c>
      <c r="C146" s="4" t="s">
        <v>50</v>
      </c>
      <c r="D146" s="6">
        <v>0.19</v>
      </c>
      <c r="E146" s="6">
        <v>0.18</v>
      </c>
      <c r="F146" s="4"/>
      <c r="G146" s="7">
        <v>0.34</v>
      </c>
      <c r="H146" s="7">
        <v>0.11</v>
      </c>
      <c r="I146" s="7">
        <v>9.9378393E7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5" t="s">
        <v>331</v>
      </c>
      <c r="B147" s="5" t="s">
        <v>332</v>
      </c>
      <c r="C147" s="4" t="s">
        <v>23</v>
      </c>
      <c r="D147" s="6">
        <v>0.09</v>
      </c>
      <c r="E147" s="6">
        <v>0.09</v>
      </c>
      <c r="F147" s="4"/>
      <c r="G147" s="7">
        <v>0.21</v>
      </c>
      <c r="H147" s="7">
        <v>0.07</v>
      </c>
      <c r="I147" s="7">
        <v>1.15433741E8</v>
      </c>
      <c r="J147" s="7">
        <v>0.001</v>
      </c>
      <c r="K147" s="7">
        <v>0.001</v>
      </c>
      <c r="L147" s="7">
        <v>0.001</v>
      </c>
      <c r="M147" s="7">
        <v>0.001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5" t="s">
        <v>333</v>
      </c>
      <c r="B148" s="5" t="s">
        <v>334</v>
      </c>
      <c r="C148" s="4" t="s">
        <v>17</v>
      </c>
      <c r="D148" s="6">
        <v>0.07</v>
      </c>
      <c r="E148" s="6">
        <v>0.07</v>
      </c>
      <c r="F148" s="4"/>
      <c r="G148" s="7">
        <v>0.16</v>
      </c>
      <c r="H148" s="7">
        <v>0.04</v>
      </c>
      <c r="I148" s="7">
        <v>9241920.0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5" t="s">
        <v>335</v>
      </c>
      <c r="B149" s="5" t="s">
        <v>336</v>
      </c>
      <c r="C149" s="4" t="s">
        <v>14</v>
      </c>
      <c r="D149" s="6">
        <v>0.1</v>
      </c>
      <c r="E149" s="6">
        <v>0.11</v>
      </c>
      <c r="F149" s="7">
        <v>81.3</v>
      </c>
      <c r="G149" s="7">
        <v>0.14</v>
      </c>
      <c r="H149" s="7">
        <v>0.06</v>
      </c>
      <c r="I149" s="7">
        <v>1.28190901E8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5" t="s">
        <v>337</v>
      </c>
      <c r="B150" s="5" t="s">
        <v>338</v>
      </c>
      <c r="C150" s="4" t="s">
        <v>339</v>
      </c>
      <c r="D150" s="6">
        <v>32.12</v>
      </c>
      <c r="E150" s="6">
        <v>31.93</v>
      </c>
      <c r="F150" s="4"/>
      <c r="G150" s="7">
        <v>33.14</v>
      </c>
      <c r="H150" s="7">
        <v>19.53</v>
      </c>
      <c r="I150" s="7">
        <v>7.654259985E9</v>
      </c>
      <c r="J150" s="7">
        <v>0.002</v>
      </c>
      <c r="K150" s="7">
        <v>0.002</v>
      </c>
      <c r="L150" s="7">
        <v>0.003</v>
      </c>
      <c r="M150" s="7">
        <v>0.001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5" t="s">
        <v>340</v>
      </c>
      <c r="B151" s="5" t="s">
        <v>341</v>
      </c>
      <c r="C151" s="4" t="s">
        <v>34</v>
      </c>
      <c r="D151" s="6">
        <v>21.43</v>
      </c>
      <c r="E151" s="6">
        <v>21.37</v>
      </c>
      <c r="F151" s="4"/>
      <c r="G151" s="7">
        <v>24.62</v>
      </c>
      <c r="H151" s="7">
        <v>16.25</v>
      </c>
      <c r="I151" s="7" t="e">
        <v>#N/A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5" t="s">
        <v>342</v>
      </c>
      <c r="B152" s="5" t="s">
        <v>343</v>
      </c>
      <c r="C152" s="4" t="s">
        <v>169</v>
      </c>
      <c r="D152" s="6">
        <v>2.54</v>
      </c>
      <c r="E152" s="6">
        <v>2.54</v>
      </c>
      <c r="F152" s="7">
        <v>8.65</v>
      </c>
      <c r="G152" s="7">
        <v>2.54</v>
      </c>
      <c r="H152" s="7">
        <v>2.2</v>
      </c>
      <c r="I152" s="7">
        <v>4.51554081E8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5" t="s">
        <v>344</v>
      </c>
      <c r="B153" s="5" t="s">
        <v>345</v>
      </c>
      <c r="C153" s="4" t="s">
        <v>86</v>
      </c>
      <c r="D153" s="6">
        <v>1.38</v>
      </c>
      <c r="E153" s="6">
        <v>1.35</v>
      </c>
      <c r="F153" s="4"/>
      <c r="G153" s="7">
        <v>1.43</v>
      </c>
      <c r="H153" s="7">
        <v>0.46</v>
      </c>
      <c r="I153" s="7">
        <v>1.878377333E9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5" t="s">
        <v>346</v>
      </c>
      <c r="B154" s="5" t="s">
        <v>347</v>
      </c>
      <c r="C154" s="4" t="s">
        <v>257</v>
      </c>
      <c r="D154" s="6">
        <v>57.22</v>
      </c>
      <c r="E154" s="6">
        <v>58.18</v>
      </c>
      <c r="F154" s="7">
        <v>30.32</v>
      </c>
      <c r="G154" s="7">
        <v>79.95</v>
      </c>
      <c r="H154" s="7">
        <v>54.9</v>
      </c>
      <c r="I154" s="7">
        <v>3.5297410871E10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5" t="s">
        <v>348</v>
      </c>
      <c r="B155" s="5" t="s">
        <v>349</v>
      </c>
      <c r="C155" s="4" t="s">
        <v>37</v>
      </c>
      <c r="D155" s="6">
        <v>0.01</v>
      </c>
      <c r="E155" s="6">
        <v>0.01</v>
      </c>
      <c r="F155" s="4"/>
      <c r="G155" s="7">
        <v>0.01</v>
      </c>
      <c r="H155" s="7">
        <v>0.0</v>
      </c>
      <c r="I155" s="7">
        <v>1.0950674E7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5" t="s">
        <v>350</v>
      </c>
      <c r="B156" s="5" t="s">
        <v>351</v>
      </c>
      <c r="C156" s="4" t="s">
        <v>34</v>
      </c>
      <c r="D156" s="6">
        <v>11.35</v>
      </c>
      <c r="E156" s="6">
        <v>11.32</v>
      </c>
      <c r="F156" s="4"/>
      <c r="G156" s="7">
        <v>11.59</v>
      </c>
      <c r="H156" s="7">
        <v>8.99</v>
      </c>
      <c r="I156" s="7" t="e">
        <v>#N/A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5" t="s">
        <v>352</v>
      </c>
      <c r="B157" s="5" t="s">
        <v>353</v>
      </c>
      <c r="C157" s="4" t="s">
        <v>159</v>
      </c>
      <c r="D157" s="6">
        <v>22.06</v>
      </c>
      <c r="E157" s="6">
        <v>22.04</v>
      </c>
      <c r="F157" s="7">
        <v>40.46</v>
      </c>
      <c r="G157" s="7">
        <v>22.69</v>
      </c>
      <c r="H157" s="7">
        <v>14.1</v>
      </c>
      <c r="I157" s="7">
        <v>1.1196389484E10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5" t="s">
        <v>354</v>
      </c>
      <c r="B158" s="5" t="s">
        <v>355</v>
      </c>
      <c r="C158" s="4" t="s">
        <v>17</v>
      </c>
      <c r="D158" s="6">
        <v>0.02</v>
      </c>
      <c r="E158" s="6">
        <v>0.03</v>
      </c>
      <c r="F158" s="4"/>
      <c r="G158" s="7">
        <v>0.03</v>
      </c>
      <c r="H158" s="7">
        <v>0.0</v>
      </c>
      <c r="I158" s="7">
        <v>1.19453353E8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5" t="s">
        <v>356</v>
      </c>
      <c r="B159" s="5" t="s">
        <v>357</v>
      </c>
      <c r="C159" s="4" t="s">
        <v>34</v>
      </c>
      <c r="D159" s="6">
        <v>95.44</v>
      </c>
      <c r="E159" s="6">
        <v>96.26</v>
      </c>
      <c r="F159" s="4"/>
      <c r="G159" s="7">
        <v>102.11</v>
      </c>
      <c r="H159" s="7">
        <v>94.58</v>
      </c>
      <c r="I159" s="7" t="e">
        <v>#N/A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5" t="s">
        <v>358</v>
      </c>
      <c r="B160" s="5" t="s">
        <v>359</v>
      </c>
      <c r="C160" s="4" t="s">
        <v>37</v>
      </c>
      <c r="D160" s="6">
        <v>0.08</v>
      </c>
      <c r="E160" s="6">
        <v>0.08</v>
      </c>
      <c r="F160" s="4"/>
      <c r="G160" s="7">
        <v>0.1</v>
      </c>
      <c r="H160" s="7">
        <v>0.02</v>
      </c>
      <c r="I160" s="7">
        <v>1.8502465E7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5" t="s">
        <v>360</v>
      </c>
      <c r="B161" s="5" t="s">
        <v>361</v>
      </c>
      <c r="C161" s="4" t="s">
        <v>362</v>
      </c>
      <c r="D161" s="6">
        <v>4.87</v>
      </c>
      <c r="E161" s="6">
        <v>4.88</v>
      </c>
      <c r="F161" s="7">
        <v>29.92</v>
      </c>
      <c r="G161" s="7">
        <v>5.54</v>
      </c>
      <c r="H161" s="7">
        <v>4.72</v>
      </c>
      <c r="I161" s="7">
        <v>7.065556543E9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5" t="s">
        <v>363</v>
      </c>
      <c r="B162" s="5" t="s">
        <v>364</v>
      </c>
      <c r="C162" s="4" t="s">
        <v>17</v>
      </c>
      <c r="D162" s="6">
        <v>0.01</v>
      </c>
      <c r="E162" s="6">
        <v>0.01</v>
      </c>
      <c r="F162" s="4"/>
      <c r="G162" s="7">
        <v>0.02</v>
      </c>
      <c r="H162" s="7">
        <v>0.01</v>
      </c>
      <c r="I162" s="7">
        <v>1.3068835E7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5" t="s">
        <v>365</v>
      </c>
      <c r="B163" s="5" t="s">
        <v>366</v>
      </c>
      <c r="C163" s="4" t="s">
        <v>37</v>
      </c>
      <c r="D163" s="6">
        <v>0.01</v>
      </c>
      <c r="E163" s="6">
        <v>0.01</v>
      </c>
      <c r="F163" s="4"/>
      <c r="G163" s="7">
        <v>0.02</v>
      </c>
      <c r="H163" s="7">
        <v>0.01</v>
      </c>
      <c r="I163" s="7">
        <v>4118824.0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5" t="s">
        <v>367</v>
      </c>
      <c r="B164" s="5" t="s">
        <v>368</v>
      </c>
      <c r="C164" s="4" t="s">
        <v>17</v>
      </c>
      <c r="D164" s="6">
        <v>0.04</v>
      </c>
      <c r="E164" s="6">
        <v>0.04</v>
      </c>
      <c r="F164" s="4"/>
      <c r="G164" s="7">
        <v>0.05</v>
      </c>
      <c r="H164" s="7">
        <v>0.02</v>
      </c>
      <c r="I164" s="7">
        <v>3803219.0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5" t="s">
        <v>369</v>
      </c>
      <c r="B165" s="5" t="s">
        <v>370</v>
      </c>
      <c r="C165" s="4" t="s">
        <v>244</v>
      </c>
      <c r="D165" s="6">
        <v>0.8</v>
      </c>
      <c r="E165" s="6">
        <v>0.8</v>
      </c>
      <c r="F165" s="4"/>
      <c r="G165" s="7">
        <v>1.1</v>
      </c>
      <c r="H165" s="7">
        <v>0.42</v>
      </c>
      <c r="I165" s="7">
        <v>3.82859045E8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5" t="s">
        <v>371</v>
      </c>
      <c r="B166" s="5" t="s">
        <v>372</v>
      </c>
      <c r="C166" s="4" t="s">
        <v>373</v>
      </c>
      <c r="D166" s="6">
        <v>12.53</v>
      </c>
      <c r="E166" s="6">
        <v>12.55</v>
      </c>
      <c r="F166" s="4"/>
      <c r="G166" s="7">
        <v>16.43</v>
      </c>
      <c r="H166" s="7">
        <v>11.97</v>
      </c>
      <c r="I166" s="7">
        <v>1.9413298837E10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5" t="s">
        <v>374</v>
      </c>
      <c r="B167" s="5" t="s">
        <v>375</v>
      </c>
      <c r="C167" s="4" t="s">
        <v>210</v>
      </c>
      <c r="D167" s="6">
        <v>0.02</v>
      </c>
      <c r="E167" s="6">
        <v>0.02</v>
      </c>
      <c r="F167" s="4"/>
      <c r="G167" s="7">
        <v>0.06</v>
      </c>
      <c r="H167" s="7">
        <v>0.02</v>
      </c>
      <c r="I167" s="7">
        <v>1.755533E7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5" t="s">
        <v>374</v>
      </c>
      <c r="B168" s="5" t="s">
        <v>375</v>
      </c>
      <c r="C168" s="4" t="s">
        <v>210</v>
      </c>
      <c r="D168" s="6">
        <v>0.02</v>
      </c>
      <c r="E168" s="6">
        <v>0.02</v>
      </c>
      <c r="F168" s="4"/>
      <c r="G168" s="7">
        <v>0.06</v>
      </c>
      <c r="H168" s="7">
        <v>0.02</v>
      </c>
      <c r="I168" s="7">
        <v>1.755533E7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5" t="s">
        <v>376</v>
      </c>
      <c r="B169" s="5" t="s">
        <v>377</v>
      </c>
      <c r="C169" s="4" t="s">
        <v>169</v>
      </c>
      <c r="D169" s="6">
        <v>1.01</v>
      </c>
      <c r="E169" s="6">
        <v>1.01</v>
      </c>
      <c r="F169" s="7">
        <v>47.87</v>
      </c>
      <c r="G169" s="7">
        <v>1.19</v>
      </c>
      <c r="H169" s="7">
        <v>0.97</v>
      </c>
      <c r="I169" s="7">
        <v>3.18868914E8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5" t="s">
        <v>378</v>
      </c>
      <c r="B170" s="5" t="s">
        <v>379</v>
      </c>
      <c r="C170" s="4" t="s">
        <v>17</v>
      </c>
      <c r="D170" s="6">
        <v>0.26</v>
      </c>
      <c r="E170" s="6">
        <v>0.25</v>
      </c>
      <c r="F170" s="7">
        <v>8.82</v>
      </c>
      <c r="G170" s="7">
        <v>0.35</v>
      </c>
      <c r="H170" s="7">
        <v>0.17</v>
      </c>
      <c r="I170" s="7">
        <v>4.31605851E8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5" t="s">
        <v>380</v>
      </c>
      <c r="B171" s="5" t="s">
        <v>381</v>
      </c>
      <c r="C171" s="4" t="s">
        <v>265</v>
      </c>
      <c r="D171" s="6">
        <v>0.07</v>
      </c>
      <c r="E171" s="6">
        <v>0.07</v>
      </c>
      <c r="F171" s="4"/>
      <c r="G171" s="7">
        <v>0.17</v>
      </c>
      <c r="H171" s="7">
        <v>0.05</v>
      </c>
      <c r="I171" s="7">
        <v>2.540534E7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5" t="s">
        <v>382</v>
      </c>
      <c r="B172" s="5" t="s">
        <v>383</v>
      </c>
      <c r="C172" s="4" t="s">
        <v>384</v>
      </c>
      <c r="D172" s="6">
        <v>0.15</v>
      </c>
      <c r="E172" s="6">
        <v>0.15</v>
      </c>
      <c r="F172" s="7">
        <v>16.95</v>
      </c>
      <c r="G172" s="7">
        <v>0.22</v>
      </c>
      <c r="H172" s="7">
        <v>0.13</v>
      </c>
      <c r="I172" s="7">
        <v>1.431072E7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5" t="s">
        <v>385</v>
      </c>
      <c r="B173" s="5" t="s">
        <v>386</v>
      </c>
      <c r="C173" s="4" t="s">
        <v>387</v>
      </c>
      <c r="D173" s="6">
        <v>1.83</v>
      </c>
      <c r="E173" s="6">
        <v>1.82</v>
      </c>
      <c r="F173" s="7">
        <v>32.75</v>
      </c>
      <c r="G173" s="7">
        <v>2.01</v>
      </c>
      <c r="H173" s="7">
        <v>1.04</v>
      </c>
      <c r="I173" s="7">
        <v>4.633084308E9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5" t="s">
        <v>388</v>
      </c>
      <c r="B174" s="5" t="s">
        <v>389</v>
      </c>
      <c r="C174" s="4" t="s">
        <v>384</v>
      </c>
      <c r="D174" s="6">
        <v>0.03</v>
      </c>
      <c r="E174" s="6">
        <v>0.03</v>
      </c>
      <c r="F174" s="4"/>
      <c r="G174" s="7">
        <v>0.04</v>
      </c>
      <c r="H174" s="7">
        <v>0.0</v>
      </c>
      <c r="I174" s="7">
        <v>3.5982913E7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5" t="s">
        <v>390</v>
      </c>
      <c r="B175" s="5" t="s">
        <v>391</v>
      </c>
      <c r="C175" s="4" t="s">
        <v>17</v>
      </c>
      <c r="D175" s="6">
        <v>0.14</v>
      </c>
      <c r="E175" s="6">
        <v>0.14</v>
      </c>
      <c r="F175" s="4"/>
      <c r="G175" s="7">
        <v>0.3</v>
      </c>
      <c r="H175" s="7">
        <v>0.13</v>
      </c>
      <c r="I175" s="7">
        <v>1.5531992E7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5" t="s">
        <v>392</v>
      </c>
      <c r="B176" s="5" t="s">
        <v>393</v>
      </c>
      <c r="C176" s="4" t="s">
        <v>394</v>
      </c>
      <c r="D176" s="6">
        <v>0.28</v>
      </c>
      <c r="E176" s="6">
        <v>0.28</v>
      </c>
      <c r="F176" s="4"/>
      <c r="G176" s="7">
        <v>0.32</v>
      </c>
      <c r="H176" s="7">
        <v>0.17</v>
      </c>
      <c r="I176" s="7">
        <v>2.707233E7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5" t="s">
        <v>395</v>
      </c>
      <c r="B177" s="5" t="s">
        <v>396</v>
      </c>
      <c r="C177" s="4" t="s">
        <v>397</v>
      </c>
      <c r="D177" s="6">
        <v>0.01</v>
      </c>
      <c r="E177" s="6">
        <v>0.01</v>
      </c>
      <c r="F177" s="4"/>
      <c r="G177" s="7">
        <v>0.01</v>
      </c>
      <c r="H177" s="7">
        <v>0.0</v>
      </c>
      <c r="I177" s="7">
        <v>2853840.0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5" t="s">
        <v>398</v>
      </c>
      <c r="B178" s="5" t="s">
        <v>399</v>
      </c>
      <c r="C178" s="4" t="s">
        <v>400</v>
      </c>
      <c r="D178" s="6">
        <v>0.27</v>
      </c>
      <c r="E178" s="6">
        <v>0.24</v>
      </c>
      <c r="F178" s="7">
        <v>6.42</v>
      </c>
      <c r="G178" s="7">
        <v>0.56</v>
      </c>
      <c r="H178" s="7">
        <v>0.19</v>
      </c>
      <c r="I178" s="7">
        <v>1.6816983E8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5" t="s">
        <v>401</v>
      </c>
      <c r="B179" s="5" t="s">
        <v>402</v>
      </c>
      <c r="C179" s="4" t="s">
        <v>274</v>
      </c>
      <c r="D179" s="6">
        <v>35.2</v>
      </c>
      <c r="E179" s="6">
        <v>35.01</v>
      </c>
      <c r="F179" s="7">
        <v>33.88</v>
      </c>
      <c r="G179" s="7">
        <v>37.85</v>
      </c>
      <c r="H179" s="7">
        <v>28.19</v>
      </c>
      <c r="I179" s="7">
        <v>5.062861869E9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5" t="s">
        <v>403</v>
      </c>
      <c r="B180" s="5" t="s">
        <v>404</v>
      </c>
      <c r="C180" s="4" t="s">
        <v>226</v>
      </c>
      <c r="D180" s="6">
        <v>0.95</v>
      </c>
      <c r="E180" s="6">
        <v>0.95</v>
      </c>
      <c r="F180" s="7">
        <v>47.96</v>
      </c>
      <c r="G180" s="7">
        <v>1.25</v>
      </c>
      <c r="H180" s="7">
        <v>0.72</v>
      </c>
      <c r="I180" s="7">
        <v>5.95138E7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5" t="s">
        <v>405</v>
      </c>
      <c r="B181" s="5" t="s">
        <v>406</v>
      </c>
      <c r="C181" s="4" t="s">
        <v>172</v>
      </c>
      <c r="D181" s="6">
        <v>0.01</v>
      </c>
      <c r="E181" s="6">
        <v>0.01</v>
      </c>
      <c r="F181" s="4"/>
      <c r="G181" s="7">
        <v>0.06</v>
      </c>
      <c r="H181" s="7">
        <v>0.0</v>
      </c>
      <c r="I181" s="7">
        <v>4390260.0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5" t="s">
        <v>407</v>
      </c>
      <c r="B182" s="5" t="s">
        <v>408</v>
      </c>
      <c r="C182" s="4" t="s">
        <v>17</v>
      </c>
      <c r="D182" s="6">
        <v>0.02</v>
      </c>
      <c r="E182" s="6">
        <v>0.02</v>
      </c>
      <c r="F182" s="4"/>
      <c r="G182" s="7">
        <v>0.02</v>
      </c>
      <c r="H182" s="7">
        <v>0.0</v>
      </c>
      <c r="I182" s="7">
        <v>1.9893474E7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5" t="s">
        <v>409</v>
      </c>
      <c r="B183" s="5" t="s">
        <v>410</v>
      </c>
      <c r="C183" s="4" t="s">
        <v>411</v>
      </c>
      <c r="D183" s="6">
        <v>36.42</v>
      </c>
      <c r="E183" s="6">
        <v>36.34</v>
      </c>
      <c r="F183" s="7">
        <v>18.54</v>
      </c>
      <c r="G183" s="7">
        <v>38.93</v>
      </c>
      <c r="H183" s="7">
        <v>26.22</v>
      </c>
      <c r="I183" s="7">
        <v>7.3976326461E10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5" t="s">
        <v>412</v>
      </c>
      <c r="B184" s="5" t="s">
        <v>413</v>
      </c>
      <c r="C184" s="4" t="s">
        <v>17</v>
      </c>
      <c r="D184" s="6">
        <v>0.0</v>
      </c>
      <c r="E184" s="6">
        <v>0.0</v>
      </c>
      <c r="F184" s="4"/>
      <c r="G184" s="7">
        <v>0.01</v>
      </c>
      <c r="H184" s="7">
        <v>0.0</v>
      </c>
      <c r="I184" s="7">
        <v>3286530.0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5" t="s">
        <v>414</v>
      </c>
      <c r="B185" s="5" t="s">
        <v>415</v>
      </c>
      <c r="C185" s="4" t="s">
        <v>416</v>
      </c>
      <c r="D185" s="6">
        <v>0.38</v>
      </c>
      <c r="E185" s="6">
        <v>0.38</v>
      </c>
      <c r="F185" s="4"/>
      <c r="G185" s="7">
        <v>1.12</v>
      </c>
      <c r="H185" s="7">
        <v>0.35</v>
      </c>
      <c r="I185" s="7">
        <v>6.1643789E7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5" t="s">
        <v>417</v>
      </c>
      <c r="B186" s="5" t="s">
        <v>418</v>
      </c>
      <c r="C186" s="4" t="s">
        <v>169</v>
      </c>
      <c r="D186" s="6">
        <v>0.0</v>
      </c>
      <c r="E186" s="6" t="e">
        <v>#N/A</v>
      </c>
      <c r="F186" s="4"/>
      <c r="G186" s="7">
        <v>0.16</v>
      </c>
      <c r="H186" s="7">
        <v>0.09</v>
      </c>
      <c r="I186" s="7" t="e">
        <v>#N/A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5" t="s">
        <v>419</v>
      </c>
      <c r="B187" s="5" t="s">
        <v>420</v>
      </c>
      <c r="C187" s="4" t="s">
        <v>76</v>
      </c>
      <c r="D187" s="6">
        <v>0.0</v>
      </c>
      <c r="E187" s="6">
        <v>0.0</v>
      </c>
      <c r="F187" s="4"/>
      <c r="G187" s="7">
        <v>0.0</v>
      </c>
      <c r="H187" s="7">
        <v>0.0</v>
      </c>
      <c r="I187" s="7">
        <v>3148330.0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5" t="s">
        <v>421</v>
      </c>
      <c r="B188" s="5" t="s">
        <v>422</v>
      </c>
      <c r="C188" s="4" t="s">
        <v>17</v>
      </c>
      <c r="D188" s="6">
        <v>0.01</v>
      </c>
      <c r="E188" s="6">
        <v>0.01</v>
      </c>
      <c r="F188" s="4"/>
      <c r="G188" s="7">
        <v>0.03</v>
      </c>
      <c r="H188" s="7">
        <v>0.0</v>
      </c>
      <c r="I188" s="7">
        <v>4549440.0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5" t="s">
        <v>423</v>
      </c>
      <c r="B189" s="5" t="s">
        <v>424</v>
      </c>
      <c r="C189" s="4" t="s">
        <v>146</v>
      </c>
      <c r="D189" s="6">
        <v>8.95</v>
      </c>
      <c r="E189" s="6">
        <v>8.97</v>
      </c>
      <c r="F189" s="4"/>
      <c r="G189" s="7">
        <v>11.13</v>
      </c>
      <c r="H189" s="7">
        <v>6.78</v>
      </c>
      <c r="I189" s="7">
        <v>1.197956579E9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5" t="s">
        <v>425</v>
      </c>
      <c r="B190" s="5" t="s">
        <v>426</v>
      </c>
      <c r="C190" s="4" t="s">
        <v>427</v>
      </c>
      <c r="D190" s="6">
        <v>9.04</v>
      </c>
      <c r="E190" s="6">
        <v>8.97</v>
      </c>
      <c r="F190" s="7">
        <v>118.62</v>
      </c>
      <c r="G190" s="7">
        <v>9.49</v>
      </c>
      <c r="H190" s="7">
        <v>6.49</v>
      </c>
      <c r="I190" s="7">
        <v>1.1889227149E10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5" t="s">
        <v>428</v>
      </c>
      <c r="B191" s="5" t="s">
        <v>429</v>
      </c>
      <c r="C191" s="4" t="s">
        <v>17</v>
      </c>
      <c r="D191" s="6">
        <v>0.01</v>
      </c>
      <c r="E191" s="6">
        <v>0.01</v>
      </c>
      <c r="F191" s="4"/>
      <c r="G191" s="7">
        <v>0.01</v>
      </c>
      <c r="H191" s="7">
        <v>0.0</v>
      </c>
      <c r="I191" s="7">
        <v>5411834.0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5" t="s">
        <v>430</v>
      </c>
      <c r="B192" s="5" t="s">
        <v>431</v>
      </c>
      <c r="C192" s="4" t="s">
        <v>432</v>
      </c>
      <c r="D192" s="6">
        <v>24.65</v>
      </c>
      <c r="E192" s="6">
        <v>24.64</v>
      </c>
      <c r="F192" s="7">
        <v>31.1</v>
      </c>
      <c r="G192" s="7">
        <v>35.64</v>
      </c>
      <c r="H192" s="7">
        <v>11.27</v>
      </c>
      <c r="I192" s="7">
        <v>6.960279887E9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5" t="s">
        <v>433</v>
      </c>
      <c r="B193" s="5" t="s">
        <v>434</v>
      </c>
      <c r="C193" s="4" t="s">
        <v>169</v>
      </c>
      <c r="D193" s="6">
        <v>0.18</v>
      </c>
      <c r="E193" s="6">
        <v>0.18</v>
      </c>
      <c r="F193" s="4"/>
      <c r="G193" s="7">
        <v>0.18</v>
      </c>
      <c r="H193" s="7">
        <v>0.1</v>
      </c>
      <c r="I193" s="7">
        <v>1.006992E7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5" t="s">
        <v>435</v>
      </c>
      <c r="B194" s="5" t="s">
        <v>436</v>
      </c>
      <c r="C194" s="4" t="s">
        <v>416</v>
      </c>
      <c r="D194" s="6">
        <v>3.12</v>
      </c>
      <c r="E194" s="6">
        <v>3.12</v>
      </c>
      <c r="F194" s="7">
        <v>2.64</v>
      </c>
      <c r="G194" s="7">
        <v>3.6</v>
      </c>
      <c r="H194" s="7">
        <v>1.68</v>
      </c>
      <c r="I194" s="7">
        <v>1.38899493E8</v>
      </c>
      <c r="J194" s="7">
        <v>51.41</v>
      </c>
      <c r="K194" s="7">
        <v>51.44</v>
      </c>
      <c r="L194" s="7">
        <v>73.88</v>
      </c>
      <c r="M194" s="7">
        <v>50.54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5" t="s">
        <v>437</v>
      </c>
      <c r="B195" s="5" t="s">
        <v>438</v>
      </c>
      <c r="C195" s="4" t="s">
        <v>182</v>
      </c>
      <c r="D195" s="6">
        <v>0.86</v>
      </c>
      <c r="E195" s="6">
        <v>0.8</v>
      </c>
      <c r="F195" s="4"/>
      <c r="G195" s="7">
        <v>3.11</v>
      </c>
      <c r="H195" s="7">
        <v>0.65</v>
      </c>
      <c r="I195" s="7">
        <v>2.28425119E8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5" t="s">
        <v>439</v>
      </c>
      <c r="B196" s="5" t="s">
        <v>440</v>
      </c>
      <c r="C196" s="4" t="s">
        <v>141</v>
      </c>
      <c r="D196" s="6">
        <v>5.48</v>
      </c>
      <c r="E196" s="6">
        <v>5.79</v>
      </c>
      <c r="F196" s="7">
        <v>19.8</v>
      </c>
      <c r="G196" s="7">
        <v>5.79</v>
      </c>
      <c r="H196" s="7">
        <v>2.25</v>
      </c>
      <c r="I196" s="7">
        <v>1.247606396E9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5" t="s">
        <v>441</v>
      </c>
      <c r="B197" s="5" t="s">
        <v>442</v>
      </c>
      <c r="C197" s="4" t="s">
        <v>312</v>
      </c>
      <c r="D197" s="6">
        <v>0.01</v>
      </c>
      <c r="E197" s="6">
        <v>0.01</v>
      </c>
      <c r="F197" s="4"/>
      <c r="G197" s="7">
        <v>0.1</v>
      </c>
      <c r="H197" s="7">
        <v>0.01</v>
      </c>
      <c r="I197" s="7">
        <v>4553040.0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5" t="s">
        <v>443</v>
      </c>
      <c r="B198" s="5" t="s">
        <v>444</v>
      </c>
      <c r="C198" s="4" t="s">
        <v>17</v>
      </c>
      <c r="D198" s="6">
        <v>0.05</v>
      </c>
      <c r="E198" s="6">
        <v>0.05</v>
      </c>
      <c r="F198" s="4"/>
      <c r="G198" s="7">
        <v>0.07</v>
      </c>
      <c r="H198" s="7">
        <v>0.01</v>
      </c>
      <c r="I198" s="7">
        <v>8.480975E7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5" t="s">
        <v>445</v>
      </c>
      <c r="B199" s="5" t="s">
        <v>446</v>
      </c>
      <c r="C199" s="4" t="s">
        <v>447</v>
      </c>
      <c r="D199" s="6">
        <v>0.16</v>
      </c>
      <c r="E199" s="6">
        <v>0.15</v>
      </c>
      <c r="F199" s="4"/>
      <c r="G199" s="7">
        <v>0.17</v>
      </c>
      <c r="H199" s="7">
        <v>0.02</v>
      </c>
      <c r="I199" s="7">
        <v>1.79851771E8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5" t="s">
        <v>448</v>
      </c>
      <c r="B200" s="5" t="s">
        <v>449</v>
      </c>
      <c r="C200" s="4" t="s">
        <v>34</v>
      </c>
      <c r="D200" s="6">
        <v>33.66</v>
      </c>
      <c r="E200" s="6">
        <v>33.86</v>
      </c>
      <c r="F200" s="4"/>
      <c r="G200" s="7">
        <v>36.0</v>
      </c>
      <c r="H200" s="7">
        <v>26.37</v>
      </c>
      <c r="I200" s="7" t="e">
        <v>#N/A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5" t="s">
        <v>450</v>
      </c>
      <c r="B201" s="5" t="s">
        <v>451</v>
      </c>
      <c r="C201" s="4" t="s">
        <v>394</v>
      </c>
      <c r="D201" s="6">
        <v>0.43</v>
      </c>
      <c r="E201" s="6">
        <v>0.44</v>
      </c>
      <c r="F201" s="4"/>
      <c r="G201" s="7">
        <v>0.48</v>
      </c>
      <c r="H201" s="7">
        <v>0.17</v>
      </c>
      <c r="I201" s="7">
        <v>4.5040821E7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5" t="s">
        <v>452</v>
      </c>
      <c r="B202" s="5" t="s">
        <v>453</v>
      </c>
      <c r="C202" s="4" t="s">
        <v>17</v>
      </c>
      <c r="D202" s="6">
        <v>0.01</v>
      </c>
      <c r="E202" s="6">
        <v>0.01</v>
      </c>
      <c r="F202" s="4"/>
      <c r="G202" s="7">
        <v>0.01</v>
      </c>
      <c r="H202" s="7">
        <v>0.0</v>
      </c>
      <c r="I202" s="7">
        <v>3767429.0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5" t="s">
        <v>454</v>
      </c>
      <c r="B203" s="5" t="s">
        <v>455</v>
      </c>
      <c r="C203" s="4" t="s">
        <v>309</v>
      </c>
      <c r="D203" s="6">
        <v>1.24</v>
      </c>
      <c r="E203" s="6">
        <v>1.24</v>
      </c>
      <c r="F203" s="7">
        <v>3.49</v>
      </c>
      <c r="G203" s="7">
        <v>2.98</v>
      </c>
      <c r="H203" s="7">
        <v>1.12</v>
      </c>
      <c r="I203" s="7">
        <v>1.98868349E8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5" t="s">
        <v>456</v>
      </c>
      <c r="B204" s="5" t="s">
        <v>457</v>
      </c>
      <c r="C204" s="4" t="s">
        <v>14</v>
      </c>
      <c r="D204" s="6">
        <v>0.08</v>
      </c>
      <c r="E204" s="6">
        <v>0.06</v>
      </c>
      <c r="F204" s="4"/>
      <c r="G204" s="7">
        <v>0.08</v>
      </c>
      <c r="H204" s="7">
        <v>0.04</v>
      </c>
      <c r="I204" s="7">
        <v>1.27495577E8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5" t="s">
        <v>458</v>
      </c>
      <c r="B205" s="5" t="s">
        <v>459</v>
      </c>
      <c r="C205" s="4" t="s">
        <v>447</v>
      </c>
      <c r="D205" s="6">
        <v>0.2</v>
      </c>
      <c r="E205" s="6">
        <v>0.21</v>
      </c>
      <c r="F205" s="4"/>
      <c r="G205" s="7">
        <v>0.41</v>
      </c>
      <c r="H205" s="7">
        <v>0.05</v>
      </c>
      <c r="I205" s="7">
        <v>4.2312775E7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5" t="s">
        <v>460</v>
      </c>
      <c r="B206" s="5" t="s">
        <v>461</v>
      </c>
      <c r="C206" s="4" t="s">
        <v>14</v>
      </c>
      <c r="D206" s="6">
        <v>0.13</v>
      </c>
      <c r="E206" s="6">
        <v>0.12</v>
      </c>
      <c r="F206" s="4"/>
      <c r="G206" s="7">
        <v>0.27</v>
      </c>
      <c r="H206" s="7">
        <v>0.05</v>
      </c>
      <c r="I206" s="7">
        <v>6.0229362E7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5" t="s">
        <v>462</v>
      </c>
      <c r="B207" s="5" t="s">
        <v>463</v>
      </c>
      <c r="C207" s="4" t="s">
        <v>169</v>
      </c>
      <c r="D207" s="6">
        <v>0.52</v>
      </c>
      <c r="E207" s="6">
        <v>0.51</v>
      </c>
      <c r="F207" s="7">
        <v>23.61</v>
      </c>
      <c r="G207" s="7">
        <v>0.56</v>
      </c>
      <c r="H207" s="7">
        <v>0.41</v>
      </c>
      <c r="I207" s="7">
        <v>1.00921544E8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5" t="s">
        <v>464</v>
      </c>
      <c r="B208" s="5" t="s">
        <v>465</v>
      </c>
      <c r="C208" s="4" t="s">
        <v>146</v>
      </c>
      <c r="D208" s="6">
        <v>31.94</v>
      </c>
      <c r="E208" s="6">
        <v>31.45</v>
      </c>
      <c r="F208" s="7">
        <v>27.14</v>
      </c>
      <c r="G208" s="7">
        <v>41.5</v>
      </c>
      <c r="H208" s="7">
        <v>27.15</v>
      </c>
      <c r="I208" s="7">
        <v>2.665567117E9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5" t="s">
        <v>466</v>
      </c>
      <c r="B209" s="5" t="s">
        <v>467</v>
      </c>
      <c r="C209" s="4" t="s">
        <v>169</v>
      </c>
      <c r="D209" s="6">
        <v>0.12</v>
      </c>
      <c r="E209" s="6">
        <v>0.13</v>
      </c>
      <c r="F209" s="4"/>
      <c r="G209" s="7">
        <v>0.2</v>
      </c>
      <c r="H209" s="7">
        <v>0.09</v>
      </c>
      <c r="I209" s="7">
        <v>7994251.0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5" t="s">
        <v>468</v>
      </c>
      <c r="B210" s="5" t="s">
        <v>469</v>
      </c>
      <c r="C210" s="4" t="s">
        <v>17</v>
      </c>
      <c r="D210" s="6">
        <v>0.04</v>
      </c>
      <c r="E210" s="6">
        <v>0.04</v>
      </c>
      <c r="F210" s="4"/>
      <c r="G210" s="7">
        <v>0.05</v>
      </c>
      <c r="H210" s="7">
        <v>0.02</v>
      </c>
      <c r="I210" s="7">
        <v>7.7676851E7</v>
      </c>
      <c r="J210" s="7">
        <v>6.22</v>
      </c>
      <c r="K210" s="7">
        <v>6.22</v>
      </c>
      <c r="L210" s="7">
        <v>6.45</v>
      </c>
      <c r="M210" s="7">
        <v>4.69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5" t="s">
        <v>470</v>
      </c>
      <c r="B211" s="5" t="s">
        <v>471</v>
      </c>
      <c r="C211" s="4" t="s">
        <v>472</v>
      </c>
      <c r="D211" s="6">
        <v>3.56</v>
      </c>
      <c r="E211" s="6">
        <v>3.56</v>
      </c>
      <c r="F211" s="7">
        <v>17.27</v>
      </c>
      <c r="G211" s="7">
        <v>4.1</v>
      </c>
      <c r="H211" s="7">
        <v>3.33</v>
      </c>
      <c r="I211" s="7">
        <v>1.43647386E9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5" t="s">
        <v>473</v>
      </c>
      <c r="B212" s="5" t="s">
        <v>474</v>
      </c>
      <c r="C212" s="4" t="s">
        <v>169</v>
      </c>
      <c r="D212" s="6">
        <v>9.12</v>
      </c>
      <c r="E212" s="6">
        <v>9.12</v>
      </c>
      <c r="F212" s="7">
        <v>26.78</v>
      </c>
      <c r="G212" s="7">
        <v>9.59</v>
      </c>
      <c r="H212" s="7">
        <v>8.16</v>
      </c>
      <c r="I212" s="7">
        <v>6.920155593E9</v>
      </c>
      <c r="J212" s="7">
        <v>0.002</v>
      </c>
      <c r="K212" s="7">
        <v>0.002</v>
      </c>
      <c r="L212" s="7">
        <v>0.003</v>
      </c>
      <c r="M212" s="7">
        <v>0.001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5" t="s">
        <v>475</v>
      </c>
      <c r="B213" s="5" t="s">
        <v>476</v>
      </c>
      <c r="C213" s="4" t="s">
        <v>86</v>
      </c>
      <c r="D213" s="6">
        <v>0.03</v>
      </c>
      <c r="E213" s="6">
        <v>0.03</v>
      </c>
      <c r="F213" s="4"/>
      <c r="G213" s="7">
        <v>0.05</v>
      </c>
      <c r="H213" s="7">
        <v>0.02</v>
      </c>
      <c r="I213" s="7">
        <v>3.8073889E7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5" t="s">
        <v>477</v>
      </c>
      <c r="B214" s="5" t="s">
        <v>478</v>
      </c>
      <c r="C214" s="4" t="s">
        <v>17</v>
      </c>
      <c r="D214" s="6">
        <v>0.61</v>
      </c>
      <c r="E214" s="6">
        <v>0.6</v>
      </c>
      <c r="F214" s="4"/>
      <c r="G214" s="7">
        <v>0.67</v>
      </c>
      <c r="H214" s="7">
        <v>0.32</v>
      </c>
      <c r="I214" s="7">
        <v>1.27542534E8</v>
      </c>
      <c r="J214" s="7">
        <v>0.003</v>
      </c>
      <c r="K214" s="7">
        <v>0.003</v>
      </c>
      <c r="L214" s="7">
        <v>0.006</v>
      </c>
      <c r="M214" s="7">
        <v>0.002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5" t="s">
        <v>479</v>
      </c>
      <c r="B215" s="5" t="s">
        <v>480</v>
      </c>
      <c r="C215" s="4" t="s">
        <v>34</v>
      </c>
      <c r="D215" s="6">
        <v>24.45</v>
      </c>
      <c r="E215" s="6">
        <v>24.6</v>
      </c>
      <c r="F215" s="4"/>
      <c r="G215" s="7">
        <v>26.87</v>
      </c>
      <c r="H215" s="7">
        <v>16.76</v>
      </c>
      <c r="I215" s="7" t="e">
        <v>#N/A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5" t="s">
        <v>481</v>
      </c>
      <c r="B216" s="5" t="s">
        <v>482</v>
      </c>
      <c r="C216" s="4" t="s">
        <v>17</v>
      </c>
      <c r="D216" s="6">
        <v>0.4</v>
      </c>
      <c r="E216" s="6">
        <v>0.39</v>
      </c>
      <c r="F216" s="4"/>
      <c r="G216" s="7">
        <v>0.71</v>
      </c>
      <c r="H216" s="7">
        <v>0.24</v>
      </c>
      <c r="I216" s="7">
        <v>8.9442841E7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5" t="s">
        <v>483</v>
      </c>
      <c r="B217" s="5" t="s">
        <v>484</v>
      </c>
      <c r="C217" s="4" t="s">
        <v>447</v>
      </c>
      <c r="D217" s="6">
        <v>0.36</v>
      </c>
      <c r="E217" s="6">
        <v>0.35</v>
      </c>
      <c r="F217" s="4"/>
      <c r="G217" s="7">
        <v>0.85</v>
      </c>
      <c r="H217" s="7">
        <v>0.23</v>
      </c>
      <c r="I217" s="7">
        <v>2.03548832E8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5" t="s">
        <v>485</v>
      </c>
      <c r="B218" s="5" t="s">
        <v>486</v>
      </c>
      <c r="C218" s="4" t="s">
        <v>14</v>
      </c>
      <c r="D218" s="6">
        <v>0.36</v>
      </c>
      <c r="E218" s="6">
        <v>0.35</v>
      </c>
      <c r="F218" s="4"/>
      <c r="G218" s="7">
        <v>0.5</v>
      </c>
      <c r="H218" s="7">
        <v>0.23</v>
      </c>
      <c r="I218" s="7">
        <v>1.70381002E8</v>
      </c>
      <c r="J218" s="7">
        <v>17.6</v>
      </c>
      <c r="K218" s="7">
        <v>17.94</v>
      </c>
      <c r="L218" s="7">
        <v>18.71</v>
      </c>
      <c r="M218" s="7">
        <v>15.71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5" t="s">
        <v>487</v>
      </c>
      <c r="B219" s="5" t="s">
        <v>488</v>
      </c>
      <c r="C219" s="4" t="s">
        <v>447</v>
      </c>
      <c r="D219" s="6">
        <v>0.27</v>
      </c>
      <c r="E219" s="6">
        <v>0.27</v>
      </c>
      <c r="F219" s="4"/>
      <c r="G219" s="7">
        <v>0.62</v>
      </c>
      <c r="H219" s="7">
        <v>0.11</v>
      </c>
      <c r="I219" s="7">
        <v>1.234018543E9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5" t="s">
        <v>489</v>
      </c>
      <c r="B220" s="5" t="s">
        <v>490</v>
      </c>
      <c r="C220" s="4" t="s">
        <v>17</v>
      </c>
      <c r="D220" s="6">
        <v>0.01</v>
      </c>
      <c r="E220" s="6">
        <v>0.01</v>
      </c>
      <c r="F220" s="4"/>
      <c r="G220" s="7">
        <v>0.01</v>
      </c>
      <c r="H220" s="7">
        <v>0.0</v>
      </c>
      <c r="I220" s="7">
        <v>2.4133905E7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5" t="s">
        <v>491</v>
      </c>
      <c r="B221" s="5" t="s">
        <v>492</v>
      </c>
      <c r="C221" s="4" t="s">
        <v>274</v>
      </c>
      <c r="D221" s="6">
        <v>0.73</v>
      </c>
      <c r="E221" s="6">
        <v>0.74</v>
      </c>
      <c r="F221" s="4"/>
      <c r="G221" s="7">
        <v>0.82</v>
      </c>
      <c r="H221" s="7">
        <v>0.35</v>
      </c>
      <c r="I221" s="7">
        <v>2.51874242E8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5" t="s">
        <v>493</v>
      </c>
      <c r="B222" s="5" t="s">
        <v>494</v>
      </c>
      <c r="C222" s="4" t="s">
        <v>86</v>
      </c>
      <c r="D222" s="6">
        <v>0.1</v>
      </c>
      <c r="E222" s="6">
        <v>0.1</v>
      </c>
      <c r="F222" s="4"/>
      <c r="G222" s="7">
        <v>0.11</v>
      </c>
      <c r="H222" s="7">
        <v>0.02</v>
      </c>
      <c r="I222" s="7">
        <v>1.53953216E8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5" t="s">
        <v>495</v>
      </c>
      <c r="B223" s="5" t="s">
        <v>496</v>
      </c>
      <c r="C223" s="4" t="s">
        <v>17</v>
      </c>
      <c r="D223" s="6">
        <v>0.01</v>
      </c>
      <c r="E223" s="6">
        <v>0.01</v>
      </c>
      <c r="F223" s="4"/>
      <c r="G223" s="7">
        <v>0.02</v>
      </c>
      <c r="H223" s="7">
        <v>0.0</v>
      </c>
      <c r="I223" s="7">
        <v>1.1074476E7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5" t="s">
        <v>497</v>
      </c>
      <c r="B224" s="5" t="s">
        <v>498</v>
      </c>
      <c r="C224" s="4" t="s">
        <v>34</v>
      </c>
      <c r="D224" s="6" t="e">
        <v>#N/A</v>
      </c>
      <c r="E224" s="6" t="e">
        <v>#N/A</v>
      </c>
      <c r="F224" s="4"/>
      <c r="G224" s="4"/>
      <c r="H224" s="4"/>
      <c r="I224" s="7" t="e">
        <v>#N/A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5" t="s">
        <v>499</v>
      </c>
      <c r="B225" s="5" t="s">
        <v>500</v>
      </c>
      <c r="C225" s="4" t="s">
        <v>501</v>
      </c>
      <c r="D225" s="6">
        <v>6.78</v>
      </c>
      <c r="E225" s="6">
        <v>6.69</v>
      </c>
      <c r="F225" s="7">
        <v>29.04</v>
      </c>
      <c r="G225" s="7">
        <v>8.6</v>
      </c>
      <c r="H225" s="7">
        <v>3.03</v>
      </c>
      <c r="I225" s="7">
        <v>2.861500444E9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5" t="s">
        <v>502</v>
      </c>
      <c r="B226" s="5" t="s">
        <v>503</v>
      </c>
      <c r="C226" s="4" t="s">
        <v>432</v>
      </c>
      <c r="D226" s="6">
        <v>3.78</v>
      </c>
      <c r="E226" s="6">
        <v>3.9</v>
      </c>
      <c r="F226" s="7">
        <v>23.44</v>
      </c>
      <c r="G226" s="7">
        <v>4.7</v>
      </c>
      <c r="H226" s="7">
        <v>1.61</v>
      </c>
      <c r="I226" s="7">
        <v>7.77892998E8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5" t="s">
        <v>504</v>
      </c>
      <c r="B227" s="5" t="s">
        <v>505</v>
      </c>
      <c r="C227" s="4" t="s">
        <v>506</v>
      </c>
      <c r="D227" s="6">
        <v>0.21</v>
      </c>
      <c r="E227" s="6">
        <v>0.21</v>
      </c>
      <c r="F227" s="7">
        <v>14.65</v>
      </c>
      <c r="G227" s="7">
        <v>0.25</v>
      </c>
      <c r="H227" s="7">
        <v>0.13</v>
      </c>
      <c r="I227" s="7">
        <v>2.9515058E7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5" t="s">
        <v>507</v>
      </c>
      <c r="B228" s="5" t="s">
        <v>508</v>
      </c>
      <c r="C228" s="4" t="s">
        <v>34</v>
      </c>
      <c r="D228" s="6">
        <v>14.91</v>
      </c>
      <c r="E228" s="6">
        <v>14.5</v>
      </c>
      <c r="F228" s="4"/>
      <c r="G228" s="7">
        <v>15.39</v>
      </c>
      <c r="H228" s="7">
        <v>9.36</v>
      </c>
      <c r="I228" s="7" t="e">
        <v>#N/A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5" t="s">
        <v>509</v>
      </c>
      <c r="B229" s="5" t="s">
        <v>510</v>
      </c>
      <c r="C229" s="4" t="s">
        <v>472</v>
      </c>
      <c r="D229" s="6">
        <v>1.51</v>
      </c>
      <c r="E229" s="6">
        <v>1.52</v>
      </c>
      <c r="F229" s="7">
        <v>6.86</v>
      </c>
      <c r="G229" s="7">
        <v>1.62</v>
      </c>
      <c r="H229" s="7">
        <v>1.11</v>
      </c>
      <c r="I229" s="7">
        <v>1.984295517E9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5" t="s">
        <v>511</v>
      </c>
      <c r="B230" s="5" t="s">
        <v>512</v>
      </c>
      <c r="C230" s="4" t="s">
        <v>17</v>
      </c>
      <c r="D230" s="6">
        <v>2.38</v>
      </c>
      <c r="E230" s="6">
        <v>2.43</v>
      </c>
      <c r="F230" s="4"/>
      <c r="G230" s="7">
        <v>2.74</v>
      </c>
      <c r="H230" s="7">
        <v>0.8</v>
      </c>
      <c r="I230" s="7">
        <v>4.95255651E8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5" t="s">
        <v>513</v>
      </c>
      <c r="B231" s="5" t="s">
        <v>514</v>
      </c>
      <c r="C231" s="4" t="s">
        <v>447</v>
      </c>
      <c r="D231" s="6">
        <v>0.71</v>
      </c>
      <c r="E231" s="6">
        <v>0.7</v>
      </c>
      <c r="F231" s="4"/>
      <c r="G231" s="7">
        <v>2.06</v>
      </c>
      <c r="H231" s="7">
        <v>0.32</v>
      </c>
      <c r="I231" s="7">
        <v>1.87628695E8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5" t="s">
        <v>515</v>
      </c>
      <c r="B232" s="5" t="s">
        <v>516</v>
      </c>
      <c r="C232" s="4" t="s">
        <v>37</v>
      </c>
      <c r="D232" s="6">
        <v>0.07</v>
      </c>
      <c r="E232" s="6">
        <v>0.07</v>
      </c>
      <c r="F232" s="4"/>
      <c r="G232" s="7">
        <v>0.13</v>
      </c>
      <c r="H232" s="7">
        <v>0.04</v>
      </c>
      <c r="I232" s="7">
        <v>9.9192323E7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5" t="s">
        <v>517</v>
      </c>
      <c r="B233" s="5" t="s">
        <v>518</v>
      </c>
      <c r="C233" s="4" t="s">
        <v>519</v>
      </c>
      <c r="D233" s="6">
        <v>0.01</v>
      </c>
      <c r="E233" s="6">
        <v>0.01</v>
      </c>
      <c r="F233" s="4"/>
      <c r="G233" s="7">
        <v>0.01</v>
      </c>
      <c r="H233" s="7">
        <v>0.0</v>
      </c>
      <c r="I233" s="7">
        <v>2.327251E7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5" t="s">
        <v>520</v>
      </c>
      <c r="B234" s="5" t="s">
        <v>521</v>
      </c>
      <c r="C234" s="4" t="s">
        <v>73</v>
      </c>
      <c r="D234" s="6">
        <v>0.02</v>
      </c>
      <c r="E234" s="6">
        <v>0.02</v>
      </c>
      <c r="F234" s="4"/>
      <c r="G234" s="7">
        <v>0.03</v>
      </c>
      <c r="H234" s="7">
        <v>0.01</v>
      </c>
      <c r="I234" s="7">
        <v>5637210.0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5" t="s">
        <v>522</v>
      </c>
      <c r="B235" s="5" t="s">
        <v>523</v>
      </c>
      <c r="C235" s="4" t="s">
        <v>14</v>
      </c>
      <c r="D235" s="6">
        <v>0.05</v>
      </c>
      <c r="E235" s="6">
        <v>0.05</v>
      </c>
      <c r="F235" s="4"/>
      <c r="G235" s="7">
        <v>0.05</v>
      </c>
      <c r="H235" s="7">
        <v>0.02</v>
      </c>
      <c r="I235" s="7">
        <v>3.0420019E7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5" t="s">
        <v>524</v>
      </c>
      <c r="B236" s="5" t="s">
        <v>525</v>
      </c>
      <c r="C236" s="4" t="s">
        <v>526</v>
      </c>
      <c r="D236" s="6" t="e">
        <v>#N/A</v>
      </c>
      <c r="E236" s="6" t="e">
        <v>#N/A</v>
      </c>
      <c r="F236" s="4"/>
      <c r="G236" s="4"/>
      <c r="H236" s="4"/>
      <c r="I236" s="7" t="e">
        <v>#N/A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5" t="s">
        <v>527</v>
      </c>
      <c r="B237" s="5" t="s">
        <v>528</v>
      </c>
      <c r="C237" s="4" t="s">
        <v>60</v>
      </c>
      <c r="D237" s="6">
        <v>0.04</v>
      </c>
      <c r="E237" s="6">
        <v>0.04</v>
      </c>
      <c r="F237" s="4"/>
      <c r="G237" s="7">
        <v>0.04</v>
      </c>
      <c r="H237" s="7">
        <v>0.01</v>
      </c>
      <c r="I237" s="7">
        <v>2.9166307E7</v>
      </c>
      <c r="J237" s="7">
        <v>5.07</v>
      </c>
      <c r="K237" s="7">
        <v>4.71</v>
      </c>
      <c r="L237" s="7">
        <v>5.11</v>
      </c>
      <c r="M237" s="7">
        <v>0.56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5" t="s">
        <v>529</v>
      </c>
      <c r="B238" s="5" t="s">
        <v>530</v>
      </c>
      <c r="C238" s="4" t="s">
        <v>17</v>
      </c>
      <c r="D238" s="6">
        <v>0.11</v>
      </c>
      <c r="E238" s="6">
        <v>0.11</v>
      </c>
      <c r="F238" s="4"/>
      <c r="G238" s="7">
        <v>0.13</v>
      </c>
      <c r="H238" s="7">
        <v>0.11</v>
      </c>
      <c r="I238" s="7">
        <v>1.338604E8</v>
      </c>
      <c r="J238" s="7">
        <v>0.001</v>
      </c>
      <c r="K238" s="7">
        <v>0.001</v>
      </c>
      <c r="L238" s="7">
        <v>0.001</v>
      </c>
      <c r="M238" s="7">
        <v>0.001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5" t="s">
        <v>531</v>
      </c>
      <c r="B239" s="5" t="s">
        <v>532</v>
      </c>
      <c r="C239" s="4" t="s">
        <v>182</v>
      </c>
      <c r="D239" s="6">
        <v>0.7</v>
      </c>
      <c r="E239" s="6">
        <v>0.7</v>
      </c>
      <c r="F239" s="7">
        <v>27.25</v>
      </c>
      <c r="G239" s="7">
        <v>1.07</v>
      </c>
      <c r="H239" s="7">
        <v>0.63</v>
      </c>
      <c r="I239" s="7">
        <v>2.56620059E8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5" t="s">
        <v>533</v>
      </c>
      <c r="B240" s="5" t="s">
        <v>534</v>
      </c>
      <c r="C240" s="4" t="s">
        <v>20</v>
      </c>
      <c r="D240" s="6">
        <v>0.03</v>
      </c>
      <c r="E240" s="6">
        <v>0.03</v>
      </c>
      <c r="F240" s="4"/>
      <c r="G240" s="7">
        <v>0.06</v>
      </c>
      <c r="H240" s="7">
        <v>0.02</v>
      </c>
      <c r="I240" s="7">
        <v>6.0134439E7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5" t="s">
        <v>535</v>
      </c>
      <c r="B241" s="5" t="s">
        <v>536</v>
      </c>
      <c r="C241" s="4" t="s">
        <v>34</v>
      </c>
      <c r="D241" s="6">
        <v>26.02</v>
      </c>
      <c r="E241" s="6">
        <v>25.93</v>
      </c>
      <c r="F241" s="4"/>
      <c r="G241" s="7">
        <v>33.42</v>
      </c>
      <c r="H241" s="7">
        <v>22.44</v>
      </c>
      <c r="I241" s="7" t="e">
        <v>#N/A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5" t="s">
        <v>537</v>
      </c>
      <c r="B242" s="5" t="s">
        <v>538</v>
      </c>
      <c r="C242" s="4" t="s">
        <v>68</v>
      </c>
      <c r="D242" s="6">
        <v>0.25</v>
      </c>
      <c r="E242" s="6">
        <v>0.26</v>
      </c>
      <c r="F242" s="4"/>
      <c r="G242" s="7">
        <v>0.35</v>
      </c>
      <c r="H242" s="7">
        <v>0.14</v>
      </c>
      <c r="I242" s="7">
        <v>7.3390075E7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5" t="s">
        <v>539</v>
      </c>
      <c r="B243" s="5" t="s">
        <v>540</v>
      </c>
      <c r="C243" s="4" t="s">
        <v>23</v>
      </c>
      <c r="D243" s="6">
        <v>0.01</v>
      </c>
      <c r="E243" s="6">
        <v>0.01</v>
      </c>
      <c r="F243" s="4"/>
      <c r="G243" s="7">
        <v>0.02</v>
      </c>
      <c r="H243" s="7">
        <v>0.01</v>
      </c>
      <c r="I243" s="7">
        <v>5.9547262E7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5" t="s">
        <v>541</v>
      </c>
      <c r="B244" s="5" t="s">
        <v>542</v>
      </c>
      <c r="C244" s="4" t="s">
        <v>86</v>
      </c>
      <c r="D244" s="6">
        <v>0.85</v>
      </c>
      <c r="E244" s="6">
        <v>0.85</v>
      </c>
      <c r="F244" s="4"/>
      <c r="G244" s="7">
        <v>1.2</v>
      </c>
      <c r="H244" s="7">
        <v>0.8</v>
      </c>
      <c r="I244" s="7" t="s">
        <v>543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5" t="s">
        <v>544</v>
      </c>
      <c r="B245" s="5" t="s">
        <v>545</v>
      </c>
      <c r="C245" s="4" t="s">
        <v>34</v>
      </c>
      <c r="D245" s="6">
        <v>23.38</v>
      </c>
      <c r="E245" s="6">
        <v>23.0</v>
      </c>
      <c r="F245" s="4"/>
      <c r="G245" s="7">
        <v>31.08</v>
      </c>
      <c r="H245" s="7">
        <v>11.32</v>
      </c>
      <c r="I245" s="7" t="e">
        <v>#N/A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5" t="s">
        <v>546</v>
      </c>
      <c r="B246" s="5" t="s">
        <v>547</v>
      </c>
      <c r="C246" s="4" t="s">
        <v>548</v>
      </c>
      <c r="D246" s="6">
        <v>0.2</v>
      </c>
      <c r="E246" s="6">
        <v>0.2</v>
      </c>
      <c r="F246" s="7">
        <v>4.03</v>
      </c>
      <c r="G246" s="7">
        <v>0.23</v>
      </c>
      <c r="H246" s="7">
        <v>0.13</v>
      </c>
      <c r="I246" s="7">
        <v>8.7808521E7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5" t="s">
        <v>549</v>
      </c>
      <c r="B247" s="5" t="s">
        <v>550</v>
      </c>
      <c r="C247" s="4" t="s">
        <v>17</v>
      </c>
      <c r="D247" s="6">
        <v>0.69</v>
      </c>
      <c r="E247" s="6">
        <v>0.7</v>
      </c>
      <c r="F247" s="7">
        <v>6.9</v>
      </c>
      <c r="G247" s="7">
        <v>1.34</v>
      </c>
      <c r="H247" s="7">
        <v>0.39</v>
      </c>
      <c r="I247" s="7">
        <v>2.91103684E8</v>
      </c>
      <c r="J247" s="7">
        <v>20.64</v>
      </c>
      <c r="K247" s="7">
        <v>20.64</v>
      </c>
      <c r="L247" s="7">
        <v>20.89</v>
      </c>
      <c r="M247" s="7">
        <v>18.0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5" t="s">
        <v>551</v>
      </c>
      <c r="B248" s="5" t="s">
        <v>552</v>
      </c>
      <c r="C248" s="4" t="s">
        <v>76</v>
      </c>
      <c r="D248" s="6">
        <v>0.02</v>
      </c>
      <c r="E248" s="6">
        <v>0.02</v>
      </c>
      <c r="F248" s="4"/>
      <c r="G248" s="7">
        <v>0.03</v>
      </c>
      <c r="H248" s="7">
        <v>0.01</v>
      </c>
      <c r="I248" s="7">
        <v>1.5004844E7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5" t="s">
        <v>553</v>
      </c>
      <c r="B249" s="5" t="s">
        <v>554</v>
      </c>
      <c r="C249" s="4" t="s">
        <v>17</v>
      </c>
      <c r="D249" s="6">
        <v>0.02</v>
      </c>
      <c r="E249" s="6">
        <v>0.03</v>
      </c>
      <c r="F249" s="4"/>
      <c r="G249" s="7">
        <v>0.05</v>
      </c>
      <c r="H249" s="7">
        <v>0.02</v>
      </c>
      <c r="I249" s="7">
        <v>6933871.0</v>
      </c>
      <c r="J249" s="7">
        <v>19.08</v>
      </c>
      <c r="K249" s="7">
        <v>19.08</v>
      </c>
      <c r="L249" s="7">
        <v>21.77</v>
      </c>
      <c r="M249" s="7">
        <v>18.02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5" t="s">
        <v>555</v>
      </c>
      <c r="B250" s="5" t="s">
        <v>556</v>
      </c>
      <c r="C250" s="4" t="s">
        <v>182</v>
      </c>
      <c r="D250" s="6">
        <v>0.03</v>
      </c>
      <c r="E250" s="6">
        <v>0.02</v>
      </c>
      <c r="F250" s="4"/>
      <c r="G250" s="7">
        <v>0.04</v>
      </c>
      <c r="H250" s="7">
        <v>0.01</v>
      </c>
      <c r="I250" s="7">
        <v>2.8082626E7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5" t="s">
        <v>557</v>
      </c>
      <c r="B251" s="5" t="s">
        <v>558</v>
      </c>
      <c r="C251" s="4" t="s">
        <v>23</v>
      </c>
      <c r="D251" s="6">
        <v>0.17</v>
      </c>
      <c r="E251" s="6">
        <v>0.15</v>
      </c>
      <c r="F251" s="4"/>
      <c r="G251" s="7">
        <v>0.43</v>
      </c>
      <c r="H251" s="7">
        <v>0.05</v>
      </c>
      <c r="I251" s="7">
        <v>8.7222172E7</v>
      </c>
      <c r="J251" s="7">
        <v>22.3</v>
      </c>
      <c r="K251" s="7">
        <v>22.4</v>
      </c>
      <c r="L251" s="7">
        <v>35.18</v>
      </c>
      <c r="M251" s="7">
        <v>20.1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5" t="s">
        <v>559</v>
      </c>
      <c r="B252" s="5" t="s">
        <v>560</v>
      </c>
      <c r="C252" s="4" t="s">
        <v>177</v>
      </c>
      <c r="D252" s="6">
        <v>0.03</v>
      </c>
      <c r="E252" s="6">
        <v>0.03</v>
      </c>
      <c r="F252" s="4"/>
      <c r="G252" s="7">
        <v>0.03</v>
      </c>
      <c r="H252" s="7">
        <v>0.02</v>
      </c>
      <c r="I252" s="7">
        <v>9905124.0</v>
      </c>
      <c r="J252" s="7">
        <v>28.1</v>
      </c>
      <c r="K252" s="7">
        <v>27.98</v>
      </c>
      <c r="L252" s="7">
        <v>29.7</v>
      </c>
      <c r="M252" s="7">
        <v>2.77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5" t="s">
        <v>561</v>
      </c>
      <c r="B253" s="5" t="s">
        <v>562</v>
      </c>
      <c r="C253" s="4" t="s">
        <v>384</v>
      </c>
      <c r="D253" s="6">
        <v>0.07</v>
      </c>
      <c r="E253" s="6">
        <v>0.06</v>
      </c>
      <c r="F253" s="4"/>
      <c r="G253" s="7">
        <v>0.09</v>
      </c>
      <c r="H253" s="7">
        <v>0.02</v>
      </c>
      <c r="I253" s="7">
        <v>1.233664E7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5" t="s">
        <v>563</v>
      </c>
      <c r="B254" s="5" t="s">
        <v>564</v>
      </c>
      <c r="C254" s="4" t="s">
        <v>565</v>
      </c>
      <c r="D254" s="6">
        <v>30.57</v>
      </c>
      <c r="E254" s="6">
        <v>30.8</v>
      </c>
      <c r="F254" s="7">
        <v>19.95</v>
      </c>
      <c r="G254" s="7">
        <v>40.28</v>
      </c>
      <c r="H254" s="7">
        <v>27.21</v>
      </c>
      <c r="I254" s="7">
        <v>3.564076782E9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5" t="s">
        <v>566</v>
      </c>
      <c r="B255" s="5" t="s">
        <v>567</v>
      </c>
      <c r="C255" s="4" t="s">
        <v>86</v>
      </c>
      <c r="D255" s="6">
        <v>1.13</v>
      </c>
      <c r="E255" s="6">
        <v>1.1</v>
      </c>
      <c r="F255" s="4"/>
      <c r="G255" s="7">
        <v>1.32</v>
      </c>
      <c r="H255" s="7">
        <v>0.4</v>
      </c>
      <c r="I255" s="7">
        <v>5.72163412E8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5" t="s">
        <v>568</v>
      </c>
      <c r="B256" s="5" t="s">
        <v>569</v>
      </c>
      <c r="C256" s="4" t="s">
        <v>34</v>
      </c>
      <c r="D256" s="6" t="e">
        <v>#N/A</v>
      </c>
      <c r="E256" s="6" t="e">
        <v>#N/A</v>
      </c>
      <c r="F256" s="4"/>
      <c r="G256" s="4"/>
      <c r="H256" s="4"/>
      <c r="I256" s="7" t="e">
        <v>#N/A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5" t="s">
        <v>570</v>
      </c>
      <c r="B257" s="5" t="s">
        <v>571</v>
      </c>
      <c r="C257" s="4" t="s">
        <v>86</v>
      </c>
      <c r="D257" s="6">
        <v>0.72</v>
      </c>
      <c r="E257" s="6">
        <v>0.71</v>
      </c>
      <c r="F257" s="4"/>
      <c r="G257" s="7">
        <v>0.77</v>
      </c>
      <c r="H257" s="7">
        <v>0.25</v>
      </c>
      <c r="I257" s="7">
        <v>2.47357243E8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5" t="s">
        <v>572</v>
      </c>
      <c r="B258" s="5" t="s">
        <v>573</v>
      </c>
      <c r="C258" s="4" t="s">
        <v>17</v>
      </c>
      <c r="D258" s="6">
        <v>0.04</v>
      </c>
      <c r="E258" s="6">
        <v>0.04</v>
      </c>
      <c r="F258" s="4"/>
      <c r="G258" s="7">
        <v>0.06</v>
      </c>
      <c r="H258" s="7">
        <v>0.02</v>
      </c>
      <c r="I258" s="7">
        <v>8873459.0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5" t="s">
        <v>574</v>
      </c>
      <c r="B259" s="5" t="s">
        <v>575</v>
      </c>
      <c r="C259" s="4" t="s">
        <v>169</v>
      </c>
      <c r="D259" s="6">
        <v>11.32</v>
      </c>
      <c r="E259" s="6">
        <v>11.3</v>
      </c>
      <c r="F259" s="7">
        <v>28.16</v>
      </c>
      <c r="G259" s="7">
        <v>11.76</v>
      </c>
      <c r="H259" s="7">
        <v>9.67</v>
      </c>
      <c r="I259" s="7">
        <v>1.400935994E9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5" t="s">
        <v>576</v>
      </c>
      <c r="B260" s="5" t="s">
        <v>577</v>
      </c>
      <c r="C260" s="4" t="s">
        <v>578</v>
      </c>
      <c r="D260" s="6">
        <v>0.0</v>
      </c>
      <c r="E260" s="6">
        <v>0.0</v>
      </c>
      <c r="F260" s="4"/>
      <c r="G260" s="7">
        <v>0.01</v>
      </c>
      <c r="H260" s="7">
        <v>0.0</v>
      </c>
      <c r="I260" s="7">
        <v>1.154358E7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5" t="s">
        <v>579</v>
      </c>
      <c r="B261" s="5" t="s">
        <v>580</v>
      </c>
      <c r="C261" s="4" t="s">
        <v>34</v>
      </c>
      <c r="D261" s="6">
        <v>39.78</v>
      </c>
      <c r="E261" s="6">
        <v>39.59</v>
      </c>
      <c r="F261" s="4"/>
      <c r="G261" s="7">
        <v>41.01</v>
      </c>
      <c r="H261" s="7">
        <v>31.72</v>
      </c>
      <c r="I261" s="7" t="e">
        <v>#N/A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5" t="s">
        <v>581</v>
      </c>
      <c r="B262" s="5" t="s">
        <v>582</v>
      </c>
      <c r="C262" s="4" t="s">
        <v>17</v>
      </c>
      <c r="D262" s="6">
        <v>0.04</v>
      </c>
      <c r="E262" s="6">
        <v>0.03</v>
      </c>
      <c r="F262" s="4"/>
      <c r="G262" s="7">
        <v>0.05</v>
      </c>
      <c r="H262" s="7">
        <v>0.02</v>
      </c>
      <c r="I262" s="7">
        <v>2.717113E7</v>
      </c>
      <c r="J262" s="7">
        <v>0.086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5" t="s">
        <v>583</v>
      </c>
      <c r="B263" s="5" t="s">
        <v>584</v>
      </c>
      <c r="C263" s="4" t="s">
        <v>17</v>
      </c>
      <c r="D263" s="6">
        <v>0.03</v>
      </c>
      <c r="E263" s="6">
        <v>0.02</v>
      </c>
      <c r="F263" s="4"/>
      <c r="G263" s="7">
        <v>0.04</v>
      </c>
      <c r="H263" s="7">
        <v>0.0</v>
      </c>
      <c r="I263" s="7">
        <v>4.0142726E7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5" t="s">
        <v>585</v>
      </c>
      <c r="B264" s="5" t="s">
        <v>586</v>
      </c>
      <c r="C264" s="4" t="s">
        <v>34</v>
      </c>
      <c r="D264" s="6" t="e">
        <v>#N/A</v>
      </c>
      <c r="E264" s="6" t="e">
        <v>#N/A</v>
      </c>
      <c r="F264" s="4"/>
      <c r="G264" s="4"/>
      <c r="H264" s="4"/>
      <c r="I264" s="7" t="e">
        <v>#N/A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5" t="s">
        <v>587</v>
      </c>
      <c r="B265" s="5" t="s">
        <v>588</v>
      </c>
      <c r="C265" s="4" t="s">
        <v>17</v>
      </c>
      <c r="D265" s="6">
        <v>0.01</v>
      </c>
      <c r="E265" s="6">
        <v>0.01</v>
      </c>
      <c r="F265" s="4"/>
      <c r="G265" s="7">
        <v>0.03</v>
      </c>
      <c r="H265" s="7">
        <v>0.01</v>
      </c>
      <c r="I265" s="7">
        <v>9561816.0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5" t="s">
        <v>589</v>
      </c>
      <c r="B266" s="5" t="s">
        <v>590</v>
      </c>
      <c r="C266" s="4" t="s">
        <v>37</v>
      </c>
      <c r="D266" s="6">
        <v>0.02</v>
      </c>
      <c r="E266" s="6">
        <v>0.02</v>
      </c>
      <c r="F266" s="4"/>
      <c r="G266" s="7">
        <v>0.03</v>
      </c>
      <c r="H266" s="7">
        <v>0.01</v>
      </c>
      <c r="I266" s="7">
        <v>3.3131134E7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5" t="s">
        <v>591</v>
      </c>
      <c r="B267" s="5" t="s">
        <v>592</v>
      </c>
      <c r="C267" s="4" t="s">
        <v>68</v>
      </c>
      <c r="D267" s="6">
        <v>0.14</v>
      </c>
      <c r="E267" s="6">
        <v>0.14</v>
      </c>
      <c r="F267" s="4"/>
      <c r="G267" s="7">
        <v>0.19</v>
      </c>
      <c r="H267" s="7">
        <v>0.07</v>
      </c>
      <c r="I267" s="7">
        <v>1.2476849E8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5" t="s">
        <v>593</v>
      </c>
      <c r="B268" s="5" t="s">
        <v>594</v>
      </c>
      <c r="C268" s="4" t="s">
        <v>156</v>
      </c>
      <c r="D268" s="6">
        <v>0.08</v>
      </c>
      <c r="E268" s="6">
        <v>0.07</v>
      </c>
      <c r="F268" s="4"/>
      <c r="G268" s="7">
        <v>0.13</v>
      </c>
      <c r="H268" s="7">
        <v>0.05</v>
      </c>
      <c r="I268" s="7">
        <v>2.2679725E7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5" t="s">
        <v>595</v>
      </c>
      <c r="B269" s="5" t="s">
        <v>596</v>
      </c>
      <c r="C269" s="4" t="s">
        <v>121</v>
      </c>
      <c r="D269" s="6">
        <v>0.13</v>
      </c>
      <c r="E269" s="6">
        <v>0.13</v>
      </c>
      <c r="F269" s="4"/>
      <c r="G269" s="7">
        <v>0.54</v>
      </c>
      <c r="H269" s="7">
        <v>0.09</v>
      </c>
      <c r="I269" s="7">
        <v>1.1041549E7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5" t="s">
        <v>597</v>
      </c>
      <c r="B270" s="5" t="s">
        <v>598</v>
      </c>
      <c r="C270" s="4" t="s">
        <v>172</v>
      </c>
      <c r="D270" s="6">
        <v>0.01</v>
      </c>
      <c r="E270" s="6">
        <v>0.01</v>
      </c>
      <c r="F270" s="4"/>
      <c r="G270" s="7">
        <v>0.01</v>
      </c>
      <c r="H270" s="7">
        <v>0.0</v>
      </c>
      <c r="I270" s="7">
        <v>2.9755051E7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5" t="s">
        <v>599</v>
      </c>
      <c r="B271" s="5" t="s">
        <v>600</v>
      </c>
      <c r="C271" s="4" t="s">
        <v>601</v>
      </c>
      <c r="D271" s="6">
        <v>0.11</v>
      </c>
      <c r="E271" s="6">
        <v>0.11</v>
      </c>
      <c r="F271" s="4"/>
      <c r="G271" s="7">
        <v>0.16</v>
      </c>
      <c r="H271" s="7">
        <v>0.07</v>
      </c>
      <c r="I271" s="7">
        <v>3.4593603E7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5" t="s">
        <v>602</v>
      </c>
      <c r="B272" s="5" t="s">
        <v>603</v>
      </c>
      <c r="C272" s="4" t="s">
        <v>23</v>
      </c>
      <c r="D272" s="6">
        <v>1.1</v>
      </c>
      <c r="E272" s="6">
        <v>1.05</v>
      </c>
      <c r="F272" s="4"/>
      <c r="G272" s="7">
        <v>4.4</v>
      </c>
      <c r="H272" s="7">
        <v>1.0</v>
      </c>
      <c r="I272" s="7">
        <v>1.05811057E8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5" t="s">
        <v>604</v>
      </c>
      <c r="B273" s="5" t="s">
        <v>605</v>
      </c>
      <c r="C273" s="4" t="s">
        <v>17</v>
      </c>
      <c r="D273" s="6">
        <v>0.23</v>
      </c>
      <c r="E273" s="6">
        <v>0.23</v>
      </c>
      <c r="F273" s="4"/>
      <c r="G273" s="7">
        <v>0.38</v>
      </c>
      <c r="H273" s="7">
        <v>0.18</v>
      </c>
      <c r="I273" s="7">
        <v>7.9760091E7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5" t="s">
        <v>606</v>
      </c>
      <c r="B274" s="5" t="s">
        <v>607</v>
      </c>
      <c r="C274" s="4" t="s">
        <v>37</v>
      </c>
      <c r="D274" s="6">
        <v>0.14</v>
      </c>
      <c r="E274" s="6">
        <v>0.15</v>
      </c>
      <c r="F274" s="4"/>
      <c r="G274" s="7">
        <v>0.18</v>
      </c>
      <c r="H274" s="7">
        <v>0.03</v>
      </c>
      <c r="I274" s="7">
        <v>5.4598796E7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5" t="s">
        <v>608</v>
      </c>
      <c r="B275" s="5" t="s">
        <v>609</v>
      </c>
      <c r="C275" s="4" t="s">
        <v>274</v>
      </c>
      <c r="D275" s="6">
        <v>7.45</v>
      </c>
      <c r="E275" s="6">
        <v>7.66</v>
      </c>
      <c r="F275" s="4"/>
      <c r="G275" s="7">
        <v>13.36</v>
      </c>
      <c r="H275" s="7">
        <v>4.26</v>
      </c>
      <c r="I275" s="7">
        <v>2.02692047E8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5" t="s">
        <v>610</v>
      </c>
      <c r="B276" s="5" t="s">
        <v>611</v>
      </c>
      <c r="C276" s="4" t="s">
        <v>17</v>
      </c>
      <c r="D276" s="6">
        <v>0.01</v>
      </c>
      <c r="E276" s="6">
        <v>0.01</v>
      </c>
      <c r="F276" s="4"/>
      <c r="G276" s="7">
        <v>0.02</v>
      </c>
      <c r="H276" s="7">
        <v>0.01</v>
      </c>
      <c r="I276" s="7">
        <v>5775000.0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5" t="s">
        <v>612</v>
      </c>
      <c r="B277" s="5" t="s">
        <v>613</v>
      </c>
      <c r="C277" s="4" t="s">
        <v>17</v>
      </c>
      <c r="D277" s="6">
        <v>0.05</v>
      </c>
      <c r="E277" s="6">
        <v>0.05</v>
      </c>
      <c r="F277" s="4"/>
      <c r="G277" s="7">
        <v>0.1</v>
      </c>
      <c r="H277" s="7">
        <v>0.03</v>
      </c>
      <c r="I277" s="7">
        <v>5.036735E7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5" t="s">
        <v>614</v>
      </c>
      <c r="B278" s="5" t="s">
        <v>615</v>
      </c>
      <c r="C278" s="4" t="s">
        <v>86</v>
      </c>
      <c r="D278" s="6">
        <v>0.28</v>
      </c>
      <c r="E278" s="6">
        <v>0.28</v>
      </c>
      <c r="F278" s="7">
        <v>17.96</v>
      </c>
      <c r="G278" s="7">
        <v>0.35</v>
      </c>
      <c r="H278" s="7">
        <v>0.14</v>
      </c>
      <c r="I278" s="7">
        <v>5.1450728E7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5" t="s">
        <v>616</v>
      </c>
      <c r="B279" s="5" t="s">
        <v>617</v>
      </c>
      <c r="C279" s="4" t="s">
        <v>618</v>
      </c>
      <c r="D279" s="6">
        <v>0.95</v>
      </c>
      <c r="E279" s="6">
        <v>0.95</v>
      </c>
      <c r="F279" s="7">
        <v>9.34</v>
      </c>
      <c r="G279" s="7">
        <v>2.46</v>
      </c>
      <c r="H279" s="7">
        <v>0.89</v>
      </c>
      <c r="I279" s="7">
        <v>5.65130313E8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5" t="s">
        <v>619</v>
      </c>
      <c r="B280" s="5" t="s">
        <v>620</v>
      </c>
      <c r="C280" s="4" t="s">
        <v>17</v>
      </c>
      <c r="D280" s="6">
        <v>0.01</v>
      </c>
      <c r="E280" s="6">
        <v>0.01</v>
      </c>
      <c r="F280" s="7">
        <v>18.92</v>
      </c>
      <c r="G280" s="7">
        <v>0.01</v>
      </c>
      <c r="H280" s="7">
        <v>0.01</v>
      </c>
      <c r="I280" s="7">
        <v>4940124.0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5" t="s">
        <v>621</v>
      </c>
      <c r="B281" s="5" t="s">
        <v>622</v>
      </c>
      <c r="C281" s="4" t="s">
        <v>328</v>
      </c>
      <c r="D281" s="6">
        <v>0.35</v>
      </c>
      <c r="E281" s="6">
        <v>0.34</v>
      </c>
      <c r="F281" s="4"/>
      <c r="G281" s="7">
        <v>0.59</v>
      </c>
      <c r="H281" s="7">
        <v>0.22</v>
      </c>
      <c r="I281" s="7">
        <v>8.9196448E7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5" t="s">
        <v>623</v>
      </c>
      <c r="B282" s="5" t="s">
        <v>624</v>
      </c>
      <c r="C282" s="4" t="s">
        <v>141</v>
      </c>
      <c r="D282" s="6">
        <v>0.01</v>
      </c>
      <c r="E282" s="6">
        <v>0.01</v>
      </c>
      <c r="F282" s="4"/>
      <c r="G282" s="7">
        <v>0.06</v>
      </c>
      <c r="H282" s="7">
        <v>0.01</v>
      </c>
      <c r="I282" s="7">
        <v>6819980.0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5" t="s">
        <v>625</v>
      </c>
      <c r="B283" s="5" t="s">
        <v>626</v>
      </c>
      <c r="C283" s="4" t="s">
        <v>447</v>
      </c>
      <c r="D283" s="6">
        <v>0.1</v>
      </c>
      <c r="E283" s="6">
        <v>0.09</v>
      </c>
      <c r="F283" s="4"/>
      <c r="G283" s="7">
        <v>0.14</v>
      </c>
      <c r="H283" s="7">
        <v>0.05</v>
      </c>
      <c r="I283" s="7">
        <v>9990188.0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5" t="s">
        <v>627</v>
      </c>
      <c r="B284" s="5" t="s">
        <v>628</v>
      </c>
      <c r="C284" s="4" t="s">
        <v>37</v>
      </c>
      <c r="D284" s="6">
        <v>0.04</v>
      </c>
      <c r="E284" s="6">
        <v>0.04</v>
      </c>
      <c r="F284" s="4"/>
      <c r="G284" s="7">
        <v>0.06</v>
      </c>
      <c r="H284" s="7">
        <v>0.03</v>
      </c>
      <c r="I284" s="7">
        <v>2.466366E7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5" t="s">
        <v>629</v>
      </c>
      <c r="B285" s="5" t="s">
        <v>630</v>
      </c>
      <c r="C285" s="4" t="s">
        <v>76</v>
      </c>
      <c r="D285" s="6">
        <v>0.02</v>
      </c>
      <c r="E285" s="6">
        <v>0.02</v>
      </c>
      <c r="F285" s="4"/>
      <c r="G285" s="7">
        <v>0.05</v>
      </c>
      <c r="H285" s="7">
        <v>0.01</v>
      </c>
      <c r="I285" s="7">
        <v>4811360.0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5" t="s">
        <v>631</v>
      </c>
      <c r="B286" s="5" t="s">
        <v>632</v>
      </c>
      <c r="C286" s="4" t="s">
        <v>162</v>
      </c>
      <c r="D286" s="6" t="e">
        <v>#N/A</v>
      </c>
      <c r="E286" s="6" t="e">
        <v>#N/A</v>
      </c>
      <c r="F286" s="4"/>
      <c r="G286" s="4"/>
      <c r="H286" s="4"/>
      <c r="I286" s="7" t="e">
        <v>#N/A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5" t="s">
        <v>633</v>
      </c>
      <c r="B287" s="5" t="s">
        <v>634</v>
      </c>
      <c r="C287" s="4" t="s">
        <v>34</v>
      </c>
      <c r="D287" s="6">
        <v>10.05</v>
      </c>
      <c r="E287" s="6">
        <v>10.02</v>
      </c>
      <c r="F287" s="4"/>
      <c r="G287" s="7">
        <v>10.79</v>
      </c>
      <c r="H287" s="7">
        <v>9.31</v>
      </c>
      <c r="I287" s="7" t="e">
        <v>#N/A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5" t="s">
        <v>635</v>
      </c>
      <c r="B288" s="5" t="s">
        <v>636</v>
      </c>
      <c r="C288" s="4" t="s">
        <v>86</v>
      </c>
      <c r="D288" s="6">
        <v>0.0</v>
      </c>
      <c r="E288" s="6">
        <v>0.01</v>
      </c>
      <c r="F288" s="7">
        <v>7.41</v>
      </c>
      <c r="G288" s="7">
        <v>0.01</v>
      </c>
      <c r="H288" s="7">
        <v>0.0</v>
      </c>
      <c r="I288" s="7">
        <v>3685156.0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5" t="s">
        <v>637</v>
      </c>
      <c r="B289" s="5" t="s">
        <v>638</v>
      </c>
      <c r="C289" s="4" t="s">
        <v>447</v>
      </c>
      <c r="D289" s="6">
        <v>0.01</v>
      </c>
      <c r="E289" s="6">
        <v>0.01</v>
      </c>
      <c r="F289" s="4"/>
      <c r="G289" s="7">
        <v>0.01</v>
      </c>
      <c r="H289" s="7">
        <v>0.0</v>
      </c>
      <c r="I289" s="7">
        <v>4950479.0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5" t="s">
        <v>639</v>
      </c>
      <c r="B290" s="5" t="s">
        <v>640</v>
      </c>
      <c r="C290" s="4" t="s">
        <v>17</v>
      </c>
      <c r="D290" s="6">
        <v>0.02</v>
      </c>
      <c r="E290" s="6">
        <v>0.02</v>
      </c>
      <c r="F290" s="4"/>
      <c r="G290" s="7">
        <v>0.06</v>
      </c>
      <c r="H290" s="7">
        <v>0.02</v>
      </c>
      <c r="I290" s="7" t="e">
        <v>#N/A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5" t="s">
        <v>641</v>
      </c>
      <c r="B291" s="5" t="s">
        <v>642</v>
      </c>
      <c r="C291" s="4" t="s">
        <v>37</v>
      </c>
      <c r="D291" s="6">
        <v>0.03</v>
      </c>
      <c r="E291" s="6">
        <v>0.03</v>
      </c>
      <c r="F291" s="4"/>
      <c r="G291" s="7">
        <v>0.04</v>
      </c>
      <c r="H291" s="7">
        <v>0.02</v>
      </c>
      <c r="I291" s="7">
        <v>1.8541804E7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5" t="s">
        <v>643</v>
      </c>
      <c r="B292" s="5" t="s">
        <v>644</v>
      </c>
      <c r="C292" s="4" t="s">
        <v>645</v>
      </c>
      <c r="D292" s="6">
        <v>3.6</v>
      </c>
      <c r="E292" s="6">
        <v>3.65</v>
      </c>
      <c r="F292" s="7">
        <v>21.28</v>
      </c>
      <c r="G292" s="7">
        <v>3.68</v>
      </c>
      <c r="H292" s="7">
        <v>2.87</v>
      </c>
      <c r="I292" s="7">
        <v>6.301598233E9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5" t="s">
        <v>646</v>
      </c>
      <c r="B293" s="5" t="s">
        <v>647</v>
      </c>
      <c r="C293" s="4" t="s">
        <v>17</v>
      </c>
      <c r="D293" s="6">
        <v>0.58</v>
      </c>
      <c r="E293" s="6">
        <v>0.6</v>
      </c>
      <c r="F293" s="4"/>
      <c r="G293" s="7">
        <v>0.83</v>
      </c>
      <c r="H293" s="7">
        <v>0.26</v>
      </c>
      <c r="I293" s="7">
        <v>3.84197846E8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5" t="s">
        <v>648</v>
      </c>
      <c r="B294" s="5" t="s">
        <v>649</v>
      </c>
      <c r="C294" s="4" t="s">
        <v>14</v>
      </c>
      <c r="D294" s="6">
        <v>2.44</v>
      </c>
      <c r="E294" s="6">
        <v>2.47</v>
      </c>
      <c r="F294" s="7">
        <v>18.93</v>
      </c>
      <c r="G294" s="7">
        <v>2.77</v>
      </c>
      <c r="H294" s="7">
        <v>0.9</v>
      </c>
      <c r="I294" s="7">
        <v>1.2150439E8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5" t="s">
        <v>650</v>
      </c>
      <c r="B295" s="5" t="s">
        <v>651</v>
      </c>
      <c r="C295" s="4" t="s">
        <v>34</v>
      </c>
      <c r="D295" s="6">
        <v>9.96</v>
      </c>
      <c r="E295" s="6">
        <v>9.96</v>
      </c>
      <c r="F295" s="4"/>
      <c r="G295" s="7">
        <v>10.1</v>
      </c>
      <c r="H295" s="7">
        <v>9.8</v>
      </c>
      <c r="I295" s="7" t="e">
        <v>#N/A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5" t="s">
        <v>652</v>
      </c>
      <c r="B296" s="5" t="s">
        <v>653</v>
      </c>
      <c r="C296" s="4" t="s">
        <v>34</v>
      </c>
      <c r="D296" s="6" t="e">
        <v>#N/A</v>
      </c>
      <c r="E296" s="6" t="e">
        <v>#N/A</v>
      </c>
      <c r="F296" s="4"/>
      <c r="G296" s="4"/>
      <c r="H296" s="4"/>
      <c r="I296" s="7" t="e">
        <v>#N/A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5" t="s">
        <v>654</v>
      </c>
      <c r="B297" s="5" t="s">
        <v>655</v>
      </c>
      <c r="C297" s="4" t="s">
        <v>146</v>
      </c>
      <c r="D297" s="6">
        <v>2.15</v>
      </c>
      <c r="E297" s="6">
        <v>2.07</v>
      </c>
      <c r="F297" s="7">
        <v>26.18</v>
      </c>
      <c r="G297" s="7">
        <v>5.47</v>
      </c>
      <c r="H297" s="7">
        <v>1.67</v>
      </c>
      <c r="I297" s="7">
        <v>7.29736907E8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5" t="s">
        <v>656</v>
      </c>
      <c r="B298" s="5" t="s">
        <v>657</v>
      </c>
      <c r="C298" s="4" t="s">
        <v>76</v>
      </c>
      <c r="D298" s="6">
        <v>0.05</v>
      </c>
      <c r="E298" s="6">
        <v>0.05</v>
      </c>
      <c r="F298" s="4"/>
      <c r="G298" s="7">
        <v>0.09</v>
      </c>
      <c r="H298" s="7">
        <v>0.02</v>
      </c>
      <c r="I298" s="7">
        <v>1.596934E7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5" t="s">
        <v>658</v>
      </c>
      <c r="B299" s="5" t="s">
        <v>659</v>
      </c>
      <c r="C299" s="4" t="s">
        <v>14</v>
      </c>
      <c r="D299" s="6">
        <v>0.83</v>
      </c>
      <c r="E299" s="6">
        <v>0.81</v>
      </c>
      <c r="F299" s="4"/>
      <c r="G299" s="7">
        <v>1.11</v>
      </c>
      <c r="H299" s="7">
        <v>0.26</v>
      </c>
      <c r="I299" s="7">
        <v>7.2595444E7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5" t="s">
        <v>660</v>
      </c>
      <c r="B300" s="5" t="s">
        <v>661</v>
      </c>
      <c r="C300" s="4" t="s">
        <v>34</v>
      </c>
      <c r="D300" s="6" t="e">
        <v>#N/A</v>
      </c>
      <c r="E300" s="6" t="e">
        <v>#N/A</v>
      </c>
      <c r="F300" s="4"/>
      <c r="G300" s="4"/>
      <c r="H300" s="4"/>
      <c r="I300" s="7" t="e">
        <v>#N/A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5" t="s">
        <v>662</v>
      </c>
      <c r="B301" s="5" t="s">
        <v>663</v>
      </c>
      <c r="C301" s="4" t="s">
        <v>411</v>
      </c>
      <c r="D301" s="6">
        <v>0.29</v>
      </c>
      <c r="E301" s="6">
        <v>0.29</v>
      </c>
      <c r="F301" s="7">
        <v>26.85</v>
      </c>
      <c r="G301" s="7">
        <v>0.34</v>
      </c>
      <c r="H301" s="7">
        <v>0.25</v>
      </c>
      <c r="I301" s="7">
        <v>3.444621E7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5" t="s">
        <v>664</v>
      </c>
      <c r="B302" s="5" t="s">
        <v>665</v>
      </c>
      <c r="C302" s="4" t="s">
        <v>34</v>
      </c>
      <c r="D302" s="6" t="e">
        <v>#N/A</v>
      </c>
      <c r="E302" s="6" t="e">
        <v>#N/A</v>
      </c>
      <c r="F302" s="4"/>
      <c r="G302" s="4"/>
      <c r="H302" s="4"/>
      <c r="I302" s="7" t="e">
        <v>#N/A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5" t="s">
        <v>666</v>
      </c>
      <c r="B303" s="5" t="s">
        <v>667</v>
      </c>
      <c r="C303" s="4" t="s">
        <v>668</v>
      </c>
      <c r="D303" s="6">
        <v>1.46</v>
      </c>
      <c r="E303" s="6">
        <v>1.45</v>
      </c>
      <c r="F303" s="7">
        <v>19.14</v>
      </c>
      <c r="G303" s="7">
        <v>2.03</v>
      </c>
      <c r="H303" s="7">
        <v>0.88</v>
      </c>
      <c r="I303" s="7">
        <v>1.43139308E8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5" t="s">
        <v>669</v>
      </c>
      <c r="B304" s="5" t="s">
        <v>670</v>
      </c>
      <c r="C304" s="4" t="s">
        <v>397</v>
      </c>
      <c r="D304" s="6">
        <v>2.46</v>
      </c>
      <c r="E304" s="6">
        <v>2.56</v>
      </c>
      <c r="F304" s="7">
        <v>36.63</v>
      </c>
      <c r="G304" s="7">
        <v>3.29</v>
      </c>
      <c r="H304" s="7">
        <v>1.33</v>
      </c>
      <c r="I304" s="7">
        <v>3.33085727E8</v>
      </c>
      <c r="J304" s="7">
        <v>0.024</v>
      </c>
      <c r="K304" s="7">
        <v>0.024</v>
      </c>
      <c r="L304" s="7">
        <v>0.027</v>
      </c>
      <c r="M304" s="7">
        <v>0.024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5" t="s">
        <v>671</v>
      </c>
      <c r="B305" s="5" t="s">
        <v>672</v>
      </c>
      <c r="C305" s="4" t="s">
        <v>34</v>
      </c>
      <c r="D305" s="6" t="e">
        <v>#N/A</v>
      </c>
      <c r="E305" s="6" t="e">
        <v>#N/A</v>
      </c>
      <c r="F305" s="4"/>
      <c r="G305" s="4"/>
      <c r="H305" s="4"/>
      <c r="I305" s="7" t="e">
        <v>#N/A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5" t="s">
        <v>673</v>
      </c>
      <c r="B306" s="5" t="s">
        <v>674</v>
      </c>
      <c r="C306" s="4" t="s">
        <v>14</v>
      </c>
      <c r="D306" s="6">
        <v>0.21</v>
      </c>
      <c r="E306" s="6">
        <v>0.2</v>
      </c>
      <c r="F306" s="4"/>
      <c r="G306" s="7">
        <v>0.4</v>
      </c>
      <c r="H306" s="7">
        <v>0.19</v>
      </c>
      <c r="I306" s="7">
        <v>2.18957963E8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5" t="s">
        <v>675</v>
      </c>
      <c r="B307" s="5" t="s">
        <v>676</v>
      </c>
      <c r="C307" s="4" t="s">
        <v>34</v>
      </c>
      <c r="D307" s="6" t="e">
        <v>#N/A</v>
      </c>
      <c r="E307" s="6" t="e">
        <v>#N/A</v>
      </c>
      <c r="F307" s="4"/>
      <c r="G307" s="4"/>
      <c r="H307" s="4"/>
      <c r="I307" s="7" t="e">
        <v>#N/A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5" t="s">
        <v>677</v>
      </c>
      <c r="B308" s="5" t="s">
        <v>678</v>
      </c>
      <c r="C308" s="4" t="s">
        <v>86</v>
      </c>
      <c r="D308" s="6">
        <v>1.27</v>
      </c>
      <c r="E308" s="6">
        <v>1.24</v>
      </c>
      <c r="F308" s="4"/>
      <c r="G308" s="7">
        <v>1.5</v>
      </c>
      <c r="H308" s="7">
        <v>0.55</v>
      </c>
      <c r="I308" s="7">
        <v>9.23310433E8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5" t="s">
        <v>679</v>
      </c>
      <c r="B309" s="5" t="s">
        <v>680</v>
      </c>
      <c r="C309" s="4" t="s">
        <v>37</v>
      </c>
      <c r="D309" s="6">
        <v>0.4</v>
      </c>
      <c r="E309" s="6">
        <v>0.39</v>
      </c>
      <c r="F309" s="7">
        <v>104.77</v>
      </c>
      <c r="G309" s="7">
        <v>0.5</v>
      </c>
      <c r="H309" s="7">
        <v>0.05</v>
      </c>
      <c r="I309" s="7">
        <v>6.3659702E7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5" t="s">
        <v>681</v>
      </c>
      <c r="B310" s="5" t="s">
        <v>682</v>
      </c>
      <c r="C310" s="4" t="s">
        <v>210</v>
      </c>
      <c r="D310" s="6">
        <v>0.08</v>
      </c>
      <c r="E310" s="6">
        <v>0.08</v>
      </c>
      <c r="F310" s="4"/>
      <c r="G310" s="7">
        <v>0.8</v>
      </c>
      <c r="H310" s="7">
        <v>0.07</v>
      </c>
      <c r="I310" s="7">
        <v>8081820.0</v>
      </c>
      <c r="J310" s="7">
        <v>0.002</v>
      </c>
      <c r="K310" s="7">
        <v>0.002</v>
      </c>
      <c r="L310" s="7">
        <v>0.006</v>
      </c>
      <c r="M310" s="7">
        <v>0.001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5" t="s">
        <v>681</v>
      </c>
      <c r="B311" s="5" t="s">
        <v>682</v>
      </c>
      <c r="C311" s="4" t="s">
        <v>210</v>
      </c>
      <c r="D311" s="6">
        <v>0.08</v>
      </c>
      <c r="E311" s="6">
        <v>0.08</v>
      </c>
      <c r="F311" s="4"/>
      <c r="G311" s="7">
        <v>0.8</v>
      </c>
      <c r="H311" s="7">
        <v>0.07</v>
      </c>
      <c r="I311" s="7">
        <v>8081820.0</v>
      </c>
      <c r="J311" s="7">
        <v>0.002</v>
      </c>
      <c r="K311" s="7">
        <v>0.002</v>
      </c>
      <c r="L311" s="7">
        <v>0.006</v>
      </c>
      <c r="M311" s="7">
        <v>0.001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5" t="s">
        <v>683</v>
      </c>
      <c r="B312" s="5" t="s">
        <v>684</v>
      </c>
      <c r="C312" s="4" t="s">
        <v>156</v>
      </c>
      <c r="D312" s="6">
        <v>0.09</v>
      </c>
      <c r="E312" s="6">
        <v>0.09</v>
      </c>
      <c r="F312" s="4"/>
      <c r="G312" s="7">
        <v>0.18</v>
      </c>
      <c r="H312" s="7">
        <v>0.06</v>
      </c>
      <c r="I312" s="7">
        <v>7345860.0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5" t="s">
        <v>685</v>
      </c>
      <c r="B313" s="5" t="s">
        <v>686</v>
      </c>
      <c r="C313" s="4" t="s">
        <v>17</v>
      </c>
      <c r="D313" s="6">
        <v>0.39</v>
      </c>
      <c r="E313" s="6">
        <v>0.39</v>
      </c>
      <c r="F313" s="4"/>
      <c r="G313" s="7">
        <v>0.43</v>
      </c>
      <c r="H313" s="7">
        <v>0.21</v>
      </c>
      <c r="I313" s="7">
        <v>1.130967588E9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5" t="s">
        <v>687</v>
      </c>
      <c r="B314" s="5" t="s">
        <v>688</v>
      </c>
      <c r="C314" s="4" t="s">
        <v>210</v>
      </c>
      <c r="D314" s="6">
        <v>0.02</v>
      </c>
      <c r="E314" s="6">
        <v>0.01</v>
      </c>
      <c r="F314" s="4"/>
      <c r="G314" s="7">
        <v>0.02</v>
      </c>
      <c r="H314" s="7">
        <v>0.01</v>
      </c>
      <c r="I314" s="7">
        <v>8.259407E8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5" t="s">
        <v>687</v>
      </c>
      <c r="B315" s="5" t="s">
        <v>688</v>
      </c>
      <c r="C315" s="4" t="s">
        <v>210</v>
      </c>
      <c r="D315" s="6">
        <v>0.02</v>
      </c>
      <c r="E315" s="6">
        <v>0.01</v>
      </c>
      <c r="F315" s="4"/>
      <c r="G315" s="7">
        <v>0.02</v>
      </c>
      <c r="H315" s="7">
        <v>0.01</v>
      </c>
      <c r="I315" s="7">
        <v>8.259407E8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5" t="s">
        <v>689</v>
      </c>
      <c r="B316" s="5" t="s">
        <v>690</v>
      </c>
      <c r="C316" s="4" t="s">
        <v>17</v>
      </c>
      <c r="D316" s="6">
        <v>0.03</v>
      </c>
      <c r="E316" s="6">
        <v>0.03</v>
      </c>
      <c r="F316" s="4"/>
      <c r="G316" s="7">
        <v>0.05</v>
      </c>
      <c r="H316" s="7">
        <v>0.01</v>
      </c>
      <c r="I316" s="7">
        <v>4.6583587E7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5" t="s">
        <v>691</v>
      </c>
      <c r="B317" s="5" t="s">
        <v>692</v>
      </c>
      <c r="C317" s="4" t="s">
        <v>86</v>
      </c>
      <c r="D317" s="6">
        <v>2.98</v>
      </c>
      <c r="E317" s="6">
        <v>2.8</v>
      </c>
      <c r="F317" s="4"/>
      <c r="G317" s="7">
        <v>3.1</v>
      </c>
      <c r="H317" s="7">
        <v>0.88</v>
      </c>
      <c r="I317" s="7">
        <v>3.25663342E8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5" t="s">
        <v>693</v>
      </c>
      <c r="B318" s="5" t="s">
        <v>694</v>
      </c>
      <c r="C318" s="4" t="s">
        <v>34</v>
      </c>
      <c r="D318" s="6">
        <v>11.98</v>
      </c>
      <c r="E318" s="6">
        <v>11.97</v>
      </c>
      <c r="F318" s="4"/>
      <c r="G318" s="7">
        <v>12.09</v>
      </c>
      <c r="H318" s="7">
        <v>10.4</v>
      </c>
      <c r="I318" s="7" t="e">
        <v>#N/A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5" t="s">
        <v>695</v>
      </c>
      <c r="B319" s="5" t="s">
        <v>696</v>
      </c>
      <c r="C319" s="4" t="s">
        <v>447</v>
      </c>
      <c r="D319" s="6">
        <v>0.02</v>
      </c>
      <c r="E319" s="6">
        <v>0.02</v>
      </c>
      <c r="F319" s="4"/>
      <c r="G319" s="7">
        <v>0.09</v>
      </c>
      <c r="H319" s="7">
        <v>0.01</v>
      </c>
      <c r="I319" s="7">
        <v>1.8121983E7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5" t="s">
        <v>697</v>
      </c>
      <c r="B320" s="5" t="s">
        <v>698</v>
      </c>
      <c r="C320" s="4" t="s">
        <v>274</v>
      </c>
      <c r="D320" s="6">
        <v>0.1</v>
      </c>
      <c r="E320" s="6">
        <v>0.11</v>
      </c>
      <c r="F320" s="4"/>
      <c r="G320" s="7">
        <v>0.13</v>
      </c>
      <c r="H320" s="7">
        <v>0.05</v>
      </c>
      <c r="I320" s="7">
        <v>3.513372E7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5" t="s">
        <v>699</v>
      </c>
      <c r="B321" s="5" t="s">
        <v>700</v>
      </c>
      <c r="C321" s="4" t="s">
        <v>34</v>
      </c>
      <c r="D321" s="6">
        <v>7.39</v>
      </c>
      <c r="E321" s="6">
        <v>7.42</v>
      </c>
      <c r="F321" s="4"/>
      <c r="G321" s="7">
        <v>8.87</v>
      </c>
      <c r="H321" s="7">
        <v>7.06</v>
      </c>
      <c r="I321" s="7" t="e">
        <v>#N/A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5" t="s">
        <v>701</v>
      </c>
      <c r="B322" s="5" t="s">
        <v>702</v>
      </c>
      <c r="C322" s="4" t="s">
        <v>169</v>
      </c>
      <c r="D322" s="6">
        <v>0.02</v>
      </c>
      <c r="E322" s="6">
        <v>0.02</v>
      </c>
      <c r="F322" s="4"/>
      <c r="G322" s="7">
        <v>0.04</v>
      </c>
      <c r="H322" s="7">
        <v>0.01</v>
      </c>
      <c r="I322" s="7">
        <v>1674810.0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5" t="s">
        <v>703</v>
      </c>
      <c r="B323" s="5" t="s">
        <v>704</v>
      </c>
      <c r="C323" s="4" t="s">
        <v>34</v>
      </c>
      <c r="D323" s="6">
        <v>32.22</v>
      </c>
      <c r="E323" s="6">
        <v>32.15</v>
      </c>
      <c r="F323" s="4"/>
      <c r="G323" s="7">
        <v>33.5</v>
      </c>
      <c r="H323" s="7">
        <v>29.39</v>
      </c>
      <c r="I323" s="7" t="e">
        <v>#N/A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5" t="s">
        <v>705</v>
      </c>
      <c r="B324" s="5" t="s">
        <v>706</v>
      </c>
      <c r="C324" s="4" t="s">
        <v>411</v>
      </c>
      <c r="D324" s="6">
        <v>10.61</v>
      </c>
      <c r="E324" s="6">
        <v>10.52</v>
      </c>
      <c r="F324" s="4"/>
      <c r="G324" s="7">
        <v>13.73</v>
      </c>
      <c r="H324" s="7">
        <v>9.5</v>
      </c>
      <c r="I324" s="7">
        <v>6.02639068E9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5" t="s">
        <v>707</v>
      </c>
      <c r="B325" s="5" t="s">
        <v>708</v>
      </c>
      <c r="C325" s="4" t="s">
        <v>14</v>
      </c>
      <c r="D325" s="6">
        <v>0.14</v>
      </c>
      <c r="E325" s="6">
        <v>0.14</v>
      </c>
      <c r="F325" s="4"/>
      <c r="G325" s="7">
        <v>0.37</v>
      </c>
      <c r="H325" s="7">
        <v>0.12</v>
      </c>
      <c r="I325" s="7">
        <v>9153680.0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5" t="s">
        <v>709</v>
      </c>
      <c r="B326" s="5" t="s">
        <v>710</v>
      </c>
      <c r="C326" s="4" t="s">
        <v>34</v>
      </c>
      <c r="D326" s="6">
        <v>12.3</v>
      </c>
      <c r="E326" s="6">
        <v>12.35</v>
      </c>
      <c r="F326" s="4"/>
      <c r="G326" s="7">
        <v>12.63</v>
      </c>
      <c r="H326" s="7">
        <v>12.19</v>
      </c>
      <c r="I326" s="7" t="e">
        <v>#N/A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5" t="s">
        <v>711</v>
      </c>
      <c r="B327" s="5" t="s">
        <v>712</v>
      </c>
      <c r="C327" s="4" t="s">
        <v>159</v>
      </c>
      <c r="D327" s="6">
        <v>0.19</v>
      </c>
      <c r="E327" s="6">
        <v>0.19</v>
      </c>
      <c r="F327" s="4"/>
      <c r="G327" s="7">
        <v>0.22</v>
      </c>
      <c r="H327" s="7">
        <v>0.09</v>
      </c>
      <c r="I327" s="7">
        <v>2.07252187E8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5" t="s">
        <v>713</v>
      </c>
      <c r="B328" s="5" t="s">
        <v>714</v>
      </c>
      <c r="C328" s="4" t="s">
        <v>86</v>
      </c>
      <c r="D328" s="6">
        <v>0.07</v>
      </c>
      <c r="E328" s="6">
        <v>0.07</v>
      </c>
      <c r="F328" s="4"/>
      <c r="G328" s="7">
        <v>0.1</v>
      </c>
      <c r="H328" s="7">
        <v>0.02</v>
      </c>
      <c r="I328" s="7">
        <v>2.5755733E7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5" t="s">
        <v>715</v>
      </c>
      <c r="B329" s="5" t="s">
        <v>716</v>
      </c>
      <c r="C329" s="4" t="s">
        <v>138</v>
      </c>
      <c r="D329" s="6">
        <v>1.35</v>
      </c>
      <c r="E329" s="6">
        <v>1.32</v>
      </c>
      <c r="F329" s="7">
        <v>18.39</v>
      </c>
      <c r="G329" s="7">
        <v>1.43</v>
      </c>
      <c r="H329" s="7">
        <v>1.11</v>
      </c>
      <c r="I329" s="7">
        <v>4.31364157E8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5" t="s">
        <v>717</v>
      </c>
      <c r="B330" s="5" t="s">
        <v>718</v>
      </c>
      <c r="C330" s="4" t="s">
        <v>411</v>
      </c>
      <c r="D330" s="6">
        <v>8.25</v>
      </c>
      <c r="E330" s="6">
        <v>8.25</v>
      </c>
      <c r="F330" s="7">
        <v>10.43</v>
      </c>
      <c r="G330" s="7">
        <v>8.89</v>
      </c>
      <c r="H330" s="7">
        <v>6.64</v>
      </c>
      <c r="I330" s="7">
        <v>3.854565E9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5" t="s">
        <v>719</v>
      </c>
      <c r="B331" s="5" t="s">
        <v>720</v>
      </c>
      <c r="C331" s="4" t="s">
        <v>96</v>
      </c>
      <c r="D331" s="6">
        <v>6.06</v>
      </c>
      <c r="E331" s="6">
        <v>6.06</v>
      </c>
      <c r="F331" s="4"/>
      <c r="G331" s="7">
        <v>6.3</v>
      </c>
      <c r="H331" s="7">
        <v>4.85</v>
      </c>
      <c r="I331" s="7">
        <v>1.85058642E9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5" t="s">
        <v>721</v>
      </c>
      <c r="B332" s="5" t="s">
        <v>722</v>
      </c>
      <c r="C332" s="4" t="s">
        <v>34</v>
      </c>
      <c r="D332" s="6">
        <v>81.07</v>
      </c>
      <c r="E332" s="6">
        <v>81.42</v>
      </c>
      <c r="F332" s="4"/>
      <c r="G332" s="7">
        <v>83.21</v>
      </c>
      <c r="H332" s="7">
        <v>64.85</v>
      </c>
      <c r="I332" s="7" t="e">
        <v>#N/A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5" t="s">
        <v>723</v>
      </c>
      <c r="B333" s="5" t="s">
        <v>724</v>
      </c>
      <c r="C333" s="4" t="s">
        <v>86</v>
      </c>
      <c r="D333" s="6">
        <v>1.31</v>
      </c>
      <c r="E333" s="6">
        <v>1.32</v>
      </c>
      <c r="F333" s="4"/>
      <c r="G333" s="7">
        <v>1.41</v>
      </c>
      <c r="H333" s="7">
        <v>0.23</v>
      </c>
      <c r="I333" s="7">
        <v>3.12517647E8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5" t="s">
        <v>725</v>
      </c>
      <c r="B334" s="5" t="s">
        <v>726</v>
      </c>
      <c r="C334" s="4" t="s">
        <v>182</v>
      </c>
      <c r="D334" s="6">
        <v>0.02</v>
      </c>
      <c r="E334" s="6">
        <v>0.02</v>
      </c>
      <c r="F334" s="4"/>
      <c r="G334" s="7">
        <v>0.05</v>
      </c>
      <c r="H334" s="7">
        <v>0.01</v>
      </c>
      <c r="I334" s="7">
        <v>5755944.0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5" t="s">
        <v>727</v>
      </c>
      <c r="B335" s="5" t="s">
        <v>728</v>
      </c>
      <c r="C335" s="4" t="s">
        <v>86</v>
      </c>
      <c r="D335" s="6">
        <v>1.7</v>
      </c>
      <c r="E335" s="6">
        <v>1.71</v>
      </c>
      <c r="F335" s="4"/>
      <c r="G335" s="7">
        <v>1.76</v>
      </c>
      <c r="H335" s="7">
        <v>0.78</v>
      </c>
      <c r="I335" s="7">
        <v>2.50991237E9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5" t="s">
        <v>729</v>
      </c>
      <c r="B336" s="5" t="s">
        <v>730</v>
      </c>
      <c r="C336" s="4" t="s">
        <v>195</v>
      </c>
      <c r="D336" s="6">
        <v>5.6</v>
      </c>
      <c r="E336" s="6">
        <v>5.6</v>
      </c>
      <c r="F336" s="4"/>
      <c r="G336" s="7">
        <v>5.6</v>
      </c>
      <c r="H336" s="7">
        <v>3.56</v>
      </c>
      <c r="I336" s="7">
        <v>1.138589E9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5" t="s">
        <v>731</v>
      </c>
      <c r="B337" s="5" t="s">
        <v>732</v>
      </c>
      <c r="C337" s="4" t="s">
        <v>265</v>
      </c>
      <c r="D337" s="6">
        <v>0.03</v>
      </c>
      <c r="E337" s="6">
        <v>0.02</v>
      </c>
      <c r="F337" s="4"/>
      <c r="G337" s="7">
        <v>0.07</v>
      </c>
      <c r="H337" s="7">
        <v>0.02</v>
      </c>
      <c r="I337" s="7">
        <v>8770512.0</v>
      </c>
      <c r="J337" s="7">
        <v>0.003</v>
      </c>
      <c r="K337" s="7">
        <v>0.003</v>
      </c>
      <c r="L337" s="7">
        <v>0.004</v>
      </c>
      <c r="M337" s="7">
        <v>0.002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5" t="s">
        <v>733</v>
      </c>
      <c r="B338" s="5" t="s">
        <v>734</v>
      </c>
      <c r="C338" s="4" t="s">
        <v>169</v>
      </c>
      <c r="D338" s="6">
        <v>0.2</v>
      </c>
      <c r="E338" s="6">
        <v>0.2</v>
      </c>
      <c r="F338" s="4"/>
      <c r="G338" s="7">
        <v>0.21</v>
      </c>
      <c r="H338" s="7">
        <v>0.18</v>
      </c>
      <c r="I338" s="7">
        <v>4831050.0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5" t="s">
        <v>735</v>
      </c>
      <c r="B339" s="5" t="s">
        <v>736</v>
      </c>
      <c r="C339" s="4" t="s">
        <v>86</v>
      </c>
      <c r="D339" s="6">
        <v>0.39</v>
      </c>
      <c r="E339" s="6">
        <v>0.41</v>
      </c>
      <c r="F339" s="4"/>
      <c r="G339" s="7">
        <v>0.42</v>
      </c>
      <c r="H339" s="7">
        <v>0.32</v>
      </c>
      <c r="I339" s="7" t="e">
        <v>#N/A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5" t="s">
        <v>737</v>
      </c>
      <c r="B340" s="5" t="s">
        <v>738</v>
      </c>
      <c r="C340" s="4" t="s">
        <v>37</v>
      </c>
      <c r="D340" s="6">
        <v>1.19</v>
      </c>
      <c r="E340" s="6">
        <v>1.17</v>
      </c>
      <c r="F340" s="4"/>
      <c r="G340" s="7">
        <v>1.25</v>
      </c>
      <c r="H340" s="7">
        <v>0.39</v>
      </c>
      <c r="I340" s="7">
        <v>1.93112449E8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5" t="s">
        <v>739</v>
      </c>
      <c r="B341" s="5" t="s">
        <v>740</v>
      </c>
      <c r="C341" s="4" t="s">
        <v>17</v>
      </c>
      <c r="D341" s="6">
        <v>45.76</v>
      </c>
      <c r="E341" s="6">
        <v>45.49</v>
      </c>
      <c r="F341" s="7">
        <v>17.26</v>
      </c>
      <c r="G341" s="7">
        <v>46.03</v>
      </c>
      <c r="H341" s="7">
        <v>33.25</v>
      </c>
      <c r="I341" s="7" t="s">
        <v>741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5" t="s">
        <v>742</v>
      </c>
      <c r="B342" s="5" t="s">
        <v>743</v>
      </c>
      <c r="C342" s="4" t="s">
        <v>34</v>
      </c>
      <c r="D342" s="6">
        <v>9.88</v>
      </c>
      <c r="E342" s="6">
        <v>9.91</v>
      </c>
      <c r="F342" s="4"/>
      <c r="G342" s="7">
        <v>10.02</v>
      </c>
      <c r="H342" s="7">
        <v>9.66</v>
      </c>
      <c r="I342" s="7" t="e">
        <v>#N/A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5" t="s">
        <v>744</v>
      </c>
      <c r="B343" s="5" t="s">
        <v>745</v>
      </c>
      <c r="C343" s="4" t="s">
        <v>34</v>
      </c>
      <c r="D343" s="6">
        <v>100.75</v>
      </c>
      <c r="E343" s="6">
        <v>100.75</v>
      </c>
      <c r="F343" s="4"/>
      <c r="G343" s="7">
        <v>100.86</v>
      </c>
      <c r="H343" s="7">
        <v>100.4</v>
      </c>
      <c r="I343" s="7" t="e">
        <v>#N/A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5" t="s">
        <v>746</v>
      </c>
      <c r="B344" s="5" t="s">
        <v>747</v>
      </c>
      <c r="C344" s="4" t="s">
        <v>86</v>
      </c>
      <c r="D344" s="6">
        <v>0.09</v>
      </c>
      <c r="E344" s="6">
        <v>0.1</v>
      </c>
      <c r="F344" s="4"/>
      <c r="G344" s="7">
        <v>0.16</v>
      </c>
      <c r="H344" s="7">
        <v>0.07</v>
      </c>
      <c r="I344" s="7">
        <v>8129157.0</v>
      </c>
      <c r="J344" s="7">
        <v>0.004</v>
      </c>
      <c r="K344" s="7">
        <v>0.004</v>
      </c>
      <c r="L344" s="7">
        <v>0.018</v>
      </c>
      <c r="M344" s="7">
        <v>0.003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5" t="s">
        <v>748</v>
      </c>
      <c r="B345" s="5" t="s">
        <v>749</v>
      </c>
      <c r="C345" s="4" t="s">
        <v>172</v>
      </c>
      <c r="D345" s="6">
        <v>0.42</v>
      </c>
      <c r="E345" s="6">
        <v>0.42</v>
      </c>
      <c r="F345" s="7">
        <v>423.47</v>
      </c>
      <c r="G345" s="7">
        <v>0.72</v>
      </c>
      <c r="H345" s="7">
        <v>0.38</v>
      </c>
      <c r="I345" s="7">
        <v>9.2382816E7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5" t="s">
        <v>750</v>
      </c>
      <c r="B346" s="5" t="s">
        <v>751</v>
      </c>
      <c r="C346" s="4" t="s">
        <v>210</v>
      </c>
      <c r="D346" s="6">
        <v>4.88</v>
      </c>
      <c r="E346" s="6">
        <v>4.95</v>
      </c>
      <c r="F346" s="7">
        <v>12.11</v>
      </c>
      <c r="G346" s="7">
        <v>6.06</v>
      </c>
      <c r="H346" s="7">
        <v>2.75</v>
      </c>
      <c r="I346" s="7">
        <v>2.34440134E8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5" t="s">
        <v>750</v>
      </c>
      <c r="B347" s="5" t="s">
        <v>751</v>
      </c>
      <c r="C347" s="4" t="s">
        <v>210</v>
      </c>
      <c r="D347" s="6">
        <v>4.88</v>
      </c>
      <c r="E347" s="6">
        <v>4.95</v>
      </c>
      <c r="F347" s="7">
        <v>12.11</v>
      </c>
      <c r="G347" s="7">
        <v>6.06</v>
      </c>
      <c r="H347" s="7">
        <v>2.75</v>
      </c>
      <c r="I347" s="7">
        <v>2.34440134E8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5" t="s">
        <v>752</v>
      </c>
      <c r="B348" s="5" t="s">
        <v>753</v>
      </c>
      <c r="C348" s="4" t="s">
        <v>23</v>
      </c>
      <c r="D348" s="6">
        <v>0.0</v>
      </c>
      <c r="E348" s="6">
        <v>0.0</v>
      </c>
      <c r="F348" s="4"/>
      <c r="G348" s="7">
        <v>0.02</v>
      </c>
      <c r="H348" s="7">
        <v>0.0</v>
      </c>
      <c r="I348" s="7">
        <v>1990869.0</v>
      </c>
      <c r="J348" s="7">
        <v>0.003</v>
      </c>
      <c r="K348" s="7">
        <v>0.003</v>
      </c>
      <c r="L348" s="7">
        <v>0.007</v>
      </c>
      <c r="M348" s="7">
        <v>0.002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5" t="s">
        <v>754</v>
      </c>
      <c r="B349" s="5" t="s">
        <v>755</v>
      </c>
      <c r="C349" s="4" t="s">
        <v>37</v>
      </c>
      <c r="D349" s="6">
        <v>1.0</v>
      </c>
      <c r="E349" s="6">
        <v>1.01</v>
      </c>
      <c r="F349" s="4"/>
      <c r="G349" s="7">
        <v>1.06</v>
      </c>
      <c r="H349" s="7">
        <v>0.47</v>
      </c>
      <c r="I349" s="7">
        <v>1.48742E8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5" t="s">
        <v>756</v>
      </c>
      <c r="B350" s="5" t="s">
        <v>757</v>
      </c>
      <c r="C350" s="4" t="s">
        <v>169</v>
      </c>
      <c r="D350" s="6">
        <v>1.72</v>
      </c>
      <c r="E350" s="6">
        <v>1.72</v>
      </c>
      <c r="F350" s="7">
        <v>22.43</v>
      </c>
      <c r="G350" s="7">
        <v>1.89</v>
      </c>
      <c r="H350" s="7">
        <v>1.53</v>
      </c>
      <c r="I350" s="7">
        <v>1.384234867E9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5" t="s">
        <v>758</v>
      </c>
      <c r="B351" s="5" t="s">
        <v>759</v>
      </c>
      <c r="C351" s="4" t="s">
        <v>37</v>
      </c>
      <c r="D351" s="6">
        <v>0.02</v>
      </c>
      <c r="E351" s="6">
        <v>0.02</v>
      </c>
      <c r="F351" s="4"/>
      <c r="G351" s="7">
        <v>0.04</v>
      </c>
      <c r="H351" s="7">
        <v>0.01</v>
      </c>
      <c r="I351" s="7">
        <v>2.7490865E7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5" t="s">
        <v>760</v>
      </c>
      <c r="B352" s="5" t="s">
        <v>761</v>
      </c>
      <c r="C352" s="4" t="s">
        <v>447</v>
      </c>
      <c r="D352" s="6">
        <v>0.51</v>
      </c>
      <c r="E352" s="6">
        <v>0.51</v>
      </c>
      <c r="F352" s="4"/>
      <c r="G352" s="7">
        <v>0.7</v>
      </c>
      <c r="H352" s="7">
        <v>0.31</v>
      </c>
      <c r="I352" s="7">
        <v>2.25378E8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5" t="s">
        <v>762</v>
      </c>
      <c r="B353" s="5" t="s">
        <v>763</v>
      </c>
      <c r="C353" s="4" t="s">
        <v>328</v>
      </c>
      <c r="D353" s="6">
        <v>0.25</v>
      </c>
      <c r="E353" s="6">
        <v>0.24</v>
      </c>
      <c r="F353" s="4"/>
      <c r="G353" s="7">
        <v>0.52</v>
      </c>
      <c r="H353" s="7">
        <v>0.16</v>
      </c>
      <c r="I353" s="7">
        <v>3.1373451E7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5" t="s">
        <v>764</v>
      </c>
      <c r="B354" s="5" t="s">
        <v>765</v>
      </c>
      <c r="C354" s="4" t="s">
        <v>76</v>
      </c>
      <c r="D354" s="6">
        <v>0.01</v>
      </c>
      <c r="E354" s="6">
        <v>0.01</v>
      </c>
      <c r="F354" s="4"/>
      <c r="G354" s="7">
        <v>0.01</v>
      </c>
      <c r="H354" s="7">
        <v>0.0</v>
      </c>
      <c r="I354" s="7">
        <v>1.4758674E7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5" t="s">
        <v>766</v>
      </c>
      <c r="B355" s="5" t="s">
        <v>767</v>
      </c>
      <c r="C355" s="4" t="s">
        <v>768</v>
      </c>
      <c r="D355" s="6">
        <v>2.83</v>
      </c>
      <c r="E355" s="6">
        <v>2.71</v>
      </c>
      <c r="F355" s="7">
        <v>21.92</v>
      </c>
      <c r="G355" s="7">
        <v>3.8</v>
      </c>
      <c r="H355" s="7">
        <v>2.65</v>
      </c>
      <c r="I355" s="7">
        <v>6.49038125E8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5" t="s">
        <v>769</v>
      </c>
      <c r="B356" s="5" t="s">
        <v>770</v>
      </c>
      <c r="C356" s="4" t="s">
        <v>86</v>
      </c>
      <c r="D356" s="6">
        <v>0.0</v>
      </c>
      <c r="E356" s="6">
        <v>0.0</v>
      </c>
      <c r="F356" s="4"/>
      <c r="G356" s="7">
        <v>0.01</v>
      </c>
      <c r="H356" s="7">
        <v>0.0</v>
      </c>
      <c r="I356" s="7">
        <v>783474.0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5" t="s">
        <v>771</v>
      </c>
      <c r="B357" s="5" t="s">
        <v>772</v>
      </c>
      <c r="C357" s="4" t="s">
        <v>86</v>
      </c>
      <c r="D357" s="6">
        <v>0.67</v>
      </c>
      <c r="E357" s="6">
        <v>0.7</v>
      </c>
      <c r="F357" s="4"/>
      <c r="G357" s="7">
        <v>0.72</v>
      </c>
      <c r="H357" s="7">
        <v>0.35</v>
      </c>
      <c r="I357" s="7">
        <v>1.47707332E8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5" t="s">
        <v>773</v>
      </c>
      <c r="B358" s="5" t="s">
        <v>774</v>
      </c>
      <c r="C358" s="4" t="s">
        <v>37</v>
      </c>
      <c r="D358" s="6">
        <v>0.12</v>
      </c>
      <c r="E358" s="6">
        <v>0.13</v>
      </c>
      <c r="F358" s="4"/>
      <c r="G358" s="7">
        <v>0.28</v>
      </c>
      <c r="H358" s="7">
        <v>0.05</v>
      </c>
      <c r="I358" s="7">
        <v>2.4484765E7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5" t="s">
        <v>775</v>
      </c>
      <c r="B359" s="5" t="s">
        <v>776</v>
      </c>
      <c r="C359" s="4" t="s">
        <v>777</v>
      </c>
      <c r="D359" s="6">
        <v>2.6</v>
      </c>
      <c r="E359" s="6">
        <v>2.52</v>
      </c>
      <c r="F359" s="4"/>
      <c r="G359" s="7">
        <v>2.75</v>
      </c>
      <c r="H359" s="7">
        <v>2.25</v>
      </c>
      <c r="I359" s="7" t="e">
        <v>#N/A</v>
      </c>
      <c r="J359" s="4"/>
      <c r="K359" s="4"/>
      <c r="L359" s="4"/>
      <c r="M359" s="4"/>
      <c r="N359" s="4"/>
      <c r="O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5" t="s">
        <v>778</v>
      </c>
      <c r="B360" s="5" t="s">
        <v>779</v>
      </c>
      <c r="C360" s="4" t="s">
        <v>17</v>
      </c>
      <c r="D360" s="6">
        <v>0.02</v>
      </c>
      <c r="E360" s="6">
        <v>0.02</v>
      </c>
      <c r="F360" s="4"/>
      <c r="G360" s="7">
        <v>0.03</v>
      </c>
      <c r="H360" s="7">
        <v>0.01</v>
      </c>
      <c r="I360" s="7">
        <v>2.8260024E7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5" t="s">
        <v>780</v>
      </c>
      <c r="B361" s="5" t="s">
        <v>781</v>
      </c>
      <c r="C361" s="4" t="s">
        <v>782</v>
      </c>
      <c r="D361" s="6">
        <v>0.01</v>
      </c>
      <c r="E361" s="6">
        <v>0.01</v>
      </c>
      <c r="F361" s="4"/>
      <c r="G361" s="7">
        <v>0.06</v>
      </c>
      <c r="H361" s="7">
        <v>0.01</v>
      </c>
      <c r="I361" s="7">
        <v>1140830.0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5" t="s">
        <v>783</v>
      </c>
      <c r="B362" s="5" t="s">
        <v>784</v>
      </c>
      <c r="C362" s="4" t="s">
        <v>17</v>
      </c>
      <c r="D362" s="6">
        <v>0.47</v>
      </c>
      <c r="E362" s="6">
        <v>0.47</v>
      </c>
      <c r="F362" s="4"/>
      <c r="G362" s="7">
        <v>0.56</v>
      </c>
      <c r="H362" s="7">
        <v>0.11</v>
      </c>
      <c r="I362" s="7">
        <v>2.34957793E8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5" t="s">
        <v>785</v>
      </c>
      <c r="B363" s="5" t="s">
        <v>786</v>
      </c>
      <c r="C363" s="4" t="s">
        <v>37</v>
      </c>
      <c r="D363" s="6">
        <v>0.09</v>
      </c>
      <c r="E363" s="6">
        <v>0.1</v>
      </c>
      <c r="F363" s="4"/>
      <c r="G363" s="7">
        <v>0.28</v>
      </c>
      <c r="H363" s="7">
        <v>0.03</v>
      </c>
      <c r="I363" s="7">
        <v>1.1936215E7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5" t="s">
        <v>787</v>
      </c>
      <c r="B364" s="5" t="s">
        <v>788</v>
      </c>
      <c r="C364" s="4" t="s">
        <v>26</v>
      </c>
      <c r="D364" s="6">
        <v>3.44</v>
      </c>
      <c r="E364" s="6">
        <v>3.33</v>
      </c>
      <c r="F364" s="4"/>
      <c r="G364" s="7">
        <v>4.07</v>
      </c>
      <c r="H364" s="7">
        <v>1.76</v>
      </c>
      <c r="I364" s="7">
        <v>5.19223842E8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5" t="s">
        <v>787</v>
      </c>
      <c r="B365" s="5" t="s">
        <v>788</v>
      </c>
      <c r="C365" s="4" t="s">
        <v>26</v>
      </c>
      <c r="D365" s="6">
        <v>3.44</v>
      </c>
      <c r="E365" s="6">
        <v>3.33</v>
      </c>
      <c r="F365" s="4"/>
      <c r="G365" s="7">
        <v>4.07</v>
      </c>
      <c r="H365" s="7">
        <v>1.76</v>
      </c>
      <c r="I365" s="7">
        <v>5.19223842E8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8" t="s">
        <v>787</v>
      </c>
      <c r="B366" s="8" t="s">
        <v>788</v>
      </c>
      <c r="C366" s="9" t="s">
        <v>26</v>
      </c>
      <c r="D366" s="10">
        <v>3.44</v>
      </c>
      <c r="E366" s="6">
        <v>3.33</v>
      </c>
      <c r="F366" s="4"/>
      <c r="G366" s="7">
        <v>4.07</v>
      </c>
      <c r="H366" s="7">
        <v>1.76</v>
      </c>
      <c r="I366" s="7">
        <v>5.19223842E8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5" t="s">
        <v>789</v>
      </c>
      <c r="B367" s="5" t="s">
        <v>790</v>
      </c>
      <c r="C367" s="4" t="s">
        <v>17</v>
      </c>
      <c r="D367" s="6">
        <v>0.03</v>
      </c>
      <c r="E367" s="6">
        <v>0.03</v>
      </c>
      <c r="F367" s="4"/>
      <c r="G367" s="7">
        <v>0.16</v>
      </c>
      <c r="H367" s="7">
        <v>0.03</v>
      </c>
      <c r="I367" s="7">
        <v>2227411.0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5" t="s">
        <v>791</v>
      </c>
      <c r="B368" s="5" t="s">
        <v>792</v>
      </c>
      <c r="C368" s="4" t="s">
        <v>17</v>
      </c>
      <c r="D368" s="6">
        <v>0.35</v>
      </c>
      <c r="E368" s="6">
        <v>0.32</v>
      </c>
      <c r="F368" s="4"/>
      <c r="G368" s="7">
        <v>0.35</v>
      </c>
      <c r="H368" s="7">
        <v>0.1</v>
      </c>
      <c r="I368" s="7">
        <v>7.1363111E7</v>
      </c>
      <c r="J368" s="7">
        <v>0.003</v>
      </c>
      <c r="K368" s="7">
        <v>0.004</v>
      </c>
      <c r="L368" s="7">
        <v>0.007</v>
      </c>
      <c r="M368" s="7">
        <v>0.002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5" t="s">
        <v>793</v>
      </c>
      <c r="B369" s="5" t="s">
        <v>794</v>
      </c>
      <c r="C369" s="4" t="s">
        <v>14</v>
      </c>
      <c r="D369" s="6">
        <v>0.22</v>
      </c>
      <c r="E369" s="6">
        <v>0.23</v>
      </c>
      <c r="F369" s="4"/>
      <c r="G369" s="7">
        <v>0.33</v>
      </c>
      <c r="H369" s="7">
        <v>0.18</v>
      </c>
      <c r="I369" s="7">
        <v>6.2541555E7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5" t="s">
        <v>795</v>
      </c>
      <c r="B370" s="5" t="s">
        <v>796</v>
      </c>
      <c r="C370" s="4" t="s">
        <v>34</v>
      </c>
      <c r="D370" s="6">
        <v>23.32</v>
      </c>
      <c r="E370" s="6">
        <v>23.48</v>
      </c>
      <c r="F370" s="4"/>
      <c r="G370" s="7">
        <v>24.27</v>
      </c>
      <c r="H370" s="7">
        <v>23.22</v>
      </c>
      <c r="I370" s="7" t="e">
        <v>#N/A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5" t="s">
        <v>797</v>
      </c>
      <c r="B371" s="5" t="s">
        <v>798</v>
      </c>
      <c r="C371" s="4" t="s">
        <v>34</v>
      </c>
      <c r="D371" s="6">
        <v>12.21</v>
      </c>
      <c r="E371" s="6">
        <v>12.37</v>
      </c>
      <c r="F371" s="4"/>
      <c r="G371" s="7">
        <v>12.51</v>
      </c>
      <c r="H371" s="7">
        <v>7.5</v>
      </c>
      <c r="I371" s="7" t="e">
        <v>#N/A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5" t="s">
        <v>799</v>
      </c>
      <c r="B372" s="5" t="s">
        <v>800</v>
      </c>
      <c r="C372" s="4" t="s">
        <v>17</v>
      </c>
      <c r="D372" s="6">
        <v>0.01</v>
      </c>
      <c r="E372" s="6">
        <v>0.01</v>
      </c>
      <c r="F372" s="4"/>
      <c r="G372" s="7">
        <v>0.01</v>
      </c>
      <c r="H372" s="7">
        <v>0.0</v>
      </c>
      <c r="I372" s="7">
        <v>1.5704004E7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5" t="s">
        <v>801</v>
      </c>
      <c r="B373" s="5" t="s">
        <v>802</v>
      </c>
      <c r="C373" s="4" t="s">
        <v>86</v>
      </c>
      <c r="D373" s="6">
        <v>0.06</v>
      </c>
      <c r="E373" s="6">
        <v>0.05</v>
      </c>
      <c r="F373" s="7">
        <v>9.32</v>
      </c>
      <c r="G373" s="7">
        <v>0.09</v>
      </c>
      <c r="H373" s="7">
        <v>0.04</v>
      </c>
      <c r="I373" s="7">
        <v>1.711766E7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5" t="s">
        <v>803</v>
      </c>
      <c r="B374" s="5" t="s">
        <v>804</v>
      </c>
      <c r="C374" s="4" t="s">
        <v>86</v>
      </c>
      <c r="D374" s="6">
        <v>1.74</v>
      </c>
      <c r="E374" s="6">
        <v>1.76</v>
      </c>
      <c r="F374" s="4"/>
      <c r="G374" s="7">
        <v>1.9</v>
      </c>
      <c r="H374" s="7">
        <v>0.3</v>
      </c>
      <c r="I374" s="7">
        <v>4.5959531E8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5" t="s">
        <v>805</v>
      </c>
      <c r="B375" s="5" t="s">
        <v>806</v>
      </c>
      <c r="C375" s="4" t="s">
        <v>17</v>
      </c>
      <c r="D375" s="6">
        <v>0.03</v>
      </c>
      <c r="E375" s="6">
        <v>0.03</v>
      </c>
      <c r="F375" s="4"/>
      <c r="G375" s="7">
        <v>0.04</v>
      </c>
      <c r="H375" s="7">
        <v>0.02</v>
      </c>
      <c r="I375" s="7">
        <v>4359291.0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5" t="s">
        <v>807</v>
      </c>
      <c r="B376" s="5" t="s">
        <v>808</v>
      </c>
      <c r="C376" s="4" t="s">
        <v>17</v>
      </c>
      <c r="D376" s="6">
        <v>0.75</v>
      </c>
      <c r="E376" s="6">
        <v>0.73</v>
      </c>
      <c r="F376" s="4"/>
      <c r="G376" s="7">
        <v>2.53</v>
      </c>
      <c r="H376" s="7">
        <v>0.3</v>
      </c>
      <c r="I376" s="7">
        <v>3.007968E8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5" t="s">
        <v>809</v>
      </c>
      <c r="B377" s="5" t="s">
        <v>810</v>
      </c>
      <c r="C377" s="4" t="s">
        <v>26</v>
      </c>
      <c r="D377" s="6">
        <v>1.57</v>
      </c>
      <c r="E377" s="6">
        <v>1.47</v>
      </c>
      <c r="F377" s="4"/>
      <c r="G377" s="7">
        <v>4.75</v>
      </c>
      <c r="H377" s="7">
        <v>1.07</v>
      </c>
      <c r="I377" s="7">
        <v>6.47459147E8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5" t="s">
        <v>809</v>
      </c>
      <c r="B378" s="5" t="s">
        <v>810</v>
      </c>
      <c r="C378" s="4" t="s">
        <v>26</v>
      </c>
      <c r="D378" s="6">
        <v>1.57</v>
      </c>
      <c r="E378" s="6">
        <v>1.47</v>
      </c>
      <c r="F378" s="4"/>
      <c r="G378" s="7">
        <v>4.75</v>
      </c>
      <c r="H378" s="7">
        <v>1.07</v>
      </c>
      <c r="I378" s="7">
        <v>6.47459147E8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8" t="s">
        <v>809</v>
      </c>
      <c r="B379" s="8" t="s">
        <v>810</v>
      </c>
      <c r="C379" s="9" t="s">
        <v>26</v>
      </c>
      <c r="D379" s="10">
        <v>1.57</v>
      </c>
      <c r="E379" s="6">
        <v>1.47</v>
      </c>
      <c r="F379" s="4"/>
      <c r="G379" s="7">
        <v>4.75</v>
      </c>
      <c r="H379" s="7">
        <v>1.07</v>
      </c>
      <c r="I379" s="7">
        <v>6.47459147E8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5" t="s">
        <v>811</v>
      </c>
      <c r="B380" s="5" t="s">
        <v>812</v>
      </c>
      <c r="C380" s="4" t="s">
        <v>159</v>
      </c>
      <c r="D380" s="6">
        <v>1.74</v>
      </c>
      <c r="E380" s="6">
        <v>1.73</v>
      </c>
      <c r="F380" s="7">
        <v>3.12</v>
      </c>
      <c r="G380" s="7">
        <v>1.74</v>
      </c>
      <c r="H380" s="7">
        <v>1.2</v>
      </c>
      <c r="I380" s="7">
        <v>6.876702E7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5" t="s">
        <v>813</v>
      </c>
      <c r="B381" s="5" t="s">
        <v>814</v>
      </c>
      <c r="C381" s="4" t="s">
        <v>34</v>
      </c>
      <c r="D381" s="6">
        <v>25.22</v>
      </c>
      <c r="E381" s="6">
        <v>25.28</v>
      </c>
      <c r="F381" s="4"/>
      <c r="G381" s="7">
        <v>26.57</v>
      </c>
      <c r="H381" s="7">
        <v>24.84</v>
      </c>
      <c r="I381" s="7" t="e">
        <v>#N/A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5" t="s">
        <v>815</v>
      </c>
      <c r="B382" s="5" t="s">
        <v>816</v>
      </c>
      <c r="C382" s="4" t="s">
        <v>411</v>
      </c>
      <c r="D382" s="6">
        <v>6.61</v>
      </c>
      <c r="E382" s="6">
        <v>6.53</v>
      </c>
      <c r="F382" s="7">
        <v>33.06</v>
      </c>
      <c r="G382" s="7">
        <v>8.16</v>
      </c>
      <c r="H382" s="7">
        <v>6.2</v>
      </c>
      <c r="I382" s="7">
        <v>4.372313483E9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5" t="s">
        <v>817</v>
      </c>
      <c r="B383" s="5" t="s">
        <v>818</v>
      </c>
      <c r="C383" s="4" t="s">
        <v>172</v>
      </c>
      <c r="D383" s="6">
        <v>0.14</v>
      </c>
      <c r="E383" s="6">
        <v>0.14</v>
      </c>
      <c r="F383" s="4"/>
      <c r="G383" s="7">
        <v>0.54</v>
      </c>
      <c r="H383" s="7">
        <v>0.1</v>
      </c>
      <c r="I383" s="7">
        <v>2.56234465E8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5" t="s">
        <v>819</v>
      </c>
      <c r="B384" s="5" t="s">
        <v>820</v>
      </c>
      <c r="C384" s="4" t="s">
        <v>23</v>
      </c>
      <c r="D384" s="6">
        <v>0.0</v>
      </c>
      <c r="E384" s="6">
        <v>0.0</v>
      </c>
      <c r="F384" s="4"/>
      <c r="G384" s="7">
        <v>0.01</v>
      </c>
      <c r="H384" s="7">
        <v>0.0</v>
      </c>
      <c r="I384" s="7">
        <v>608308.0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5" t="s">
        <v>821</v>
      </c>
      <c r="B385" s="5" t="s">
        <v>822</v>
      </c>
      <c r="C385" s="4" t="s">
        <v>823</v>
      </c>
      <c r="D385" s="6">
        <v>0.82</v>
      </c>
      <c r="E385" s="6">
        <v>0.85</v>
      </c>
      <c r="F385" s="4"/>
      <c r="G385" s="7">
        <v>0.95</v>
      </c>
      <c r="H385" s="7">
        <v>0.79</v>
      </c>
      <c r="I385" s="7">
        <v>9.044166E7</v>
      </c>
      <c r="J385" s="4"/>
      <c r="K385" s="4"/>
      <c r="L385" s="4"/>
      <c r="M385" s="4"/>
      <c r="N385" s="4"/>
      <c r="O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5" t="s">
        <v>824</v>
      </c>
      <c r="B386" s="5" t="s">
        <v>825</v>
      </c>
      <c r="C386" s="4" t="s">
        <v>23</v>
      </c>
      <c r="D386" s="6">
        <v>0.01</v>
      </c>
      <c r="E386" s="6">
        <v>0.01</v>
      </c>
      <c r="F386" s="7">
        <v>1.68</v>
      </c>
      <c r="G386" s="7">
        <v>0.02</v>
      </c>
      <c r="H386" s="7">
        <v>0.01</v>
      </c>
      <c r="I386" s="7">
        <v>1.0427804E7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5" t="s">
        <v>826</v>
      </c>
      <c r="B387" s="5" t="s">
        <v>827</v>
      </c>
      <c r="C387" s="4" t="s">
        <v>86</v>
      </c>
      <c r="D387" s="6">
        <v>0.17</v>
      </c>
      <c r="E387" s="6">
        <v>0.17</v>
      </c>
      <c r="F387" s="4"/>
      <c r="G387" s="7">
        <v>0.21</v>
      </c>
      <c r="H387" s="7">
        <v>0.03</v>
      </c>
      <c r="I387" s="7">
        <v>1.8807712E7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5" t="s">
        <v>828</v>
      </c>
      <c r="B388" s="5" t="s">
        <v>829</v>
      </c>
      <c r="C388" s="4" t="s">
        <v>159</v>
      </c>
      <c r="D388" s="6">
        <v>0.14</v>
      </c>
      <c r="E388" s="6">
        <v>0.14</v>
      </c>
      <c r="F388" s="7">
        <v>14.8</v>
      </c>
      <c r="G388" s="7">
        <v>0.21</v>
      </c>
      <c r="H388" s="7">
        <v>0.11</v>
      </c>
      <c r="I388" s="7">
        <v>1.777433E7</v>
      </c>
      <c r="J388" s="7">
        <v>1.725</v>
      </c>
      <c r="K388" s="7">
        <v>1.735</v>
      </c>
      <c r="L388" s="7">
        <v>1.83</v>
      </c>
      <c r="M388" s="7">
        <v>1.515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5" t="s">
        <v>830</v>
      </c>
      <c r="B389" s="5" t="s">
        <v>831</v>
      </c>
      <c r="C389" s="4" t="s">
        <v>76</v>
      </c>
      <c r="D389" s="6">
        <v>1.17</v>
      </c>
      <c r="E389" s="6">
        <v>1.18</v>
      </c>
      <c r="F389" s="4"/>
      <c r="G389" s="7">
        <v>1.54</v>
      </c>
      <c r="H389" s="7">
        <v>1.09</v>
      </c>
      <c r="I389" s="7">
        <v>2.657849122E9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5" t="s">
        <v>832</v>
      </c>
      <c r="B390" s="5" t="s">
        <v>833</v>
      </c>
      <c r="C390" s="4" t="s">
        <v>447</v>
      </c>
      <c r="D390" s="6">
        <v>3.82</v>
      </c>
      <c r="E390" s="6">
        <v>3.96</v>
      </c>
      <c r="F390" s="4"/>
      <c r="G390" s="7">
        <v>6.02</v>
      </c>
      <c r="H390" s="7">
        <v>1.57</v>
      </c>
      <c r="I390" s="7">
        <v>1.049073211E9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5" t="s">
        <v>834</v>
      </c>
      <c r="B391" s="5" t="s">
        <v>835</v>
      </c>
      <c r="C391" s="4" t="s">
        <v>836</v>
      </c>
      <c r="D391" s="6">
        <v>29.94</v>
      </c>
      <c r="E391" s="6">
        <v>29.47</v>
      </c>
      <c r="F391" s="7">
        <v>32.18</v>
      </c>
      <c r="G391" s="7">
        <v>39.0</v>
      </c>
      <c r="H391" s="7">
        <v>24.33</v>
      </c>
      <c r="I391" s="7">
        <v>4.336342013E9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5" t="s">
        <v>837</v>
      </c>
      <c r="B392" s="5" t="s">
        <v>838</v>
      </c>
      <c r="C392" s="4" t="s">
        <v>839</v>
      </c>
      <c r="D392" s="6">
        <v>1.39</v>
      </c>
      <c r="E392" s="6">
        <v>1.41</v>
      </c>
      <c r="F392" s="4"/>
      <c r="G392" s="7">
        <v>1.49</v>
      </c>
      <c r="H392" s="7">
        <v>1.14</v>
      </c>
      <c r="I392" s="7">
        <v>1.30460658E8</v>
      </c>
      <c r="J392" s="7">
        <v>1.595</v>
      </c>
      <c r="K392" s="7">
        <v>1.595</v>
      </c>
      <c r="L392" s="7">
        <v>1.905</v>
      </c>
      <c r="M392" s="7">
        <v>1.56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5" t="s">
        <v>840</v>
      </c>
      <c r="B393" s="5" t="s">
        <v>841</v>
      </c>
      <c r="C393" s="4" t="s">
        <v>76</v>
      </c>
      <c r="D393" s="6">
        <v>0.48</v>
      </c>
      <c r="E393" s="6">
        <v>0.48</v>
      </c>
      <c r="F393" s="7">
        <v>9.75</v>
      </c>
      <c r="G393" s="7">
        <v>0.55</v>
      </c>
      <c r="H393" s="7">
        <v>0.34</v>
      </c>
      <c r="I393" s="7">
        <v>4.5716331E7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5" t="s">
        <v>842</v>
      </c>
      <c r="B394" s="5" t="s">
        <v>843</v>
      </c>
      <c r="C394" s="4" t="s">
        <v>312</v>
      </c>
      <c r="D394" s="6">
        <v>0.72</v>
      </c>
      <c r="E394" s="6">
        <v>0.69</v>
      </c>
      <c r="F394" s="7">
        <v>38.4</v>
      </c>
      <c r="G394" s="7">
        <v>0.91</v>
      </c>
      <c r="H394" s="7">
        <v>0.61</v>
      </c>
      <c r="I394" s="7">
        <v>1.71529926E8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5" t="s">
        <v>844</v>
      </c>
      <c r="B395" s="5" t="s">
        <v>845</v>
      </c>
      <c r="C395" s="4" t="s">
        <v>14</v>
      </c>
      <c r="D395" s="6">
        <v>0.18</v>
      </c>
      <c r="E395" s="6">
        <v>0.18</v>
      </c>
      <c r="F395" s="4"/>
      <c r="G395" s="7">
        <v>0.45</v>
      </c>
      <c r="H395" s="7">
        <v>0.16</v>
      </c>
      <c r="I395" s="7">
        <v>3.94231515E8</v>
      </c>
      <c r="J395" s="7">
        <v>0.002</v>
      </c>
      <c r="K395" s="7">
        <v>0.002</v>
      </c>
      <c r="L395" s="7">
        <v>0.009</v>
      </c>
      <c r="M395" s="7">
        <v>0.002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5" t="s">
        <v>846</v>
      </c>
      <c r="B396" s="5" t="s">
        <v>847</v>
      </c>
      <c r="C396" s="4" t="s">
        <v>76</v>
      </c>
      <c r="D396" s="6">
        <v>0.02</v>
      </c>
      <c r="E396" s="6">
        <v>0.02</v>
      </c>
      <c r="F396" s="4"/>
      <c r="G396" s="7">
        <v>0.06</v>
      </c>
      <c r="H396" s="7">
        <v>0.02</v>
      </c>
      <c r="I396" s="7">
        <v>1.448366E7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5" t="s">
        <v>848</v>
      </c>
      <c r="B397" s="5" t="s">
        <v>849</v>
      </c>
      <c r="C397" s="4" t="s">
        <v>37</v>
      </c>
      <c r="D397" s="6">
        <v>0.09</v>
      </c>
      <c r="E397" s="6">
        <v>0.1</v>
      </c>
      <c r="F397" s="4"/>
      <c r="G397" s="7">
        <v>0.33</v>
      </c>
      <c r="H397" s="7">
        <v>0.05</v>
      </c>
      <c r="I397" s="7">
        <v>2.1290736E7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5" t="s">
        <v>850</v>
      </c>
      <c r="B398" s="5" t="s">
        <v>851</v>
      </c>
      <c r="C398" s="4" t="s">
        <v>121</v>
      </c>
      <c r="D398" s="6">
        <v>0.15</v>
      </c>
      <c r="E398" s="6">
        <v>0.15</v>
      </c>
      <c r="F398" s="7">
        <v>3.03</v>
      </c>
      <c r="G398" s="7">
        <v>1.07</v>
      </c>
      <c r="H398" s="7">
        <v>0.04</v>
      </c>
      <c r="I398" s="7">
        <v>1.129504E7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5" t="s">
        <v>852</v>
      </c>
      <c r="B399" s="5" t="s">
        <v>853</v>
      </c>
      <c r="C399" s="4" t="s">
        <v>210</v>
      </c>
      <c r="D399" s="6">
        <v>24.14</v>
      </c>
      <c r="E399" s="6">
        <v>24.07</v>
      </c>
      <c r="F399" s="7">
        <v>143.82</v>
      </c>
      <c r="G399" s="7">
        <v>26.05</v>
      </c>
      <c r="H399" s="7">
        <v>18.65</v>
      </c>
      <c r="I399" s="7">
        <v>1.057518334E10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5" t="s">
        <v>852</v>
      </c>
      <c r="B400" s="5" t="s">
        <v>853</v>
      </c>
      <c r="C400" s="4" t="s">
        <v>210</v>
      </c>
      <c r="D400" s="6">
        <v>24.14</v>
      </c>
      <c r="E400" s="6">
        <v>24.07</v>
      </c>
      <c r="F400" s="7">
        <v>143.82</v>
      </c>
      <c r="G400" s="7">
        <v>26.05</v>
      </c>
      <c r="H400" s="7">
        <v>18.65</v>
      </c>
      <c r="I400" s="7">
        <v>1.057518334E10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5" t="s">
        <v>854</v>
      </c>
      <c r="B401" s="5" t="s">
        <v>855</v>
      </c>
      <c r="C401" s="4" t="s">
        <v>26</v>
      </c>
      <c r="D401" s="6">
        <v>0.05</v>
      </c>
      <c r="E401" s="6">
        <v>0.05</v>
      </c>
      <c r="F401" s="4"/>
      <c r="G401" s="7">
        <v>0.08</v>
      </c>
      <c r="H401" s="7">
        <v>0.01</v>
      </c>
      <c r="I401" s="7">
        <v>8272198.0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5" t="s">
        <v>854</v>
      </c>
      <c r="B402" s="5" t="s">
        <v>855</v>
      </c>
      <c r="C402" s="4" t="s">
        <v>26</v>
      </c>
      <c r="D402" s="6">
        <v>0.05</v>
      </c>
      <c r="E402" s="6">
        <v>0.05</v>
      </c>
      <c r="F402" s="4"/>
      <c r="G402" s="7">
        <v>0.08</v>
      </c>
      <c r="H402" s="7">
        <v>0.01</v>
      </c>
      <c r="I402" s="7">
        <v>8272198.0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8" t="s">
        <v>854</v>
      </c>
      <c r="B403" s="8" t="s">
        <v>855</v>
      </c>
      <c r="C403" s="9" t="s">
        <v>26</v>
      </c>
      <c r="D403" s="10">
        <v>0.05</v>
      </c>
      <c r="E403" s="6">
        <v>0.05</v>
      </c>
      <c r="F403" s="4"/>
      <c r="G403" s="7">
        <v>0.08</v>
      </c>
      <c r="H403" s="7">
        <v>0.01</v>
      </c>
      <c r="I403" s="7">
        <v>8272198.0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5" t="s">
        <v>856</v>
      </c>
      <c r="B404" s="5" t="s">
        <v>857</v>
      </c>
      <c r="C404" s="4" t="s">
        <v>34</v>
      </c>
      <c r="D404" s="6">
        <v>25.58</v>
      </c>
      <c r="E404" s="6">
        <v>25.69</v>
      </c>
      <c r="F404" s="4"/>
      <c r="G404" s="7">
        <v>25.71</v>
      </c>
      <c r="H404" s="7">
        <v>24.93</v>
      </c>
      <c r="I404" s="7" t="e">
        <v>#N/A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5" t="s">
        <v>858</v>
      </c>
      <c r="B405" s="5" t="s">
        <v>859</v>
      </c>
      <c r="C405" s="4" t="s">
        <v>17</v>
      </c>
      <c r="D405" s="6">
        <v>0.05</v>
      </c>
      <c r="E405" s="6">
        <v>0.06</v>
      </c>
      <c r="F405" s="4"/>
      <c r="G405" s="7">
        <v>0.1</v>
      </c>
      <c r="H405" s="7">
        <v>0.03</v>
      </c>
      <c r="I405" s="7">
        <v>7.8993694E7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5" t="s">
        <v>860</v>
      </c>
      <c r="B406" s="5" t="s">
        <v>861</v>
      </c>
      <c r="C406" s="4" t="s">
        <v>23</v>
      </c>
      <c r="D406" s="6">
        <v>0.06</v>
      </c>
      <c r="E406" s="6">
        <v>0.06</v>
      </c>
      <c r="F406" s="7">
        <v>5.24</v>
      </c>
      <c r="G406" s="7">
        <v>0.08</v>
      </c>
      <c r="H406" s="7">
        <v>0.05</v>
      </c>
      <c r="I406" s="7">
        <v>2.216218E7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5" t="s">
        <v>862</v>
      </c>
      <c r="B407" s="5" t="s">
        <v>863</v>
      </c>
      <c r="C407" s="4" t="s">
        <v>76</v>
      </c>
      <c r="D407" s="6">
        <v>0.06</v>
      </c>
      <c r="E407" s="6">
        <v>0.06</v>
      </c>
      <c r="F407" s="4"/>
      <c r="G407" s="7">
        <v>0.08</v>
      </c>
      <c r="H407" s="7">
        <v>0.05</v>
      </c>
      <c r="I407" s="7">
        <v>1.804861E7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5" t="s">
        <v>864</v>
      </c>
      <c r="B408" s="5" t="s">
        <v>865</v>
      </c>
      <c r="C408" s="4" t="s">
        <v>169</v>
      </c>
      <c r="D408" s="6">
        <v>1.22</v>
      </c>
      <c r="E408" s="6">
        <v>1.21</v>
      </c>
      <c r="F408" s="7">
        <v>9.36</v>
      </c>
      <c r="G408" s="7">
        <v>1.27</v>
      </c>
      <c r="H408" s="7">
        <v>0.89</v>
      </c>
      <c r="I408" s="7">
        <v>1.8205243E8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5" t="s">
        <v>866</v>
      </c>
      <c r="B409" s="5" t="s">
        <v>867</v>
      </c>
      <c r="C409" s="4" t="s">
        <v>76</v>
      </c>
      <c r="D409" s="6">
        <v>0.28</v>
      </c>
      <c r="E409" s="6">
        <v>0.29</v>
      </c>
      <c r="F409" s="4"/>
      <c r="G409" s="7">
        <v>0.37</v>
      </c>
      <c r="H409" s="7">
        <v>0.18</v>
      </c>
      <c r="I409" s="7">
        <v>3.54561655E8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5" t="s">
        <v>868</v>
      </c>
      <c r="B410" s="5" t="s">
        <v>869</v>
      </c>
      <c r="C410" s="4" t="s">
        <v>17</v>
      </c>
      <c r="D410" s="6">
        <v>0.17</v>
      </c>
      <c r="E410" s="6">
        <v>0.17</v>
      </c>
      <c r="F410" s="4"/>
      <c r="G410" s="7">
        <v>0.25</v>
      </c>
      <c r="H410" s="7">
        <v>0.06</v>
      </c>
      <c r="I410" s="7">
        <v>1.101342E7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5" t="s">
        <v>870</v>
      </c>
      <c r="B411" s="5" t="s">
        <v>871</v>
      </c>
      <c r="C411" s="4" t="s">
        <v>872</v>
      </c>
      <c r="D411" s="6">
        <v>0.08</v>
      </c>
      <c r="E411" s="6">
        <v>0.08</v>
      </c>
      <c r="F411" s="4"/>
      <c r="G411" s="7">
        <v>0.14</v>
      </c>
      <c r="H411" s="7">
        <v>0.07</v>
      </c>
      <c r="I411" s="7">
        <v>2.980338E7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5" t="s">
        <v>873</v>
      </c>
      <c r="B412" s="5" t="s">
        <v>874</v>
      </c>
      <c r="C412" s="4" t="s">
        <v>86</v>
      </c>
      <c r="D412" s="6">
        <v>0.51</v>
      </c>
      <c r="E412" s="6">
        <v>0.5</v>
      </c>
      <c r="F412" s="4"/>
      <c r="G412" s="7">
        <v>0.75</v>
      </c>
      <c r="H412" s="7">
        <v>0.37</v>
      </c>
      <c r="I412" s="7">
        <v>3.53620388E8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5" t="s">
        <v>875</v>
      </c>
      <c r="B413" s="5" t="s">
        <v>876</v>
      </c>
      <c r="C413" s="4" t="s">
        <v>34</v>
      </c>
      <c r="D413" s="6">
        <v>29.14</v>
      </c>
      <c r="E413" s="6">
        <v>29.14</v>
      </c>
      <c r="F413" s="4"/>
      <c r="G413" s="7">
        <v>42.5</v>
      </c>
      <c r="H413" s="7">
        <v>27.47</v>
      </c>
      <c r="I413" s="7" t="e">
        <v>#N/A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5" t="s">
        <v>877</v>
      </c>
      <c r="B414" s="5" t="s">
        <v>878</v>
      </c>
      <c r="C414" s="4" t="s">
        <v>96</v>
      </c>
      <c r="D414" s="6">
        <v>0.14</v>
      </c>
      <c r="E414" s="6">
        <v>0.14</v>
      </c>
      <c r="F414" s="7">
        <v>22.54</v>
      </c>
      <c r="G414" s="7">
        <v>0.19</v>
      </c>
      <c r="H414" s="7">
        <v>0.1</v>
      </c>
      <c r="I414" s="7">
        <v>1.2294289E8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5" t="s">
        <v>879</v>
      </c>
      <c r="B415" s="5" t="s">
        <v>880</v>
      </c>
      <c r="C415" s="4" t="s">
        <v>34</v>
      </c>
      <c r="D415" s="6">
        <v>11.05</v>
      </c>
      <c r="E415" s="6">
        <v>11.13</v>
      </c>
      <c r="F415" s="4"/>
      <c r="G415" s="7">
        <v>14.32</v>
      </c>
      <c r="H415" s="7">
        <v>10.99</v>
      </c>
      <c r="I415" s="7" t="e">
        <v>#N/A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5" t="s">
        <v>881</v>
      </c>
      <c r="B416" s="5" t="s">
        <v>882</v>
      </c>
      <c r="C416" s="4" t="s">
        <v>17</v>
      </c>
      <c r="D416" s="6">
        <v>0.03</v>
      </c>
      <c r="E416" s="6">
        <v>0.03</v>
      </c>
      <c r="F416" s="4"/>
      <c r="G416" s="7">
        <v>0.08</v>
      </c>
      <c r="H416" s="7">
        <v>0.03</v>
      </c>
      <c r="I416" s="7">
        <v>5162820.0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5" t="s">
        <v>883</v>
      </c>
      <c r="B417" s="5" t="s">
        <v>884</v>
      </c>
      <c r="C417" s="4" t="s">
        <v>447</v>
      </c>
      <c r="D417" s="6">
        <v>0.13</v>
      </c>
      <c r="E417" s="6">
        <v>0.14</v>
      </c>
      <c r="F417" s="4"/>
      <c r="G417" s="7">
        <v>0.21</v>
      </c>
      <c r="H417" s="7">
        <v>0.09</v>
      </c>
      <c r="I417" s="7">
        <v>9085439.0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5" t="s">
        <v>885</v>
      </c>
      <c r="B418" s="5" t="s">
        <v>886</v>
      </c>
      <c r="C418" s="4" t="s">
        <v>17</v>
      </c>
      <c r="D418" s="6">
        <v>0.03</v>
      </c>
      <c r="E418" s="6">
        <v>0.03</v>
      </c>
      <c r="F418" s="4"/>
      <c r="G418" s="7">
        <v>0.05</v>
      </c>
      <c r="H418" s="7">
        <v>0.02</v>
      </c>
      <c r="I418" s="7">
        <v>1.138989E7</v>
      </c>
      <c r="J418" s="7">
        <v>0.001</v>
      </c>
      <c r="K418" s="7">
        <v>0.001</v>
      </c>
      <c r="L418" s="7">
        <v>0.002</v>
      </c>
      <c r="M418" s="7">
        <v>0.001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5" t="s">
        <v>887</v>
      </c>
      <c r="B419" s="5" t="s">
        <v>888</v>
      </c>
      <c r="C419" s="4" t="s">
        <v>76</v>
      </c>
      <c r="D419" s="6">
        <v>0.0</v>
      </c>
      <c r="E419" s="6">
        <v>0.0</v>
      </c>
      <c r="F419" s="4"/>
      <c r="G419" s="7">
        <v>0.0</v>
      </c>
      <c r="H419" s="7">
        <v>0.0</v>
      </c>
      <c r="I419" s="7">
        <v>1799874.0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5" t="s">
        <v>889</v>
      </c>
      <c r="B420" s="5" t="s">
        <v>890</v>
      </c>
      <c r="C420" s="4" t="s">
        <v>17</v>
      </c>
      <c r="D420" s="6">
        <v>0.79</v>
      </c>
      <c r="E420" s="6">
        <v>0.77</v>
      </c>
      <c r="F420" s="4"/>
      <c r="G420" s="7">
        <v>0.8</v>
      </c>
      <c r="H420" s="7">
        <v>0.25</v>
      </c>
      <c r="I420" s="7">
        <v>8.0427927E7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5" t="s">
        <v>891</v>
      </c>
      <c r="B421" s="5" t="s">
        <v>892</v>
      </c>
      <c r="C421" s="4" t="s">
        <v>14</v>
      </c>
      <c r="D421" s="6">
        <v>2.6</v>
      </c>
      <c r="E421" s="6">
        <v>2.57</v>
      </c>
      <c r="F421" s="7">
        <v>15.7</v>
      </c>
      <c r="G421" s="7">
        <v>3.51</v>
      </c>
      <c r="H421" s="7">
        <v>1.86</v>
      </c>
      <c r="I421" s="7">
        <v>1.165579957E9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5" t="s">
        <v>893</v>
      </c>
      <c r="B422" s="5" t="s">
        <v>894</v>
      </c>
      <c r="C422" s="4" t="s">
        <v>169</v>
      </c>
      <c r="D422" s="6">
        <v>0.24</v>
      </c>
      <c r="E422" s="6">
        <v>0.2</v>
      </c>
      <c r="F422" s="4"/>
      <c r="G422" s="7">
        <v>0.47</v>
      </c>
      <c r="H422" s="7">
        <v>0.2</v>
      </c>
      <c r="I422" s="7">
        <v>4.0253243E7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5" t="s">
        <v>895</v>
      </c>
      <c r="B423" s="5" t="s">
        <v>896</v>
      </c>
      <c r="C423" s="4" t="s">
        <v>897</v>
      </c>
      <c r="D423" s="6">
        <v>0.47</v>
      </c>
      <c r="E423" s="6">
        <v>0.48</v>
      </c>
      <c r="F423" s="7">
        <v>9.99</v>
      </c>
      <c r="G423" s="7">
        <v>0.65</v>
      </c>
      <c r="H423" s="7">
        <v>0.4</v>
      </c>
      <c r="I423" s="7">
        <v>1.26635078E8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5" t="s">
        <v>898</v>
      </c>
      <c r="B424" s="5" t="s">
        <v>899</v>
      </c>
      <c r="C424" s="4" t="s">
        <v>416</v>
      </c>
      <c r="D424" s="6">
        <v>3.95</v>
      </c>
      <c r="E424" s="6">
        <v>3.94</v>
      </c>
      <c r="F424" s="7">
        <v>10.61</v>
      </c>
      <c r="G424" s="7">
        <v>4.12</v>
      </c>
      <c r="H424" s="7">
        <v>3.25</v>
      </c>
      <c r="I424" s="7">
        <v>2.861295504E9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5" t="s">
        <v>900</v>
      </c>
      <c r="B425" s="5" t="s">
        <v>901</v>
      </c>
      <c r="C425" s="4" t="s">
        <v>373</v>
      </c>
      <c r="D425" s="6">
        <v>22.79</v>
      </c>
      <c r="E425" s="6">
        <v>22.96</v>
      </c>
      <c r="F425" s="7">
        <v>24.54</v>
      </c>
      <c r="G425" s="7">
        <v>26.93</v>
      </c>
      <c r="H425" s="7">
        <v>18.65</v>
      </c>
      <c r="I425" s="7">
        <v>3.0949390993E10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5" t="s">
        <v>902</v>
      </c>
      <c r="B426" s="5" t="s">
        <v>903</v>
      </c>
      <c r="C426" s="4" t="s">
        <v>23</v>
      </c>
      <c r="D426" s="6">
        <v>0.04</v>
      </c>
      <c r="E426" s="6">
        <v>0.04</v>
      </c>
      <c r="F426" s="7">
        <v>17.98</v>
      </c>
      <c r="G426" s="7">
        <v>0.06</v>
      </c>
      <c r="H426" s="7">
        <v>0.02</v>
      </c>
      <c r="I426" s="7">
        <v>9.5804702E7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5" t="s">
        <v>904</v>
      </c>
      <c r="B427" s="5" t="s">
        <v>905</v>
      </c>
      <c r="C427" s="4" t="s">
        <v>37</v>
      </c>
      <c r="D427" s="6">
        <v>0.11</v>
      </c>
      <c r="E427" s="6">
        <v>0.1</v>
      </c>
      <c r="F427" s="4"/>
      <c r="G427" s="7">
        <v>0.14</v>
      </c>
      <c r="H427" s="7">
        <v>0.03</v>
      </c>
      <c r="I427" s="7">
        <v>1.1257748E7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5" t="s">
        <v>906</v>
      </c>
      <c r="B428" s="5" t="s">
        <v>907</v>
      </c>
      <c r="C428" s="4" t="s">
        <v>17</v>
      </c>
      <c r="D428" s="6">
        <v>0.02</v>
      </c>
      <c r="E428" s="6">
        <v>0.02</v>
      </c>
      <c r="F428" s="4"/>
      <c r="G428" s="7">
        <v>0.07</v>
      </c>
      <c r="H428" s="7">
        <v>0.01</v>
      </c>
      <c r="I428" s="7">
        <v>4023744.0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5" t="s">
        <v>908</v>
      </c>
      <c r="B429" s="5" t="s">
        <v>909</v>
      </c>
      <c r="C429" s="4" t="s">
        <v>394</v>
      </c>
      <c r="D429" s="6">
        <v>7.31</v>
      </c>
      <c r="E429" s="6">
        <v>7.37</v>
      </c>
      <c r="F429" s="4"/>
      <c r="G429" s="7">
        <v>9.42</v>
      </c>
      <c r="H429" s="7">
        <v>3.43</v>
      </c>
      <c r="I429" s="7">
        <v>8.51441015E8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5" t="s">
        <v>910</v>
      </c>
      <c r="B430" s="5" t="s">
        <v>911</v>
      </c>
      <c r="C430" s="4" t="s">
        <v>17</v>
      </c>
      <c r="D430" s="6">
        <v>0.0</v>
      </c>
      <c r="E430" s="6">
        <v>0.0</v>
      </c>
      <c r="F430" s="4"/>
      <c r="G430" s="7">
        <v>0.01</v>
      </c>
      <c r="H430" s="7">
        <v>0.0</v>
      </c>
      <c r="I430" s="7">
        <v>1337931.0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5" t="s">
        <v>912</v>
      </c>
      <c r="B431" s="5" t="s">
        <v>913</v>
      </c>
      <c r="C431" s="4" t="s">
        <v>73</v>
      </c>
      <c r="D431" s="6">
        <v>11.8</v>
      </c>
      <c r="E431" s="6">
        <v>12.0</v>
      </c>
      <c r="F431" s="7">
        <v>6.27</v>
      </c>
      <c r="G431" s="7">
        <v>13.22</v>
      </c>
      <c r="H431" s="7">
        <v>8.74</v>
      </c>
      <c r="I431" s="7">
        <v>1.90853675E8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5" t="s">
        <v>914</v>
      </c>
      <c r="B432" s="5" t="s">
        <v>915</v>
      </c>
      <c r="C432" s="4" t="s">
        <v>17</v>
      </c>
      <c r="D432" s="6">
        <v>0.05</v>
      </c>
      <c r="E432" s="6">
        <v>0.05</v>
      </c>
      <c r="F432" s="4"/>
      <c r="G432" s="7">
        <v>0.09</v>
      </c>
      <c r="H432" s="7">
        <v>0.02</v>
      </c>
      <c r="I432" s="7">
        <v>4.7537117E7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5" t="s">
        <v>916</v>
      </c>
      <c r="B433" s="5" t="s">
        <v>917</v>
      </c>
      <c r="C433" s="4" t="s">
        <v>169</v>
      </c>
      <c r="D433" s="6">
        <v>0.43</v>
      </c>
      <c r="E433" s="6">
        <v>0.43</v>
      </c>
      <c r="F433" s="7">
        <v>17.72</v>
      </c>
      <c r="G433" s="7">
        <v>0.52</v>
      </c>
      <c r="H433" s="7">
        <v>0.28</v>
      </c>
      <c r="I433" s="7">
        <v>8.8424099E7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5" t="s">
        <v>918</v>
      </c>
      <c r="B434" s="5" t="s">
        <v>919</v>
      </c>
      <c r="C434" s="4" t="s">
        <v>169</v>
      </c>
      <c r="D434" s="6">
        <v>0.71</v>
      </c>
      <c r="E434" s="6">
        <v>0.71</v>
      </c>
      <c r="F434" s="7">
        <v>41.81</v>
      </c>
      <c r="G434" s="7">
        <v>0.8</v>
      </c>
      <c r="H434" s="7">
        <v>0.67</v>
      </c>
      <c r="I434" s="7">
        <v>1.00787573E8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5" t="s">
        <v>920</v>
      </c>
      <c r="B435" s="5" t="s">
        <v>921</v>
      </c>
      <c r="C435" s="4" t="s">
        <v>162</v>
      </c>
      <c r="D435" s="6">
        <v>0.01</v>
      </c>
      <c r="E435" s="6">
        <v>0.01</v>
      </c>
      <c r="F435" s="4"/>
      <c r="G435" s="7">
        <v>0.04</v>
      </c>
      <c r="H435" s="7">
        <v>0.01</v>
      </c>
      <c r="I435" s="7">
        <v>1.2723578E7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5" t="s">
        <v>922</v>
      </c>
      <c r="B436" s="5" t="s">
        <v>923</v>
      </c>
      <c r="C436" s="4" t="s">
        <v>548</v>
      </c>
      <c r="D436" s="6">
        <v>0.01</v>
      </c>
      <c r="E436" s="6">
        <v>0.01</v>
      </c>
      <c r="F436" s="4"/>
      <c r="G436" s="7">
        <v>0.01</v>
      </c>
      <c r="H436" s="7">
        <v>0.01</v>
      </c>
      <c r="I436" s="7">
        <v>6460080.0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5" t="s">
        <v>924</v>
      </c>
      <c r="B437" s="5" t="s">
        <v>925</v>
      </c>
      <c r="C437" s="4" t="s">
        <v>68</v>
      </c>
      <c r="D437" s="6">
        <v>30.87</v>
      </c>
      <c r="E437" s="6">
        <v>30.76</v>
      </c>
      <c r="F437" s="7">
        <v>42.39</v>
      </c>
      <c r="G437" s="7">
        <v>42.06</v>
      </c>
      <c r="H437" s="7">
        <v>28.4</v>
      </c>
      <c r="I437" s="7">
        <v>1.1682245549E10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5" t="s">
        <v>926</v>
      </c>
      <c r="B438" s="5" t="s">
        <v>927</v>
      </c>
      <c r="C438" s="4" t="s">
        <v>14</v>
      </c>
      <c r="D438" s="6">
        <v>4.27</v>
      </c>
      <c r="E438" s="6">
        <v>4.15</v>
      </c>
      <c r="F438" s="4"/>
      <c r="G438" s="7">
        <v>7.72</v>
      </c>
      <c r="H438" s="7">
        <v>2.98</v>
      </c>
      <c r="I438" s="7">
        <v>1.311325107E9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5" t="s">
        <v>928</v>
      </c>
      <c r="B439" s="5" t="s">
        <v>929</v>
      </c>
      <c r="C439" s="4" t="s">
        <v>17</v>
      </c>
      <c r="D439" s="6">
        <v>0.09</v>
      </c>
      <c r="E439" s="6">
        <v>0.09</v>
      </c>
      <c r="F439" s="4"/>
      <c r="G439" s="7">
        <v>0.1</v>
      </c>
      <c r="H439" s="7">
        <v>0.04</v>
      </c>
      <c r="I439" s="7">
        <v>3.8344937E7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5" t="s">
        <v>930</v>
      </c>
      <c r="B440" s="5" t="s">
        <v>931</v>
      </c>
      <c r="C440" s="4" t="s">
        <v>73</v>
      </c>
      <c r="D440" s="6">
        <v>0.2</v>
      </c>
      <c r="E440" s="6">
        <v>0.18</v>
      </c>
      <c r="F440" s="4"/>
      <c r="G440" s="7">
        <v>0.31</v>
      </c>
      <c r="H440" s="7">
        <v>0.16</v>
      </c>
      <c r="I440" s="7">
        <v>4.00966605E8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5" t="s">
        <v>932</v>
      </c>
      <c r="B441" s="5" t="s">
        <v>933</v>
      </c>
      <c r="C441" s="4" t="s">
        <v>17</v>
      </c>
      <c r="D441" s="6">
        <v>0.03</v>
      </c>
      <c r="E441" s="6">
        <v>0.03</v>
      </c>
      <c r="F441" s="4"/>
      <c r="G441" s="7">
        <v>0.05</v>
      </c>
      <c r="H441" s="7">
        <v>0.01</v>
      </c>
      <c r="I441" s="7">
        <v>1.7420918E7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5" t="s">
        <v>934</v>
      </c>
      <c r="B442" s="5" t="s">
        <v>935</v>
      </c>
      <c r="C442" s="4" t="s">
        <v>411</v>
      </c>
      <c r="D442" s="6">
        <v>161.12</v>
      </c>
      <c r="E442" s="6">
        <v>160.57</v>
      </c>
      <c r="F442" s="7">
        <v>26.63</v>
      </c>
      <c r="G442" s="7">
        <v>192.0</v>
      </c>
      <c r="H442" s="7">
        <v>140.21</v>
      </c>
      <c r="I442" s="7" t="s">
        <v>936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5" t="s">
        <v>937</v>
      </c>
      <c r="B443" s="5" t="s">
        <v>938</v>
      </c>
      <c r="C443" s="4" t="s">
        <v>17</v>
      </c>
      <c r="D443" s="6">
        <v>0.1</v>
      </c>
      <c r="E443" s="6">
        <v>0.1</v>
      </c>
      <c r="F443" s="4"/>
      <c r="G443" s="7">
        <v>0.17</v>
      </c>
      <c r="H443" s="7">
        <v>0.04</v>
      </c>
      <c r="I443" s="7">
        <v>5.213145E7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5" t="s">
        <v>939</v>
      </c>
      <c r="B444" s="5" t="s">
        <v>940</v>
      </c>
      <c r="C444" s="4" t="s">
        <v>60</v>
      </c>
      <c r="D444" s="6">
        <v>0.06</v>
      </c>
      <c r="E444" s="6">
        <v>0.06</v>
      </c>
      <c r="F444" s="4"/>
      <c r="G444" s="7">
        <v>0.09</v>
      </c>
      <c r="H444" s="7">
        <v>0.03</v>
      </c>
      <c r="I444" s="7">
        <v>2.5024853E7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5" t="s">
        <v>941</v>
      </c>
      <c r="B445" s="5" t="s">
        <v>942</v>
      </c>
      <c r="C445" s="4" t="s">
        <v>96</v>
      </c>
      <c r="D445" s="6">
        <v>4.04</v>
      </c>
      <c r="E445" s="6">
        <v>4.04</v>
      </c>
      <c r="F445" s="7">
        <v>35.58</v>
      </c>
      <c r="G445" s="7">
        <v>4.11</v>
      </c>
      <c r="H445" s="7">
        <v>1.69</v>
      </c>
      <c r="I445" s="7">
        <v>1.928740825E9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5" t="s">
        <v>943</v>
      </c>
      <c r="B446" s="5" t="s">
        <v>944</v>
      </c>
      <c r="C446" s="4" t="s">
        <v>37</v>
      </c>
      <c r="D446" s="6">
        <v>0.03</v>
      </c>
      <c r="E446" s="6">
        <v>0.03</v>
      </c>
      <c r="F446" s="4"/>
      <c r="G446" s="7">
        <v>0.04</v>
      </c>
      <c r="H446" s="7">
        <v>0.02</v>
      </c>
      <c r="I446" s="7">
        <v>6076631.0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5" t="s">
        <v>945</v>
      </c>
      <c r="B447" s="5" t="s">
        <v>946</v>
      </c>
      <c r="C447" s="4" t="s">
        <v>23</v>
      </c>
      <c r="D447" s="6">
        <v>0.03</v>
      </c>
      <c r="E447" s="6">
        <v>0.03</v>
      </c>
      <c r="F447" s="7">
        <v>36.71</v>
      </c>
      <c r="G447" s="7">
        <v>0.04</v>
      </c>
      <c r="H447" s="7">
        <v>0.01</v>
      </c>
      <c r="I447" s="7">
        <v>6.0914266E7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5" t="s">
        <v>947</v>
      </c>
      <c r="B448" s="5" t="s">
        <v>948</v>
      </c>
      <c r="C448" s="4" t="s">
        <v>37</v>
      </c>
      <c r="D448" s="6">
        <v>0.17</v>
      </c>
      <c r="E448" s="6">
        <v>0.17</v>
      </c>
      <c r="F448" s="4"/>
      <c r="G448" s="7">
        <v>0.33</v>
      </c>
      <c r="H448" s="7">
        <v>0.04</v>
      </c>
      <c r="I448" s="7">
        <v>3.4984606E7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5" t="s">
        <v>949</v>
      </c>
      <c r="B449" s="5" t="s">
        <v>950</v>
      </c>
      <c r="C449" s="4" t="s">
        <v>951</v>
      </c>
      <c r="D449" s="6">
        <v>0.07</v>
      </c>
      <c r="E449" s="6">
        <v>0.07</v>
      </c>
      <c r="F449" s="4"/>
      <c r="G449" s="7">
        <v>0.1</v>
      </c>
      <c r="H449" s="7">
        <v>0.05</v>
      </c>
      <c r="I449" s="7">
        <v>4.4277761E7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5" t="s">
        <v>952</v>
      </c>
      <c r="B450" s="5" t="s">
        <v>953</v>
      </c>
      <c r="C450" s="4" t="s">
        <v>954</v>
      </c>
      <c r="D450" s="6">
        <v>0.08</v>
      </c>
      <c r="E450" s="6">
        <v>0.06</v>
      </c>
      <c r="F450" s="4"/>
      <c r="G450" s="7">
        <v>0.19</v>
      </c>
      <c r="H450" s="7">
        <v>0.03</v>
      </c>
      <c r="I450" s="7">
        <v>2.9050583E7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5" t="s">
        <v>955</v>
      </c>
      <c r="B451" s="5" t="s">
        <v>956</v>
      </c>
      <c r="C451" s="4" t="s">
        <v>182</v>
      </c>
      <c r="D451" s="6">
        <v>0.07</v>
      </c>
      <c r="E451" s="6">
        <v>0.07</v>
      </c>
      <c r="F451" s="4"/>
      <c r="G451" s="7">
        <v>0.08</v>
      </c>
      <c r="H451" s="7">
        <v>0.04</v>
      </c>
      <c r="I451" s="7">
        <v>3.4998065E7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5" t="s">
        <v>957</v>
      </c>
      <c r="B452" s="5" t="s">
        <v>958</v>
      </c>
      <c r="C452" s="4" t="s">
        <v>159</v>
      </c>
      <c r="D452" s="6">
        <v>4.43</v>
      </c>
      <c r="E452" s="6">
        <v>4.42</v>
      </c>
      <c r="F452" s="7">
        <v>28.7</v>
      </c>
      <c r="G452" s="7">
        <v>4.55</v>
      </c>
      <c r="H452" s="7">
        <v>2.2</v>
      </c>
      <c r="I452" s="7">
        <v>8.48620513E8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5" t="s">
        <v>959</v>
      </c>
      <c r="B453" s="5" t="s">
        <v>960</v>
      </c>
      <c r="C453" s="4" t="s">
        <v>961</v>
      </c>
      <c r="D453" s="6">
        <v>0.05</v>
      </c>
      <c r="E453" s="6">
        <v>0.05</v>
      </c>
      <c r="F453" s="4"/>
      <c r="G453" s="7">
        <v>0.06</v>
      </c>
      <c r="H453" s="7">
        <v>0.03</v>
      </c>
      <c r="I453" s="7">
        <v>1.7433126E7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5" t="s">
        <v>962</v>
      </c>
      <c r="B454" s="5" t="s">
        <v>963</v>
      </c>
      <c r="C454" s="4" t="s">
        <v>172</v>
      </c>
      <c r="D454" s="6">
        <v>0.0</v>
      </c>
      <c r="E454" s="6">
        <v>0.0</v>
      </c>
      <c r="F454" s="4"/>
      <c r="G454" s="7">
        <v>0.01</v>
      </c>
      <c r="H454" s="7">
        <v>0.0</v>
      </c>
      <c r="I454" s="7">
        <v>5108634.0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5" t="s">
        <v>964</v>
      </c>
      <c r="B455" s="5" t="s">
        <v>965</v>
      </c>
      <c r="C455" s="4" t="s">
        <v>872</v>
      </c>
      <c r="D455" s="6">
        <v>14.17</v>
      </c>
      <c r="E455" s="6">
        <v>14.06</v>
      </c>
      <c r="F455" s="7">
        <v>10.37</v>
      </c>
      <c r="G455" s="7">
        <v>18.48</v>
      </c>
      <c r="H455" s="7">
        <v>11.28</v>
      </c>
      <c r="I455" s="7">
        <v>9.64507269E8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5" t="s">
        <v>966</v>
      </c>
      <c r="B456" s="5" t="s">
        <v>967</v>
      </c>
      <c r="C456" s="4" t="s">
        <v>31</v>
      </c>
      <c r="D456" s="6">
        <v>0.28</v>
      </c>
      <c r="E456" s="6">
        <v>0.27</v>
      </c>
      <c r="F456" s="7">
        <v>36.88</v>
      </c>
      <c r="G456" s="7">
        <v>0.34</v>
      </c>
      <c r="H456" s="7">
        <v>0.19</v>
      </c>
      <c r="I456" s="7">
        <v>1.32588298E8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5" t="s">
        <v>968</v>
      </c>
      <c r="B457" s="5" t="s">
        <v>969</v>
      </c>
      <c r="C457" s="4" t="s">
        <v>397</v>
      </c>
      <c r="D457" s="6">
        <v>0.34</v>
      </c>
      <c r="E457" s="6">
        <v>0.33</v>
      </c>
      <c r="F457" s="7">
        <v>9.18</v>
      </c>
      <c r="G457" s="7">
        <v>0.37</v>
      </c>
      <c r="H457" s="7">
        <v>0.22</v>
      </c>
      <c r="I457" s="7">
        <v>2.37686056E8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5" t="s">
        <v>970</v>
      </c>
      <c r="B458" s="5" t="s">
        <v>971</v>
      </c>
      <c r="C458" s="4" t="s">
        <v>618</v>
      </c>
      <c r="D458" s="6">
        <v>0.12</v>
      </c>
      <c r="E458" s="6">
        <v>0.11</v>
      </c>
      <c r="F458" s="4"/>
      <c r="G458" s="7">
        <v>0.17</v>
      </c>
      <c r="H458" s="7">
        <v>0.07</v>
      </c>
      <c r="I458" s="7">
        <v>4.6218934E7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5" t="s">
        <v>972</v>
      </c>
      <c r="B459" s="5" t="s">
        <v>973</v>
      </c>
      <c r="C459" s="4" t="s">
        <v>169</v>
      </c>
      <c r="D459" s="6">
        <v>0.46</v>
      </c>
      <c r="E459" s="6">
        <v>0.46</v>
      </c>
      <c r="F459" s="7">
        <v>23.01</v>
      </c>
      <c r="G459" s="7">
        <v>0.79</v>
      </c>
      <c r="H459" s="7">
        <v>0.45</v>
      </c>
      <c r="I459" s="7">
        <v>1.6630789E7</v>
      </c>
      <c r="J459" s="7">
        <v>0.002</v>
      </c>
      <c r="K459" s="7">
        <v>0.002</v>
      </c>
      <c r="L459" s="7">
        <v>0.002</v>
      </c>
      <c r="M459" s="7">
        <v>0.001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5" t="s">
        <v>974</v>
      </c>
      <c r="B460" s="5" t="s">
        <v>975</v>
      </c>
      <c r="C460" s="4" t="s">
        <v>169</v>
      </c>
      <c r="D460" s="6">
        <v>0.69</v>
      </c>
      <c r="E460" s="6">
        <v>0.69</v>
      </c>
      <c r="F460" s="7">
        <v>174.24</v>
      </c>
      <c r="G460" s="7">
        <v>0.97</v>
      </c>
      <c r="H460" s="7">
        <v>0.67</v>
      </c>
      <c r="I460" s="7">
        <v>3.6210565E7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5" t="s">
        <v>976</v>
      </c>
      <c r="B461" s="5" t="s">
        <v>977</v>
      </c>
      <c r="C461" s="4" t="s">
        <v>169</v>
      </c>
      <c r="D461" s="6">
        <v>1.09</v>
      </c>
      <c r="E461" s="6">
        <v>1.11</v>
      </c>
      <c r="F461" s="7">
        <v>4.23</v>
      </c>
      <c r="G461" s="7">
        <v>1.42</v>
      </c>
      <c r="H461" s="7">
        <v>1.08</v>
      </c>
      <c r="I461" s="7">
        <v>7.851098E7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5" t="s">
        <v>978</v>
      </c>
      <c r="B462" s="5" t="s">
        <v>979</v>
      </c>
      <c r="C462" s="4" t="s">
        <v>101</v>
      </c>
      <c r="D462" s="6">
        <v>29.02</v>
      </c>
      <c r="E462" s="6">
        <v>28.43</v>
      </c>
      <c r="F462" s="7">
        <v>51.1</v>
      </c>
      <c r="G462" s="7">
        <v>36.92</v>
      </c>
      <c r="H462" s="7">
        <v>13.2</v>
      </c>
      <c r="I462" s="7">
        <v>5.277832659E9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5" t="s">
        <v>980</v>
      </c>
      <c r="B463" s="5" t="s">
        <v>981</v>
      </c>
      <c r="C463" s="4" t="s">
        <v>182</v>
      </c>
      <c r="D463" s="6">
        <v>0.01</v>
      </c>
      <c r="E463" s="6">
        <v>0.01</v>
      </c>
      <c r="F463" s="4"/>
      <c r="G463" s="7">
        <v>0.09</v>
      </c>
      <c r="H463" s="7">
        <v>0.01</v>
      </c>
      <c r="I463" s="7">
        <v>4089304.0</v>
      </c>
      <c r="J463" s="7">
        <v>0.002</v>
      </c>
      <c r="K463" s="7">
        <v>0.002</v>
      </c>
      <c r="L463" s="7">
        <v>0.138</v>
      </c>
      <c r="M463" s="7">
        <v>0.002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5" t="s">
        <v>982</v>
      </c>
      <c r="B464" s="5" t="s">
        <v>983</v>
      </c>
      <c r="C464" s="4" t="s">
        <v>169</v>
      </c>
      <c r="D464" s="6">
        <v>0.71</v>
      </c>
      <c r="E464" s="6">
        <v>0.71</v>
      </c>
      <c r="F464" s="7">
        <v>33.86</v>
      </c>
      <c r="G464" s="7">
        <v>0.76</v>
      </c>
      <c r="H464" s="7">
        <v>0.6</v>
      </c>
      <c r="I464" s="7">
        <v>2.11983273E8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5" t="s">
        <v>984</v>
      </c>
      <c r="B465" s="5" t="s">
        <v>985</v>
      </c>
      <c r="C465" s="4" t="s">
        <v>169</v>
      </c>
      <c r="D465" s="6">
        <v>1.91</v>
      </c>
      <c r="E465" s="6">
        <v>1.95</v>
      </c>
      <c r="F465" s="7">
        <v>20.21</v>
      </c>
      <c r="G465" s="7">
        <v>2.1</v>
      </c>
      <c r="H465" s="7">
        <v>1.5</v>
      </c>
      <c r="I465" s="7">
        <v>2.9935505E7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5" t="s">
        <v>986</v>
      </c>
      <c r="B466" s="5" t="s">
        <v>987</v>
      </c>
      <c r="C466" s="4" t="s">
        <v>416</v>
      </c>
      <c r="D466" s="6">
        <v>5.65</v>
      </c>
      <c r="E466" s="6">
        <v>5.65</v>
      </c>
      <c r="F466" s="7">
        <v>11.73</v>
      </c>
      <c r="G466" s="7">
        <v>5.88</v>
      </c>
      <c r="H466" s="7">
        <v>4.35</v>
      </c>
      <c r="I466" s="7">
        <v>4.67465187E8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5" t="s">
        <v>988</v>
      </c>
      <c r="B467" s="5" t="s">
        <v>989</v>
      </c>
      <c r="C467" s="4" t="s">
        <v>86</v>
      </c>
      <c r="D467" s="6">
        <v>0.02</v>
      </c>
      <c r="E467" s="6">
        <v>0.02</v>
      </c>
      <c r="F467" s="4"/>
      <c r="G467" s="7">
        <v>0.05</v>
      </c>
      <c r="H467" s="7">
        <v>0.01</v>
      </c>
      <c r="I467" s="7">
        <v>2987308.0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5" t="s">
        <v>990</v>
      </c>
      <c r="B468" s="5" t="s">
        <v>991</v>
      </c>
      <c r="C468" s="4" t="s">
        <v>86</v>
      </c>
      <c r="D468" s="6">
        <v>0.06</v>
      </c>
      <c r="E468" s="6">
        <v>0.06</v>
      </c>
      <c r="F468" s="4"/>
      <c r="G468" s="7">
        <v>0.12</v>
      </c>
      <c r="H468" s="7">
        <v>0.03</v>
      </c>
      <c r="I468" s="7">
        <v>1.0577125E7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5" t="s">
        <v>992</v>
      </c>
      <c r="B469" s="5" t="s">
        <v>993</v>
      </c>
      <c r="C469" s="4" t="s">
        <v>668</v>
      </c>
      <c r="D469" s="6">
        <v>0.54</v>
      </c>
      <c r="E469" s="6">
        <v>0.55</v>
      </c>
      <c r="F469" s="4"/>
      <c r="G469" s="7">
        <v>0.6</v>
      </c>
      <c r="H469" s="7">
        <v>0.32</v>
      </c>
      <c r="I469" s="7">
        <v>2.07880573E8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5" t="s">
        <v>994</v>
      </c>
      <c r="B470" s="5" t="s">
        <v>995</v>
      </c>
      <c r="C470" s="4" t="s">
        <v>17</v>
      </c>
      <c r="D470" s="6">
        <v>0.16</v>
      </c>
      <c r="E470" s="6">
        <v>0.16</v>
      </c>
      <c r="F470" s="7">
        <v>8.72</v>
      </c>
      <c r="G470" s="7">
        <v>0.18</v>
      </c>
      <c r="H470" s="7">
        <v>0.04</v>
      </c>
      <c r="I470" s="7">
        <v>3.75118391E8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5" t="s">
        <v>996</v>
      </c>
      <c r="B471" s="5" t="s">
        <v>997</v>
      </c>
      <c r="C471" s="4" t="s">
        <v>954</v>
      </c>
      <c r="D471" s="6">
        <v>8.15</v>
      </c>
      <c r="E471" s="6">
        <v>8.0</v>
      </c>
      <c r="F471" s="4"/>
      <c r="G471" s="7">
        <v>8.9</v>
      </c>
      <c r="H471" s="7">
        <v>7.63</v>
      </c>
      <c r="I471" s="7">
        <v>9.257389E9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5" t="s">
        <v>998</v>
      </c>
      <c r="B472" s="5" t="s">
        <v>999</v>
      </c>
      <c r="C472" s="4" t="s">
        <v>34</v>
      </c>
      <c r="D472" s="6">
        <v>65.61</v>
      </c>
      <c r="E472" s="6">
        <v>65.55</v>
      </c>
      <c r="F472" s="4"/>
      <c r="G472" s="7">
        <v>67.39</v>
      </c>
      <c r="H472" s="7">
        <v>55.15</v>
      </c>
      <c r="I472" s="7" t="e">
        <v>#N/A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5" t="s">
        <v>1000</v>
      </c>
      <c r="B473" s="5" t="s">
        <v>1001</v>
      </c>
      <c r="C473" s="4" t="s">
        <v>31</v>
      </c>
      <c r="D473" s="6">
        <v>0.02</v>
      </c>
      <c r="E473" s="6">
        <v>0.03</v>
      </c>
      <c r="F473" s="4"/>
      <c r="G473" s="7">
        <v>0.03</v>
      </c>
      <c r="H473" s="7">
        <v>0.02</v>
      </c>
      <c r="I473" s="7">
        <v>1.1414522E7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5" t="s">
        <v>1002</v>
      </c>
      <c r="B474" s="5" t="s">
        <v>1003</v>
      </c>
      <c r="C474" s="4" t="s">
        <v>34</v>
      </c>
      <c r="D474" s="6">
        <v>19.04</v>
      </c>
      <c r="E474" s="6">
        <v>19.07</v>
      </c>
      <c r="F474" s="4"/>
      <c r="G474" s="7">
        <v>20.0</v>
      </c>
      <c r="H474" s="7">
        <v>16.22</v>
      </c>
      <c r="I474" s="7" t="e">
        <v>#N/A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5" t="s">
        <v>1004</v>
      </c>
      <c r="B475" s="5" t="s">
        <v>1005</v>
      </c>
      <c r="C475" s="4" t="s">
        <v>104</v>
      </c>
      <c r="D475" s="6">
        <v>0.1</v>
      </c>
      <c r="E475" s="6">
        <v>0.11</v>
      </c>
      <c r="F475" s="4"/>
      <c r="G475" s="7">
        <v>0.12</v>
      </c>
      <c r="H475" s="7">
        <v>0.04</v>
      </c>
      <c r="I475" s="7">
        <v>4.266637E7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5" t="s">
        <v>1006</v>
      </c>
      <c r="B476" s="5" t="s">
        <v>1007</v>
      </c>
      <c r="C476" s="4" t="s">
        <v>1008</v>
      </c>
      <c r="D476" s="6">
        <v>9.48</v>
      </c>
      <c r="E476" s="6">
        <v>9.41</v>
      </c>
      <c r="F476" s="7">
        <v>34.36</v>
      </c>
      <c r="G476" s="7">
        <v>9.6</v>
      </c>
      <c r="H476" s="7">
        <v>5.22</v>
      </c>
      <c r="I476" s="7">
        <v>6.556950703E9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5" t="s">
        <v>1009</v>
      </c>
      <c r="B477" s="5" t="s">
        <v>1010</v>
      </c>
      <c r="C477" s="4" t="s">
        <v>34</v>
      </c>
      <c r="D477" s="6" t="e">
        <v>#N/A</v>
      </c>
      <c r="E477" s="6" t="e">
        <v>#N/A</v>
      </c>
      <c r="F477" s="4"/>
      <c r="G477" s="4"/>
      <c r="H477" s="4"/>
      <c r="I477" s="7" t="e">
        <v>#N/A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5" t="s">
        <v>1011</v>
      </c>
      <c r="B478" s="5" t="s">
        <v>1012</v>
      </c>
      <c r="C478" s="4" t="s">
        <v>182</v>
      </c>
      <c r="D478" s="6">
        <v>0.08</v>
      </c>
      <c r="E478" s="6">
        <v>0.08</v>
      </c>
      <c r="F478" s="4"/>
      <c r="G478" s="7">
        <v>0.1</v>
      </c>
      <c r="H478" s="7">
        <v>0.05</v>
      </c>
      <c r="I478" s="7">
        <v>3184200.0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5" t="s">
        <v>1013</v>
      </c>
      <c r="B479" s="5" t="s">
        <v>1014</v>
      </c>
      <c r="C479" s="4" t="s">
        <v>17</v>
      </c>
      <c r="D479" s="6">
        <v>0.09</v>
      </c>
      <c r="E479" s="6">
        <v>0.09</v>
      </c>
      <c r="F479" s="4"/>
      <c r="G479" s="7">
        <v>0.14</v>
      </c>
      <c r="H479" s="7">
        <v>0.04</v>
      </c>
      <c r="I479" s="7">
        <v>8948506.0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5" t="s">
        <v>1015</v>
      </c>
      <c r="B480" s="5" t="s">
        <v>1016</v>
      </c>
      <c r="C480" s="4" t="s">
        <v>23</v>
      </c>
      <c r="D480" s="6">
        <v>2.29</v>
      </c>
      <c r="E480" s="6">
        <v>2.26</v>
      </c>
      <c r="F480" s="7">
        <v>26.29</v>
      </c>
      <c r="G480" s="7">
        <v>2.97</v>
      </c>
      <c r="H480" s="7">
        <v>1.03</v>
      </c>
      <c r="I480" s="7">
        <v>3.93271769E8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5" t="s">
        <v>1017</v>
      </c>
      <c r="B481" s="5" t="s">
        <v>1018</v>
      </c>
      <c r="C481" s="4" t="s">
        <v>34</v>
      </c>
      <c r="D481" s="6" t="e">
        <v>#N/A</v>
      </c>
      <c r="E481" s="6" t="e">
        <v>#N/A</v>
      </c>
      <c r="F481" s="4"/>
      <c r="G481" s="4"/>
      <c r="H481" s="4"/>
      <c r="I481" s="7" t="e">
        <v>#N/A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5" t="s">
        <v>1019</v>
      </c>
      <c r="B482" s="5" t="s">
        <v>1020</v>
      </c>
      <c r="C482" s="4" t="s">
        <v>141</v>
      </c>
      <c r="D482" s="6">
        <v>24.44</v>
      </c>
      <c r="E482" s="6">
        <v>24.45</v>
      </c>
      <c r="F482" s="7">
        <v>52.2</v>
      </c>
      <c r="G482" s="7">
        <v>25.95</v>
      </c>
      <c r="H482" s="7">
        <v>14.16</v>
      </c>
      <c r="I482" s="7">
        <v>1.1560049376E10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5" t="s">
        <v>1021</v>
      </c>
      <c r="B483" s="5" t="s">
        <v>1022</v>
      </c>
      <c r="C483" s="4" t="s">
        <v>68</v>
      </c>
      <c r="D483" s="6">
        <v>0.34</v>
      </c>
      <c r="E483" s="6">
        <v>0.34</v>
      </c>
      <c r="F483" s="4"/>
      <c r="G483" s="7">
        <v>0.9</v>
      </c>
      <c r="H483" s="7">
        <v>0.3</v>
      </c>
      <c r="I483" s="7">
        <v>2.7956639E7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5" t="s">
        <v>1023</v>
      </c>
      <c r="B484" s="5" t="s">
        <v>1024</v>
      </c>
      <c r="C484" s="4" t="s">
        <v>23</v>
      </c>
      <c r="D484" s="6">
        <v>0.0</v>
      </c>
      <c r="E484" s="6">
        <v>0.0</v>
      </c>
      <c r="F484" s="4"/>
      <c r="G484" s="7">
        <v>0.01</v>
      </c>
      <c r="H484" s="7">
        <v>0.0</v>
      </c>
      <c r="I484" s="7">
        <v>7284270.0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5" t="s">
        <v>1025</v>
      </c>
      <c r="B485" s="5" t="s">
        <v>1026</v>
      </c>
      <c r="C485" s="4" t="s">
        <v>17</v>
      </c>
      <c r="D485" s="6">
        <v>2.15</v>
      </c>
      <c r="E485" s="6">
        <v>2.19</v>
      </c>
      <c r="F485" s="4"/>
      <c r="G485" s="7">
        <v>2.75</v>
      </c>
      <c r="H485" s="7">
        <v>0.83</v>
      </c>
      <c r="I485" s="7">
        <v>8.36576862E8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5" t="s">
        <v>1027</v>
      </c>
      <c r="B486" s="5" t="s">
        <v>1028</v>
      </c>
      <c r="C486" s="4" t="s">
        <v>17</v>
      </c>
      <c r="D486" s="6">
        <v>0.13</v>
      </c>
      <c r="E486" s="6">
        <v>0.12</v>
      </c>
      <c r="F486" s="4"/>
      <c r="G486" s="7">
        <v>0.16</v>
      </c>
      <c r="H486" s="7">
        <v>0.04</v>
      </c>
      <c r="I486" s="7">
        <v>1.0064632E7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5" t="s">
        <v>1029</v>
      </c>
      <c r="B487" s="5" t="s">
        <v>1030</v>
      </c>
      <c r="C487" s="4" t="s">
        <v>394</v>
      </c>
      <c r="D487" s="6">
        <v>0.91</v>
      </c>
      <c r="E487" s="6">
        <v>0.94</v>
      </c>
      <c r="F487" s="4"/>
      <c r="G487" s="7">
        <v>1.5</v>
      </c>
      <c r="H487" s="7">
        <v>0.58</v>
      </c>
      <c r="I487" s="7">
        <v>8.6532585E7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5" t="s">
        <v>1031</v>
      </c>
      <c r="B488" s="5" t="s">
        <v>1032</v>
      </c>
      <c r="C488" s="4" t="s">
        <v>872</v>
      </c>
      <c r="D488" s="6">
        <v>0.11</v>
      </c>
      <c r="E488" s="6">
        <v>0.11</v>
      </c>
      <c r="F488" s="4"/>
      <c r="G488" s="7">
        <v>0.11</v>
      </c>
      <c r="H488" s="7">
        <v>0.1</v>
      </c>
      <c r="I488" s="7">
        <v>9281432.0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5" t="s">
        <v>1033</v>
      </c>
      <c r="B489" s="5" t="s">
        <v>1034</v>
      </c>
      <c r="C489" s="4" t="s">
        <v>210</v>
      </c>
      <c r="D489" s="6">
        <v>6.13</v>
      </c>
      <c r="E489" s="6">
        <v>6.07</v>
      </c>
      <c r="F489" s="7">
        <v>24.56</v>
      </c>
      <c r="G489" s="7">
        <v>6.27</v>
      </c>
      <c r="H489" s="7">
        <v>3.9</v>
      </c>
      <c r="I489" s="7">
        <v>3.268828078E9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5" t="s">
        <v>1033</v>
      </c>
      <c r="B490" s="5" t="s">
        <v>1034</v>
      </c>
      <c r="C490" s="4" t="s">
        <v>210</v>
      </c>
      <c r="D490" s="6">
        <v>6.13</v>
      </c>
      <c r="E490" s="6">
        <v>6.07</v>
      </c>
      <c r="F490" s="7">
        <v>24.56</v>
      </c>
      <c r="G490" s="7">
        <v>6.27</v>
      </c>
      <c r="H490" s="7">
        <v>3.9</v>
      </c>
      <c r="I490" s="7">
        <v>3.268828078E9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5" t="s">
        <v>1035</v>
      </c>
      <c r="B491" s="5" t="s">
        <v>1036</v>
      </c>
      <c r="C491" s="4" t="s">
        <v>34</v>
      </c>
      <c r="D491" s="6">
        <v>1.55</v>
      </c>
      <c r="E491" s="6">
        <v>1.55</v>
      </c>
      <c r="F491" s="4"/>
      <c r="G491" s="7">
        <v>1.59</v>
      </c>
      <c r="H491" s="7">
        <v>1.44</v>
      </c>
      <c r="I491" s="7" t="e">
        <v>#N/A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5" t="s">
        <v>1037</v>
      </c>
      <c r="B492" s="5" t="s">
        <v>1038</v>
      </c>
      <c r="C492" s="4" t="s">
        <v>169</v>
      </c>
      <c r="D492" s="6">
        <v>34.6</v>
      </c>
      <c r="E492" s="6">
        <v>34.58</v>
      </c>
      <c r="F492" s="7">
        <v>23.56</v>
      </c>
      <c r="G492" s="7">
        <v>38.55</v>
      </c>
      <c r="H492" s="7">
        <v>29.75</v>
      </c>
      <c r="I492" s="7">
        <v>9.12751419E8</v>
      </c>
      <c r="J492" s="7">
        <v>0.62</v>
      </c>
      <c r="K492" s="7">
        <v>0.6</v>
      </c>
      <c r="L492" s="7">
        <v>1.2</v>
      </c>
      <c r="M492" s="7">
        <v>0.538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5" t="s">
        <v>1039</v>
      </c>
      <c r="B493" s="5" t="s">
        <v>1040</v>
      </c>
      <c r="C493" s="4" t="s">
        <v>416</v>
      </c>
      <c r="D493" s="6">
        <v>3.3</v>
      </c>
      <c r="E493" s="6">
        <v>3.31</v>
      </c>
      <c r="F493" s="7">
        <v>15.75</v>
      </c>
      <c r="G493" s="7">
        <v>3.59</v>
      </c>
      <c r="H493" s="7">
        <v>2.78</v>
      </c>
      <c r="I493" s="7">
        <v>2.06048103E9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5" t="s">
        <v>1041</v>
      </c>
      <c r="B494" s="5" t="s">
        <v>1042</v>
      </c>
      <c r="C494" s="4" t="s">
        <v>34</v>
      </c>
      <c r="D494" s="6">
        <v>1.22</v>
      </c>
      <c r="E494" s="6">
        <v>1.22</v>
      </c>
      <c r="F494" s="4"/>
      <c r="G494" s="7">
        <v>1.24</v>
      </c>
      <c r="H494" s="7">
        <v>1.1</v>
      </c>
      <c r="I494" s="7" t="e">
        <v>#N/A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5" t="s">
        <v>1043</v>
      </c>
      <c r="B495" s="5" t="s">
        <v>1044</v>
      </c>
      <c r="C495" s="4" t="s">
        <v>169</v>
      </c>
      <c r="D495" s="6">
        <v>0.38</v>
      </c>
      <c r="E495" s="6">
        <v>0.38</v>
      </c>
      <c r="F495" s="7">
        <v>55.97</v>
      </c>
      <c r="G495" s="7">
        <v>0.44</v>
      </c>
      <c r="H495" s="7">
        <v>0.33</v>
      </c>
      <c r="I495" s="7">
        <v>3.094144E7</v>
      </c>
      <c r="J495" s="7">
        <v>0.004</v>
      </c>
      <c r="K495" s="7">
        <v>0.004</v>
      </c>
      <c r="L495" s="7">
        <v>0.009</v>
      </c>
      <c r="M495" s="7">
        <v>0.002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5" t="s">
        <v>1045</v>
      </c>
      <c r="B496" s="5" t="s">
        <v>1046</v>
      </c>
      <c r="C496" s="4" t="s">
        <v>210</v>
      </c>
      <c r="D496" s="6">
        <v>0.06</v>
      </c>
      <c r="E496" s="6">
        <v>0.06</v>
      </c>
      <c r="F496" s="4"/>
      <c r="G496" s="7">
        <v>0.08</v>
      </c>
      <c r="H496" s="7">
        <v>0.02</v>
      </c>
      <c r="I496" s="7">
        <v>6.2435176E7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5" t="s">
        <v>1045</v>
      </c>
      <c r="B497" s="5" t="s">
        <v>1046</v>
      </c>
      <c r="C497" s="4" t="s">
        <v>210</v>
      </c>
      <c r="D497" s="6">
        <v>0.06</v>
      </c>
      <c r="E497" s="6">
        <v>0.06</v>
      </c>
      <c r="F497" s="4"/>
      <c r="G497" s="7">
        <v>0.08</v>
      </c>
      <c r="H497" s="7">
        <v>0.02</v>
      </c>
      <c r="I497" s="7">
        <v>6.2435176E7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5" t="s">
        <v>1047</v>
      </c>
      <c r="B498" s="5" t="s">
        <v>1048</v>
      </c>
      <c r="C498" s="4" t="s">
        <v>1049</v>
      </c>
      <c r="D498" s="6">
        <v>10.44</v>
      </c>
      <c r="E498" s="6">
        <v>10.37</v>
      </c>
      <c r="F498" s="7">
        <v>105.19</v>
      </c>
      <c r="G498" s="7">
        <v>12.73</v>
      </c>
      <c r="H498" s="7">
        <v>7.04</v>
      </c>
      <c r="I498" s="7">
        <v>1.232119354E9</v>
      </c>
      <c r="J498" s="7">
        <v>1.53</v>
      </c>
      <c r="K498" s="7">
        <v>1.53</v>
      </c>
      <c r="L498" s="7">
        <v>1.59</v>
      </c>
      <c r="M498" s="7">
        <v>1.285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5" t="s">
        <v>1050</v>
      </c>
      <c r="B499" s="5" t="s">
        <v>1051</v>
      </c>
      <c r="C499" s="4" t="s">
        <v>1052</v>
      </c>
      <c r="D499" s="6">
        <v>0.01</v>
      </c>
      <c r="E499" s="6">
        <v>0.01</v>
      </c>
      <c r="F499" s="4"/>
      <c r="G499" s="7">
        <v>0.01</v>
      </c>
      <c r="H499" s="7">
        <v>0.01</v>
      </c>
      <c r="I499" s="7">
        <v>3837691.0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5" t="s">
        <v>1053</v>
      </c>
      <c r="B500" s="5" t="s">
        <v>1054</v>
      </c>
      <c r="C500" s="4" t="s">
        <v>37</v>
      </c>
      <c r="D500" s="6">
        <v>0.01</v>
      </c>
      <c r="E500" s="6">
        <v>0.01</v>
      </c>
      <c r="F500" s="4"/>
      <c r="G500" s="7">
        <v>0.02</v>
      </c>
      <c r="H500" s="7">
        <v>0.01</v>
      </c>
      <c r="I500" s="7">
        <v>5.0567219E7</v>
      </c>
      <c r="J500" s="7">
        <v>18.49</v>
      </c>
      <c r="K500" s="7">
        <v>18.51</v>
      </c>
      <c r="L500" s="7">
        <v>19.0</v>
      </c>
      <c r="M500" s="7">
        <v>14.51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5" t="s">
        <v>1055</v>
      </c>
      <c r="B501" s="5" t="s">
        <v>1056</v>
      </c>
      <c r="C501" s="4" t="s">
        <v>34</v>
      </c>
      <c r="D501" s="6">
        <v>13.23</v>
      </c>
      <c r="E501" s="6">
        <v>13.19</v>
      </c>
      <c r="F501" s="4"/>
      <c r="G501" s="7">
        <v>16.48</v>
      </c>
      <c r="H501" s="7">
        <v>11.54</v>
      </c>
      <c r="I501" s="7" t="e">
        <v>#N/A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5" t="s">
        <v>1057</v>
      </c>
      <c r="B502" s="5" t="s">
        <v>1058</v>
      </c>
      <c r="C502" s="4" t="s">
        <v>17</v>
      </c>
      <c r="D502" s="6">
        <v>0.05</v>
      </c>
      <c r="E502" s="6">
        <v>0.05</v>
      </c>
      <c r="F502" s="4"/>
      <c r="G502" s="7">
        <v>0.08</v>
      </c>
      <c r="H502" s="7">
        <v>0.04</v>
      </c>
      <c r="I502" s="7">
        <v>6.2111245E7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5" t="s">
        <v>1059</v>
      </c>
      <c r="B503" s="5" t="s">
        <v>1060</v>
      </c>
      <c r="C503" s="4" t="s">
        <v>221</v>
      </c>
      <c r="D503" s="6">
        <v>0.04</v>
      </c>
      <c r="E503" s="6">
        <v>0.04</v>
      </c>
      <c r="F503" s="4"/>
      <c r="G503" s="7">
        <v>0.25</v>
      </c>
      <c r="H503" s="7">
        <v>0.02</v>
      </c>
      <c r="I503" s="7">
        <v>2.0210287E7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5" t="s">
        <v>1061</v>
      </c>
      <c r="B504" s="5" t="s">
        <v>1062</v>
      </c>
      <c r="C504" s="4" t="s">
        <v>34</v>
      </c>
      <c r="D504" s="6">
        <v>7.91</v>
      </c>
      <c r="E504" s="6">
        <v>7.82</v>
      </c>
      <c r="F504" s="4"/>
      <c r="G504" s="7">
        <v>8.55</v>
      </c>
      <c r="H504" s="7">
        <v>5.19</v>
      </c>
      <c r="I504" s="7" t="e">
        <v>#N/A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5" t="s">
        <v>1063</v>
      </c>
      <c r="B505" s="5" t="s">
        <v>1064</v>
      </c>
      <c r="C505" s="4" t="s">
        <v>68</v>
      </c>
      <c r="D505" s="6">
        <v>0.06</v>
      </c>
      <c r="E505" s="6">
        <v>0.06</v>
      </c>
      <c r="F505" s="4"/>
      <c r="G505" s="7">
        <v>0.12</v>
      </c>
      <c r="H505" s="7">
        <v>0.04</v>
      </c>
      <c r="I505" s="7">
        <v>2.8465383E7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5" t="s">
        <v>1065</v>
      </c>
      <c r="B506" s="5" t="s">
        <v>1066</v>
      </c>
      <c r="C506" s="4" t="s">
        <v>96</v>
      </c>
      <c r="D506" s="6">
        <v>0.8</v>
      </c>
      <c r="E506" s="6">
        <v>0.79</v>
      </c>
      <c r="F506" s="7">
        <v>19.04</v>
      </c>
      <c r="G506" s="7">
        <v>0.87</v>
      </c>
      <c r="H506" s="7">
        <v>0.34</v>
      </c>
      <c r="I506" s="7">
        <v>1.33599441E8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5" t="s">
        <v>1067</v>
      </c>
      <c r="B507" s="5" t="s">
        <v>1068</v>
      </c>
      <c r="C507" s="4" t="s">
        <v>416</v>
      </c>
      <c r="D507" s="6">
        <v>4.08</v>
      </c>
      <c r="E507" s="6">
        <v>4.08</v>
      </c>
      <c r="F507" s="7">
        <v>24.64</v>
      </c>
      <c r="G507" s="7">
        <v>4.66</v>
      </c>
      <c r="H507" s="7">
        <v>3.49</v>
      </c>
      <c r="I507" s="7">
        <v>1.1560049376E10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5" t="s">
        <v>1069</v>
      </c>
      <c r="B508" s="5" t="s">
        <v>1070</v>
      </c>
      <c r="C508" s="4" t="s">
        <v>645</v>
      </c>
      <c r="D508" s="6">
        <v>2.28</v>
      </c>
      <c r="E508" s="6">
        <v>2.27</v>
      </c>
      <c r="F508" s="7">
        <v>12.62</v>
      </c>
      <c r="G508" s="7">
        <v>2.3</v>
      </c>
      <c r="H508" s="7">
        <v>1.47</v>
      </c>
      <c r="I508" s="7">
        <v>1.84039386E8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5" t="s">
        <v>1071</v>
      </c>
      <c r="B509" s="5" t="s">
        <v>1072</v>
      </c>
      <c r="C509" s="4" t="s">
        <v>86</v>
      </c>
      <c r="D509" s="6">
        <v>0.0</v>
      </c>
      <c r="E509" s="6">
        <v>0.0</v>
      </c>
      <c r="F509" s="4"/>
      <c r="G509" s="7">
        <v>0.0</v>
      </c>
      <c r="H509" s="7">
        <v>0.0</v>
      </c>
      <c r="I509" s="7">
        <v>204292.0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5" t="s">
        <v>1073</v>
      </c>
      <c r="B510" s="5" t="s">
        <v>1074</v>
      </c>
      <c r="C510" s="4" t="s">
        <v>432</v>
      </c>
      <c r="D510" s="6">
        <v>1.93</v>
      </c>
      <c r="E510" s="6">
        <v>1.88</v>
      </c>
      <c r="F510" s="4"/>
      <c r="G510" s="7">
        <v>2.63</v>
      </c>
      <c r="H510" s="7">
        <v>1.51</v>
      </c>
      <c r="I510" s="7">
        <v>2.63500153E8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5" t="s">
        <v>1075</v>
      </c>
      <c r="B511" s="5" t="s">
        <v>1076</v>
      </c>
      <c r="C511" s="4" t="s">
        <v>23</v>
      </c>
      <c r="D511" s="6">
        <v>0.47</v>
      </c>
      <c r="E511" s="6">
        <v>0.47</v>
      </c>
      <c r="F511" s="4"/>
      <c r="G511" s="7">
        <v>0.64</v>
      </c>
      <c r="H511" s="7">
        <v>0.19</v>
      </c>
      <c r="I511" s="7">
        <v>1.0680245E7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5" t="s">
        <v>1077</v>
      </c>
      <c r="B512" s="5" t="s">
        <v>1078</v>
      </c>
      <c r="C512" s="4" t="s">
        <v>17</v>
      </c>
      <c r="D512" s="6">
        <v>0.03</v>
      </c>
      <c r="E512" s="6">
        <v>0.03</v>
      </c>
      <c r="F512" s="4"/>
      <c r="G512" s="7">
        <v>0.04</v>
      </c>
      <c r="H512" s="7">
        <v>0.01</v>
      </c>
      <c r="I512" s="7">
        <v>2.12716E7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5" t="s">
        <v>1079</v>
      </c>
      <c r="B513" s="5" t="s">
        <v>1080</v>
      </c>
      <c r="C513" s="4" t="s">
        <v>26</v>
      </c>
      <c r="D513" s="6">
        <v>0.1</v>
      </c>
      <c r="E513" s="6">
        <v>0.1</v>
      </c>
      <c r="F513" s="4"/>
      <c r="G513" s="7">
        <v>0.24</v>
      </c>
      <c r="H513" s="7">
        <v>0.07</v>
      </c>
      <c r="I513" s="7">
        <v>1.0078211E7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5" t="s">
        <v>1079</v>
      </c>
      <c r="B514" s="5" t="s">
        <v>1080</v>
      </c>
      <c r="C514" s="4" t="s">
        <v>26</v>
      </c>
      <c r="D514" s="6">
        <v>0.1</v>
      </c>
      <c r="E514" s="6">
        <v>0.1</v>
      </c>
      <c r="F514" s="4"/>
      <c r="G514" s="7">
        <v>0.24</v>
      </c>
      <c r="H514" s="7">
        <v>0.07</v>
      </c>
      <c r="I514" s="7">
        <v>1.0078211E7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8" t="s">
        <v>1079</v>
      </c>
      <c r="B515" s="8" t="s">
        <v>1080</v>
      </c>
      <c r="C515" s="9" t="s">
        <v>26</v>
      </c>
      <c r="D515" s="10">
        <v>0.1</v>
      </c>
      <c r="E515" s="6">
        <v>0.1</v>
      </c>
      <c r="F515" s="4"/>
      <c r="G515" s="7">
        <v>0.24</v>
      </c>
      <c r="H515" s="7">
        <v>0.07</v>
      </c>
      <c r="I515" s="7">
        <v>1.0078211E7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5" t="s">
        <v>1081</v>
      </c>
      <c r="B516" s="5" t="s">
        <v>1082</v>
      </c>
      <c r="C516" s="4" t="s">
        <v>26</v>
      </c>
      <c r="D516" s="6">
        <v>0.18</v>
      </c>
      <c r="E516" s="6">
        <v>0.18</v>
      </c>
      <c r="F516" s="4"/>
      <c r="G516" s="7">
        <v>0.23</v>
      </c>
      <c r="H516" s="7">
        <v>0.1</v>
      </c>
      <c r="I516" s="7">
        <v>7444479.0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5" t="s">
        <v>1081</v>
      </c>
      <c r="B517" s="5" t="s">
        <v>1082</v>
      </c>
      <c r="C517" s="4" t="s">
        <v>26</v>
      </c>
      <c r="D517" s="6">
        <v>0.18</v>
      </c>
      <c r="E517" s="6">
        <v>0.18</v>
      </c>
      <c r="F517" s="4"/>
      <c r="G517" s="7">
        <v>0.23</v>
      </c>
      <c r="H517" s="7">
        <v>0.1</v>
      </c>
      <c r="I517" s="7">
        <v>7444479.0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8" t="s">
        <v>1081</v>
      </c>
      <c r="B518" s="8" t="s">
        <v>1082</v>
      </c>
      <c r="C518" s="9" t="s">
        <v>26</v>
      </c>
      <c r="D518" s="10">
        <v>0.18</v>
      </c>
      <c r="E518" s="6">
        <v>0.18</v>
      </c>
      <c r="F518" s="4"/>
      <c r="G518" s="7">
        <v>0.23</v>
      </c>
      <c r="H518" s="7">
        <v>0.1</v>
      </c>
      <c r="I518" s="7">
        <v>7444479.0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5" t="s">
        <v>1083</v>
      </c>
      <c r="B519" s="5" t="s">
        <v>1084</v>
      </c>
      <c r="C519" s="4" t="s">
        <v>86</v>
      </c>
      <c r="D519" s="6">
        <v>14.44</v>
      </c>
      <c r="E519" s="6">
        <v>14.38</v>
      </c>
      <c r="F519" s="7">
        <v>39.09</v>
      </c>
      <c r="G519" s="7">
        <v>15.16</v>
      </c>
      <c r="H519" s="7">
        <v>6.21</v>
      </c>
      <c r="I519" s="7">
        <v>6.58706284E9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5" t="s">
        <v>1085</v>
      </c>
      <c r="B520" s="5" t="s">
        <v>1086</v>
      </c>
      <c r="C520" s="4" t="s">
        <v>37</v>
      </c>
      <c r="D520" s="6">
        <v>0.01</v>
      </c>
      <c r="E520" s="6">
        <v>0.02</v>
      </c>
      <c r="F520" s="4"/>
      <c r="G520" s="7">
        <v>0.03</v>
      </c>
      <c r="H520" s="7">
        <v>0.01</v>
      </c>
      <c r="I520" s="7">
        <v>4559590.0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5" t="s">
        <v>1087</v>
      </c>
      <c r="B521" s="5" t="s">
        <v>1088</v>
      </c>
      <c r="C521" s="4" t="s">
        <v>60</v>
      </c>
      <c r="D521" s="6">
        <v>0.35</v>
      </c>
      <c r="E521" s="6">
        <v>0.34</v>
      </c>
      <c r="F521" s="4"/>
      <c r="G521" s="7">
        <v>0.42</v>
      </c>
      <c r="H521" s="7">
        <v>0.24</v>
      </c>
      <c r="I521" s="7">
        <v>6.7904279E7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5" t="s">
        <v>1089</v>
      </c>
      <c r="B522" s="5" t="s">
        <v>1090</v>
      </c>
      <c r="C522" s="4" t="s">
        <v>141</v>
      </c>
      <c r="D522" s="6">
        <v>0.48</v>
      </c>
      <c r="E522" s="6">
        <v>0.46</v>
      </c>
      <c r="F522" s="4"/>
      <c r="G522" s="7">
        <v>0.5</v>
      </c>
      <c r="H522" s="7">
        <v>0.34</v>
      </c>
      <c r="I522" s="7">
        <v>1.243961809E9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5" t="s">
        <v>1091</v>
      </c>
      <c r="B523" s="5" t="s">
        <v>1092</v>
      </c>
      <c r="C523" s="4" t="s">
        <v>73</v>
      </c>
      <c r="D523" s="6">
        <v>0.03</v>
      </c>
      <c r="E523" s="6">
        <v>0.03</v>
      </c>
      <c r="F523" s="4"/>
      <c r="G523" s="7">
        <v>0.03</v>
      </c>
      <c r="H523" s="7">
        <v>0.03</v>
      </c>
      <c r="I523" s="7">
        <v>3.35458E7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5" t="s">
        <v>1093</v>
      </c>
      <c r="B524" s="5" t="s">
        <v>1094</v>
      </c>
      <c r="C524" s="4" t="s">
        <v>17</v>
      </c>
      <c r="D524" s="6">
        <v>0.49</v>
      </c>
      <c r="E524" s="6">
        <v>0.45</v>
      </c>
      <c r="F524" s="4"/>
      <c r="G524" s="7">
        <v>0.54</v>
      </c>
      <c r="H524" s="7">
        <v>0.22</v>
      </c>
      <c r="I524" s="7">
        <v>1.35298655E8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5" t="s">
        <v>1095</v>
      </c>
      <c r="B525" s="5" t="s">
        <v>1096</v>
      </c>
      <c r="C525" s="4" t="s">
        <v>76</v>
      </c>
      <c r="D525" s="6">
        <v>0.02</v>
      </c>
      <c r="E525" s="6">
        <v>0.02</v>
      </c>
      <c r="F525" s="4"/>
      <c r="G525" s="7">
        <v>0.04</v>
      </c>
      <c r="H525" s="7">
        <v>0.02</v>
      </c>
      <c r="I525" s="7">
        <v>1.5051088E7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5" t="s">
        <v>1097</v>
      </c>
      <c r="B526" s="5" t="s">
        <v>1098</v>
      </c>
      <c r="C526" s="4" t="s">
        <v>34</v>
      </c>
      <c r="D526" s="6">
        <v>8.01</v>
      </c>
      <c r="E526" s="6">
        <v>7.98</v>
      </c>
      <c r="F526" s="4"/>
      <c r="G526" s="7">
        <v>8.5</v>
      </c>
      <c r="H526" s="7">
        <v>6.26</v>
      </c>
      <c r="I526" s="7" t="e">
        <v>#N/A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5" t="s">
        <v>1099</v>
      </c>
      <c r="B527" s="5" t="s">
        <v>1100</v>
      </c>
      <c r="C527" s="4" t="s">
        <v>169</v>
      </c>
      <c r="D527" s="6">
        <v>2.03</v>
      </c>
      <c r="E527" s="6">
        <v>2.02</v>
      </c>
      <c r="F527" s="7">
        <v>20.71</v>
      </c>
      <c r="G527" s="7">
        <v>2.48</v>
      </c>
      <c r="H527" s="7">
        <v>1.46</v>
      </c>
      <c r="I527" s="7">
        <v>1.685086736E9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5" t="s">
        <v>1101</v>
      </c>
      <c r="B528" s="5" t="s">
        <v>1102</v>
      </c>
      <c r="C528" s="4" t="s">
        <v>17</v>
      </c>
      <c r="D528" s="6">
        <v>0.01</v>
      </c>
      <c r="E528" s="6">
        <v>0.01</v>
      </c>
      <c r="F528" s="4"/>
      <c r="G528" s="7">
        <v>0.06</v>
      </c>
      <c r="H528" s="7">
        <v>0.01</v>
      </c>
      <c r="I528" s="7">
        <v>6580606.0</v>
      </c>
      <c r="J528" s="7">
        <v>9.7</v>
      </c>
      <c r="K528" s="7">
        <v>9.7</v>
      </c>
      <c r="L528" s="7">
        <v>9.8</v>
      </c>
      <c r="M528" s="7">
        <v>9.4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5" t="s">
        <v>1103</v>
      </c>
      <c r="B529" s="5" t="s">
        <v>1104</v>
      </c>
      <c r="C529" s="4" t="s">
        <v>121</v>
      </c>
      <c r="D529" s="6">
        <v>0.37</v>
      </c>
      <c r="E529" s="6">
        <v>0.37</v>
      </c>
      <c r="F529" s="4"/>
      <c r="G529" s="7">
        <v>0.6</v>
      </c>
      <c r="H529" s="7">
        <v>0.15</v>
      </c>
      <c r="I529" s="7">
        <v>3.2221409E7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5" t="s">
        <v>1105</v>
      </c>
      <c r="B530" s="5" t="s">
        <v>1106</v>
      </c>
      <c r="C530" s="4" t="s">
        <v>135</v>
      </c>
      <c r="D530" s="6">
        <v>8.18</v>
      </c>
      <c r="E530" s="6">
        <v>8.13</v>
      </c>
      <c r="F530" s="4"/>
      <c r="G530" s="7">
        <v>8.96</v>
      </c>
      <c r="H530" s="7">
        <v>6.9</v>
      </c>
      <c r="I530" s="7">
        <v>4.078541E9</v>
      </c>
      <c r="J530" s="7">
        <v>0.225</v>
      </c>
      <c r="K530" s="7">
        <v>0.22</v>
      </c>
      <c r="L530" s="7">
        <v>0.255</v>
      </c>
      <c r="M530" s="7">
        <v>0.145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5" t="s">
        <v>1107</v>
      </c>
      <c r="B531" s="5" t="s">
        <v>1108</v>
      </c>
      <c r="C531" s="4" t="s">
        <v>37</v>
      </c>
      <c r="D531" s="6">
        <v>0.09</v>
      </c>
      <c r="E531" s="6">
        <v>0.08</v>
      </c>
      <c r="F531" s="4"/>
      <c r="G531" s="7">
        <v>0.36</v>
      </c>
      <c r="H531" s="7">
        <v>0.05</v>
      </c>
      <c r="I531" s="7">
        <v>5.117714E7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5" t="s">
        <v>1109</v>
      </c>
      <c r="B532" s="5" t="s">
        <v>1110</v>
      </c>
      <c r="C532" s="4" t="s">
        <v>17</v>
      </c>
      <c r="D532" s="6">
        <v>0.18</v>
      </c>
      <c r="E532" s="6">
        <v>0.17</v>
      </c>
      <c r="F532" s="4"/>
      <c r="G532" s="7">
        <v>0.2</v>
      </c>
      <c r="H532" s="7">
        <v>0.07</v>
      </c>
      <c r="I532" s="7">
        <v>6.6963332E7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5" t="s">
        <v>1111</v>
      </c>
      <c r="B533" s="5" t="s">
        <v>1112</v>
      </c>
      <c r="C533" s="4" t="s">
        <v>416</v>
      </c>
      <c r="D533" s="6">
        <v>1.13</v>
      </c>
      <c r="E533" s="6">
        <v>1.15</v>
      </c>
      <c r="F533" s="4"/>
      <c r="G533" s="7">
        <v>1.32</v>
      </c>
      <c r="H533" s="7">
        <v>1.11</v>
      </c>
      <c r="I533" s="7">
        <v>6.74990694E8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5" t="s">
        <v>1113</v>
      </c>
      <c r="B534" s="5" t="s">
        <v>1114</v>
      </c>
      <c r="C534" s="4" t="s">
        <v>239</v>
      </c>
      <c r="D534" s="6">
        <v>2.07</v>
      </c>
      <c r="E534" s="6">
        <v>2.09</v>
      </c>
      <c r="F534" s="7">
        <v>22.01</v>
      </c>
      <c r="G534" s="7">
        <v>2.46</v>
      </c>
      <c r="H534" s="7">
        <v>0.87</v>
      </c>
      <c r="I534" s="7">
        <v>4.38546045E8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5" t="s">
        <v>1115</v>
      </c>
      <c r="B535" s="5" t="s">
        <v>1116</v>
      </c>
      <c r="C535" s="4" t="s">
        <v>274</v>
      </c>
      <c r="D535" s="6">
        <v>261.01</v>
      </c>
      <c r="E535" s="6">
        <v>260.66</v>
      </c>
      <c r="F535" s="7">
        <v>44.03</v>
      </c>
      <c r="G535" s="7">
        <v>323.0</v>
      </c>
      <c r="H535" s="7">
        <v>246.14</v>
      </c>
      <c r="I535" s="7">
        <v>1.7069650073E10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5" t="s">
        <v>1117</v>
      </c>
      <c r="B536" s="5" t="s">
        <v>1118</v>
      </c>
      <c r="C536" s="4" t="s">
        <v>76</v>
      </c>
      <c r="D536" s="6">
        <v>0.14</v>
      </c>
      <c r="E536" s="6">
        <v>0.14</v>
      </c>
      <c r="F536" s="4"/>
      <c r="G536" s="7">
        <v>0.17</v>
      </c>
      <c r="H536" s="7">
        <v>0.1</v>
      </c>
      <c r="I536" s="7">
        <v>1.55750586E8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5" t="s">
        <v>1119</v>
      </c>
      <c r="B537" s="5" t="s">
        <v>1120</v>
      </c>
      <c r="C537" s="4" t="s">
        <v>578</v>
      </c>
      <c r="D537" s="6">
        <v>21.34</v>
      </c>
      <c r="E537" s="6">
        <v>21.44</v>
      </c>
      <c r="F537" s="7">
        <v>26.5</v>
      </c>
      <c r="G537" s="7">
        <v>24.28</v>
      </c>
      <c r="H537" s="7">
        <v>18.33</v>
      </c>
      <c r="I537" s="7">
        <v>2.8641225124E10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5" t="s">
        <v>1121</v>
      </c>
      <c r="B538" s="5" t="s">
        <v>1122</v>
      </c>
      <c r="C538" s="4" t="s">
        <v>34</v>
      </c>
      <c r="D538" s="6">
        <v>11.16</v>
      </c>
      <c r="E538" s="6">
        <v>11.3</v>
      </c>
      <c r="F538" s="4"/>
      <c r="G538" s="7">
        <v>11.47</v>
      </c>
      <c r="H538" s="7">
        <v>9.98</v>
      </c>
      <c r="I538" s="7" t="e">
        <v>#N/A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5" t="s">
        <v>1123</v>
      </c>
      <c r="B539" s="5" t="s">
        <v>1124</v>
      </c>
      <c r="C539" s="4" t="s">
        <v>1125</v>
      </c>
      <c r="D539" s="6">
        <v>0.5</v>
      </c>
      <c r="E539" s="6">
        <v>0.5</v>
      </c>
      <c r="F539" s="7">
        <v>12.22</v>
      </c>
      <c r="G539" s="7">
        <v>1.04</v>
      </c>
      <c r="H539" s="7">
        <v>0.38</v>
      </c>
      <c r="I539" s="7">
        <v>9.008445E7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5" t="s">
        <v>1126</v>
      </c>
      <c r="B540" s="5" t="s">
        <v>1127</v>
      </c>
      <c r="C540" s="4" t="s">
        <v>162</v>
      </c>
      <c r="D540" s="6">
        <v>0.62</v>
      </c>
      <c r="E540" s="6">
        <v>0.61</v>
      </c>
      <c r="F540" s="4"/>
      <c r="G540" s="7">
        <v>0.75</v>
      </c>
      <c r="H540" s="7">
        <v>0.31</v>
      </c>
      <c r="I540" s="7">
        <v>8.3480224E7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5" t="s">
        <v>1128</v>
      </c>
      <c r="B541" s="5" t="s">
        <v>1129</v>
      </c>
      <c r="C541" s="4" t="s">
        <v>17</v>
      </c>
      <c r="D541" s="6">
        <v>0.01</v>
      </c>
      <c r="E541" s="6">
        <v>0.01</v>
      </c>
      <c r="F541" s="4"/>
      <c r="G541" s="7">
        <v>0.02</v>
      </c>
      <c r="H541" s="7">
        <v>0.01</v>
      </c>
      <c r="I541" s="7">
        <v>8826570.0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5" t="s">
        <v>1130</v>
      </c>
      <c r="B542" s="5" t="s">
        <v>1131</v>
      </c>
      <c r="C542" s="4" t="s">
        <v>265</v>
      </c>
      <c r="D542" s="6">
        <v>0.08</v>
      </c>
      <c r="E542" s="6">
        <v>0.08</v>
      </c>
      <c r="F542" s="4"/>
      <c r="G542" s="7">
        <v>0.08</v>
      </c>
      <c r="H542" s="7">
        <v>0.02</v>
      </c>
      <c r="I542" s="7">
        <v>2.5356864E7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5" t="s">
        <v>1132</v>
      </c>
      <c r="B543" s="5" t="s">
        <v>1133</v>
      </c>
      <c r="C543" s="4" t="s">
        <v>17</v>
      </c>
      <c r="D543" s="6">
        <v>0.05</v>
      </c>
      <c r="E543" s="6">
        <v>0.06</v>
      </c>
      <c r="F543" s="4"/>
      <c r="G543" s="7">
        <v>0.08</v>
      </c>
      <c r="H543" s="7">
        <v>0.03</v>
      </c>
      <c r="I543" s="7">
        <v>3802864.0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5" t="s">
        <v>1134</v>
      </c>
      <c r="B544" s="5" t="s">
        <v>1135</v>
      </c>
      <c r="C544" s="4" t="s">
        <v>17</v>
      </c>
      <c r="D544" s="6">
        <v>0.09</v>
      </c>
      <c r="E544" s="6">
        <v>0.09</v>
      </c>
      <c r="F544" s="4"/>
      <c r="G544" s="7">
        <v>0.18</v>
      </c>
      <c r="H544" s="7">
        <v>0.05</v>
      </c>
      <c r="I544" s="7">
        <v>2.246064E7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5" t="s">
        <v>1136</v>
      </c>
      <c r="B545" s="5" t="s">
        <v>1137</v>
      </c>
      <c r="C545" s="4" t="s">
        <v>37</v>
      </c>
      <c r="D545" s="6">
        <v>0.01</v>
      </c>
      <c r="E545" s="6">
        <v>0.01</v>
      </c>
      <c r="F545" s="4"/>
      <c r="G545" s="7">
        <v>0.02</v>
      </c>
      <c r="H545" s="7">
        <v>0.01</v>
      </c>
      <c r="I545" s="7">
        <v>9371916.0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5" t="s">
        <v>1138</v>
      </c>
      <c r="B546" s="5" t="s">
        <v>1139</v>
      </c>
      <c r="C546" s="4" t="s">
        <v>1125</v>
      </c>
      <c r="D546" s="6">
        <v>34.15</v>
      </c>
      <c r="E546" s="6">
        <v>34.14</v>
      </c>
      <c r="F546" s="7">
        <v>22.23</v>
      </c>
      <c r="G546" s="7">
        <v>43.23</v>
      </c>
      <c r="H546" s="7">
        <v>32.5</v>
      </c>
      <c r="I546" s="7">
        <v>1.9751913517E10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5" t="s">
        <v>1140</v>
      </c>
      <c r="B547" s="5" t="s">
        <v>1141</v>
      </c>
      <c r="C547" s="4" t="s">
        <v>1142</v>
      </c>
      <c r="D547" s="6">
        <v>0.14</v>
      </c>
      <c r="E547" s="6">
        <v>0.14</v>
      </c>
      <c r="F547" s="4"/>
      <c r="G547" s="7">
        <v>0.3</v>
      </c>
      <c r="H547" s="7">
        <v>0.12</v>
      </c>
      <c r="I547" s="7">
        <v>3.9775524E7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5" t="s">
        <v>1143</v>
      </c>
      <c r="B548" s="5" t="s">
        <v>1144</v>
      </c>
      <c r="C548" s="4" t="s">
        <v>472</v>
      </c>
      <c r="D548" s="6">
        <v>3.07</v>
      </c>
      <c r="E548" s="6">
        <v>3.08</v>
      </c>
      <c r="F548" s="7">
        <v>16.12</v>
      </c>
      <c r="G548" s="7">
        <v>3.46</v>
      </c>
      <c r="H548" s="7">
        <v>2.5</v>
      </c>
      <c r="I548" s="7">
        <v>1.139303684E9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5" t="s">
        <v>1145</v>
      </c>
      <c r="B549" s="5" t="s">
        <v>1146</v>
      </c>
      <c r="C549" s="4" t="s">
        <v>416</v>
      </c>
      <c r="D549" s="6">
        <v>4.09</v>
      </c>
      <c r="E549" s="6">
        <v>4.07</v>
      </c>
      <c r="F549" s="7">
        <v>11.12</v>
      </c>
      <c r="G549" s="7">
        <v>4.31</v>
      </c>
      <c r="H549" s="7">
        <v>3.08</v>
      </c>
      <c r="I549" s="7">
        <v>2.377228334E9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5" t="s">
        <v>1147</v>
      </c>
      <c r="B550" s="5" t="s">
        <v>1148</v>
      </c>
      <c r="C550" s="4" t="s">
        <v>60</v>
      </c>
      <c r="D550" s="6">
        <v>0.05</v>
      </c>
      <c r="E550" s="6">
        <v>0.05</v>
      </c>
      <c r="F550" s="4"/>
      <c r="G550" s="7">
        <v>0.06</v>
      </c>
      <c r="H550" s="7">
        <v>0.03</v>
      </c>
      <c r="I550" s="7">
        <v>3.2031365E7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5" t="s">
        <v>1149</v>
      </c>
      <c r="B551" s="5" t="s">
        <v>1150</v>
      </c>
      <c r="C551" s="4" t="s">
        <v>17</v>
      </c>
      <c r="D551" s="6">
        <v>0.16</v>
      </c>
      <c r="E551" s="6">
        <v>0.16</v>
      </c>
      <c r="F551" s="4"/>
      <c r="G551" s="7">
        <v>0.27</v>
      </c>
      <c r="H551" s="7">
        <v>0.11</v>
      </c>
      <c r="I551" s="7">
        <v>1.286311E7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5" t="s">
        <v>1151</v>
      </c>
      <c r="B552" s="5" t="s">
        <v>1152</v>
      </c>
      <c r="C552" s="4" t="s">
        <v>17</v>
      </c>
      <c r="D552" s="6">
        <v>0.01</v>
      </c>
      <c r="E552" s="6">
        <v>0.01</v>
      </c>
      <c r="F552" s="4"/>
      <c r="G552" s="7">
        <v>0.03</v>
      </c>
      <c r="H552" s="7">
        <v>0.01</v>
      </c>
      <c r="I552" s="7">
        <v>4394910.0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5" t="s">
        <v>1153</v>
      </c>
      <c r="B553" s="5" t="s">
        <v>1154</v>
      </c>
      <c r="C553" s="4" t="s">
        <v>961</v>
      </c>
      <c r="D553" s="6">
        <v>0.01</v>
      </c>
      <c r="E553" s="6">
        <v>0.01</v>
      </c>
      <c r="F553" s="4"/>
      <c r="G553" s="7">
        <v>0.01</v>
      </c>
      <c r="H553" s="7">
        <v>0.0</v>
      </c>
      <c r="I553" s="7">
        <v>9455430.0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5" t="s">
        <v>1155</v>
      </c>
      <c r="B554" s="5" t="s">
        <v>1156</v>
      </c>
      <c r="C554" s="4" t="s">
        <v>961</v>
      </c>
      <c r="D554" s="6">
        <v>0.01</v>
      </c>
      <c r="E554" s="6">
        <v>0.01</v>
      </c>
      <c r="F554" s="4"/>
      <c r="G554" s="7">
        <v>0.01</v>
      </c>
      <c r="H554" s="7">
        <v>0.0</v>
      </c>
      <c r="I554" s="7">
        <v>2979664.0</v>
      </c>
      <c r="J554" s="7">
        <v>0.042</v>
      </c>
      <c r="K554" s="7">
        <v>0.043</v>
      </c>
      <c r="L554" s="7">
        <v>0.05</v>
      </c>
      <c r="M554" s="7">
        <v>0.015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5" t="s">
        <v>1157</v>
      </c>
      <c r="B555" s="5" t="s">
        <v>1158</v>
      </c>
      <c r="C555" s="4" t="s">
        <v>76</v>
      </c>
      <c r="D555" s="6">
        <v>0.63</v>
      </c>
      <c r="E555" s="6">
        <v>0.63</v>
      </c>
      <c r="F555" s="4"/>
      <c r="G555" s="7">
        <v>0.9</v>
      </c>
      <c r="H555" s="7">
        <v>0.55</v>
      </c>
      <c r="I555" s="7">
        <v>1.20696125E8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5" t="s">
        <v>1159</v>
      </c>
      <c r="B556" s="5" t="s">
        <v>1160</v>
      </c>
      <c r="C556" s="4" t="s">
        <v>34</v>
      </c>
      <c r="D556" s="6">
        <v>23.0</v>
      </c>
      <c r="E556" s="6">
        <v>23.16</v>
      </c>
      <c r="F556" s="4"/>
      <c r="G556" s="7">
        <v>24.04</v>
      </c>
      <c r="H556" s="7">
        <v>22.71</v>
      </c>
      <c r="I556" s="7" t="e">
        <v>#N/A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5" t="s">
        <v>1161</v>
      </c>
      <c r="B557" s="5" t="s">
        <v>1162</v>
      </c>
      <c r="C557" s="4" t="s">
        <v>17</v>
      </c>
      <c r="D557" s="6">
        <v>0.03</v>
      </c>
      <c r="E557" s="6">
        <v>0.03</v>
      </c>
      <c r="F557" s="4"/>
      <c r="G557" s="7">
        <v>0.05</v>
      </c>
      <c r="H557" s="7">
        <v>0.01</v>
      </c>
      <c r="I557" s="7">
        <v>6.8107285E7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5" t="s">
        <v>1163</v>
      </c>
      <c r="B558" s="5" t="s">
        <v>1164</v>
      </c>
      <c r="C558" s="4" t="s">
        <v>210</v>
      </c>
      <c r="D558" s="6">
        <v>0.36</v>
      </c>
      <c r="E558" s="6">
        <v>0.32</v>
      </c>
      <c r="F558" s="4"/>
      <c r="G558" s="7">
        <v>0.79</v>
      </c>
      <c r="H558" s="7">
        <v>0.1</v>
      </c>
      <c r="I558" s="7">
        <v>6.03523103E8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5" t="s">
        <v>1163</v>
      </c>
      <c r="B559" s="5" t="s">
        <v>1164</v>
      </c>
      <c r="C559" s="4" t="s">
        <v>210</v>
      </c>
      <c r="D559" s="6">
        <v>0.36</v>
      </c>
      <c r="E559" s="6">
        <v>0.32</v>
      </c>
      <c r="F559" s="4"/>
      <c r="G559" s="7">
        <v>0.79</v>
      </c>
      <c r="H559" s="7">
        <v>0.1</v>
      </c>
      <c r="I559" s="7">
        <v>6.03523103E8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5" t="s">
        <v>1165</v>
      </c>
      <c r="B560" s="5" t="s">
        <v>1166</v>
      </c>
      <c r="C560" s="4" t="s">
        <v>17</v>
      </c>
      <c r="D560" s="6">
        <v>0.01</v>
      </c>
      <c r="E560" s="6">
        <v>0.01</v>
      </c>
      <c r="F560" s="4"/>
      <c r="G560" s="7">
        <v>0.01</v>
      </c>
      <c r="H560" s="7">
        <v>0.0</v>
      </c>
      <c r="I560" s="7">
        <v>1.9254944E7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5" t="s">
        <v>1167</v>
      </c>
      <c r="B561" s="5" t="s">
        <v>1168</v>
      </c>
      <c r="C561" s="4" t="s">
        <v>17</v>
      </c>
      <c r="D561" s="6">
        <v>0.1</v>
      </c>
      <c r="E561" s="6">
        <v>0.09</v>
      </c>
      <c r="F561" s="4"/>
      <c r="G561" s="7">
        <v>0.16</v>
      </c>
      <c r="H561" s="7">
        <v>0.02</v>
      </c>
      <c r="I561" s="7">
        <v>7.3666631E7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5" t="s">
        <v>1169</v>
      </c>
      <c r="B562" s="5" t="s">
        <v>1170</v>
      </c>
      <c r="C562" s="4" t="s">
        <v>34</v>
      </c>
      <c r="D562" s="6">
        <v>6.75</v>
      </c>
      <c r="E562" s="6">
        <v>6.8</v>
      </c>
      <c r="F562" s="4"/>
      <c r="G562" s="7">
        <v>10.81</v>
      </c>
      <c r="H562" s="7">
        <v>4.32</v>
      </c>
      <c r="I562" s="7" t="e">
        <v>#N/A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5" t="s">
        <v>1171</v>
      </c>
      <c r="B563" s="5" t="s">
        <v>1172</v>
      </c>
      <c r="C563" s="4" t="s">
        <v>109</v>
      </c>
      <c r="D563" s="6">
        <v>14.51</v>
      </c>
      <c r="E563" s="6">
        <v>15.16</v>
      </c>
      <c r="F563" s="4"/>
      <c r="G563" s="7">
        <v>15.63</v>
      </c>
      <c r="H563" s="7">
        <v>5.8</v>
      </c>
      <c r="I563" s="7">
        <v>1.0362476507E10</v>
      </c>
      <c r="J563" s="4"/>
      <c r="K563" s="4"/>
      <c r="L563" s="4"/>
      <c r="M563" s="4"/>
      <c r="N563" s="4"/>
      <c r="O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5" t="s">
        <v>1173</v>
      </c>
      <c r="B564" s="5" t="s">
        <v>1174</v>
      </c>
      <c r="C564" s="4" t="s">
        <v>172</v>
      </c>
      <c r="D564" s="6">
        <v>171.96</v>
      </c>
      <c r="E564" s="6">
        <v>172.65</v>
      </c>
      <c r="F564" s="7">
        <v>18.64</v>
      </c>
      <c r="G564" s="7">
        <v>290.32</v>
      </c>
      <c r="H564" s="7">
        <v>168.0</v>
      </c>
      <c r="I564" s="7">
        <v>8.3426638001E10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5" t="s">
        <v>1175</v>
      </c>
      <c r="B565" s="5" t="s">
        <v>1176</v>
      </c>
      <c r="C565" s="4" t="s">
        <v>17</v>
      </c>
      <c r="D565" s="6">
        <v>0.14</v>
      </c>
      <c r="E565" s="6">
        <v>0.13</v>
      </c>
      <c r="F565" s="4"/>
      <c r="G565" s="7">
        <v>0.14</v>
      </c>
      <c r="H565" s="7">
        <v>0.05</v>
      </c>
      <c r="I565" s="7">
        <v>3.9688516E7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5" t="s">
        <v>1177</v>
      </c>
      <c r="B566" s="5" t="s">
        <v>1178</v>
      </c>
      <c r="C566" s="4" t="s">
        <v>274</v>
      </c>
      <c r="D566" s="6">
        <v>0.68</v>
      </c>
      <c r="E566" s="6">
        <v>0.68</v>
      </c>
      <c r="F566" s="4"/>
      <c r="G566" s="7">
        <v>0.88</v>
      </c>
      <c r="H566" s="7">
        <v>0.37</v>
      </c>
      <c r="I566" s="7">
        <v>5.3299454E7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5" t="s">
        <v>1179</v>
      </c>
      <c r="B567" s="5" t="s">
        <v>1180</v>
      </c>
      <c r="C567" s="4" t="s">
        <v>182</v>
      </c>
      <c r="D567" s="6">
        <v>0.0</v>
      </c>
      <c r="E567" s="6">
        <v>0.0</v>
      </c>
      <c r="F567" s="7">
        <v>200.0</v>
      </c>
      <c r="G567" s="7">
        <v>0.0</v>
      </c>
      <c r="H567" s="7">
        <v>0.0</v>
      </c>
      <c r="I567" s="7">
        <v>2949470.0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5" t="s">
        <v>1181</v>
      </c>
      <c r="B568" s="5" t="s">
        <v>1182</v>
      </c>
      <c r="C568" s="4" t="s">
        <v>668</v>
      </c>
      <c r="D568" s="6">
        <v>16.07</v>
      </c>
      <c r="E568" s="6">
        <v>16.07</v>
      </c>
      <c r="F568" s="7">
        <v>36.65</v>
      </c>
      <c r="G568" s="7">
        <v>17.87</v>
      </c>
      <c r="H568" s="7">
        <v>11.14</v>
      </c>
      <c r="I568" s="7">
        <v>2.351455E9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5" t="s">
        <v>1183</v>
      </c>
      <c r="B569" s="5" t="s">
        <v>1184</v>
      </c>
      <c r="C569" s="4" t="s">
        <v>162</v>
      </c>
      <c r="D569" s="6">
        <v>1.0</v>
      </c>
      <c r="E569" s="6">
        <v>1.0</v>
      </c>
      <c r="F569" s="7">
        <v>26.44</v>
      </c>
      <c r="G569" s="7">
        <v>1.3</v>
      </c>
      <c r="H569" s="7">
        <v>0.66</v>
      </c>
      <c r="I569" s="7">
        <v>4.880956E7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5" t="s">
        <v>1185</v>
      </c>
      <c r="B570" s="5" t="s">
        <v>1186</v>
      </c>
      <c r="C570" s="4" t="s">
        <v>17</v>
      </c>
      <c r="D570" s="6">
        <v>0.58</v>
      </c>
      <c r="E570" s="6">
        <v>0.59</v>
      </c>
      <c r="F570" s="4"/>
      <c r="G570" s="7">
        <v>0.6</v>
      </c>
      <c r="H570" s="7">
        <v>0.26</v>
      </c>
      <c r="I570" s="7">
        <v>3.23673688E8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5" t="s">
        <v>1187</v>
      </c>
      <c r="B571" s="5" t="s">
        <v>1188</v>
      </c>
      <c r="C571" s="4" t="s">
        <v>86</v>
      </c>
      <c r="D571" s="6">
        <v>0.02</v>
      </c>
      <c r="E571" s="6">
        <v>0.02</v>
      </c>
      <c r="F571" s="4"/>
      <c r="G571" s="7">
        <v>0.02</v>
      </c>
      <c r="H571" s="7">
        <v>0.0</v>
      </c>
      <c r="I571" s="7">
        <v>4.0800002E7</v>
      </c>
      <c r="J571" s="7">
        <v>7.66</v>
      </c>
      <c r="K571" s="7">
        <v>7.66</v>
      </c>
      <c r="L571" s="7">
        <v>8.11</v>
      </c>
      <c r="M571" s="7">
        <v>6.76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5" t="s">
        <v>1189</v>
      </c>
      <c r="B572" s="5" t="s">
        <v>1190</v>
      </c>
      <c r="C572" s="4" t="s">
        <v>76</v>
      </c>
      <c r="D572" s="6">
        <v>0.06</v>
      </c>
      <c r="E572" s="6">
        <v>0.06</v>
      </c>
      <c r="F572" s="7">
        <v>6.06</v>
      </c>
      <c r="G572" s="7">
        <v>0.07</v>
      </c>
      <c r="H572" s="7">
        <v>0.05</v>
      </c>
      <c r="I572" s="7">
        <v>4.7449222E7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5" t="s">
        <v>1191</v>
      </c>
      <c r="B573" s="5" t="s">
        <v>1192</v>
      </c>
      <c r="C573" s="4" t="s">
        <v>162</v>
      </c>
      <c r="D573" s="6">
        <v>0.01</v>
      </c>
      <c r="E573" s="6">
        <v>0.01</v>
      </c>
      <c r="F573" s="7">
        <v>50.0</v>
      </c>
      <c r="G573" s="7">
        <v>0.02</v>
      </c>
      <c r="H573" s="7">
        <v>0.01</v>
      </c>
      <c r="I573" s="7">
        <v>2608310.0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5" t="s">
        <v>1193</v>
      </c>
      <c r="B574" s="5" t="s">
        <v>1194</v>
      </c>
      <c r="C574" s="4" t="s">
        <v>618</v>
      </c>
      <c r="D574" s="6">
        <v>0.92</v>
      </c>
      <c r="E574" s="6">
        <v>0.88</v>
      </c>
      <c r="F574" s="4"/>
      <c r="G574" s="7">
        <v>1.65</v>
      </c>
      <c r="H574" s="7">
        <v>0.25</v>
      </c>
      <c r="I574" s="7">
        <v>3.48746246E8</v>
      </c>
      <c r="J574" s="7">
        <v>10.99</v>
      </c>
      <c r="K574" s="7">
        <v>11.01</v>
      </c>
      <c r="L574" s="7">
        <v>11.15</v>
      </c>
      <c r="M574" s="7">
        <v>10.13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5" t="s">
        <v>1195</v>
      </c>
      <c r="B575" s="5" t="s">
        <v>1196</v>
      </c>
      <c r="C575" s="4" t="s">
        <v>23</v>
      </c>
      <c r="D575" s="6">
        <v>3.71</v>
      </c>
      <c r="E575" s="6">
        <v>3.38</v>
      </c>
      <c r="F575" s="4"/>
      <c r="G575" s="7">
        <v>5.87</v>
      </c>
      <c r="H575" s="7">
        <v>1.43</v>
      </c>
      <c r="I575" s="7">
        <v>1.380231685E9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5" t="s">
        <v>1197</v>
      </c>
      <c r="B576" s="5" t="s">
        <v>1198</v>
      </c>
      <c r="C576" s="4" t="s">
        <v>76</v>
      </c>
      <c r="D576" s="6">
        <v>0.12</v>
      </c>
      <c r="E576" s="6">
        <v>0.12</v>
      </c>
      <c r="F576" s="7">
        <v>13.27</v>
      </c>
      <c r="G576" s="7">
        <v>0.13</v>
      </c>
      <c r="H576" s="7">
        <v>0.09</v>
      </c>
      <c r="I576" s="7">
        <v>8.0474614E7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5" t="s">
        <v>1199</v>
      </c>
      <c r="B577" s="5" t="s">
        <v>1200</v>
      </c>
      <c r="C577" s="4" t="s">
        <v>210</v>
      </c>
      <c r="D577" s="6">
        <v>0.03</v>
      </c>
      <c r="E577" s="6">
        <v>0.03</v>
      </c>
      <c r="F577" s="7">
        <v>51.79</v>
      </c>
      <c r="G577" s="7">
        <v>0.06</v>
      </c>
      <c r="H577" s="7">
        <v>0.01</v>
      </c>
      <c r="I577" s="7">
        <v>5.0075023E7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5" t="s">
        <v>1199</v>
      </c>
      <c r="B578" s="5" t="s">
        <v>1200</v>
      </c>
      <c r="C578" s="4" t="s">
        <v>210</v>
      </c>
      <c r="D578" s="6">
        <v>0.03</v>
      </c>
      <c r="E578" s="6">
        <v>0.03</v>
      </c>
      <c r="F578" s="7">
        <v>51.79</v>
      </c>
      <c r="G578" s="7">
        <v>0.06</v>
      </c>
      <c r="H578" s="7">
        <v>0.01</v>
      </c>
      <c r="I578" s="7">
        <v>5.0075023E7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5" t="s">
        <v>1201</v>
      </c>
      <c r="B579" s="5" t="s">
        <v>1202</v>
      </c>
      <c r="C579" s="4" t="s">
        <v>34</v>
      </c>
      <c r="D579" s="6">
        <v>1.48</v>
      </c>
      <c r="E579" s="6">
        <v>1.48</v>
      </c>
      <c r="F579" s="4"/>
      <c r="G579" s="7">
        <v>1.53</v>
      </c>
      <c r="H579" s="7">
        <v>1.41</v>
      </c>
      <c r="I579" s="7" t="e">
        <v>#N/A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5" t="s">
        <v>1203</v>
      </c>
      <c r="B580" s="5" t="s">
        <v>1204</v>
      </c>
      <c r="C580" s="4" t="s">
        <v>17</v>
      </c>
      <c r="D580" s="6">
        <v>0.01</v>
      </c>
      <c r="E580" s="6">
        <v>0.01</v>
      </c>
      <c r="F580" s="4"/>
      <c r="G580" s="7">
        <v>0.01</v>
      </c>
      <c r="H580" s="7">
        <v>0.0</v>
      </c>
      <c r="I580" s="7">
        <v>3883047.0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5" t="s">
        <v>1205</v>
      </c>
      <c r="B581" s="5" t="s">
        <v>1206</v>
      </c>
      <c r="C581" s="4" t="s">
        <v>244</v>
      </c>
      <c r="D581" s="6">
        <v>1.13</v>
      </c>
      <c r="E581" s="6">
        <v>1.11</v>
      </c>
      <c r="F581" s="7">
        <v>21.72</v>
      </c>
      <c r="G581" s="7">
        <v>1.15</v>
      </c>
      <c r="H581" s="7">
        <v>0.67</v>
      </c>
      <c r="I581" s="7">
        <v>1.90603687E8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5" t="s">
        <v>1207</v>
      </c>
      <c r="B582" s="5" t="s">
        <v>1208</v>
      </c>
      <c r="C582" s="4" t="s">
        <v>34</v>
      </c>
      <c r="D582" s="6">
        <v>61.84</v>
      </c>
      <c r="E582" s="6">
        <v>62.0</v>
      </c>
      <c r="F582" s="4"/>
      <c r="G582" s="7">
        <v>64.74</v>
      </c>
      <c r="H582" s="7">
        <v>38.76</v>
      </c>
      <c r="I582" s="7" t="e">
        <v>#N/A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5" t="s">
        <v>1209</v>
      </c>
      <c r="B583" s="5" t="s">
        <v>1210</v>
      </c>
      <c r="C583" s="4" t="s">
        <v>172</v>
      </c>
      <c r="D583" s="6">
        <v>12.71</v>
      </c>
      <c r="E583" s="6">
        <v>12.46</v>
      </c>
      <c r="F583" s="7">
        <v>17.7</v>
      </c>
      <c r="G583" s="7">
        <v>14.0</v>
      </c>
      <c r="H583" s="7">
        <v>9.41</v>
      </c>
      <c r="I583" s="7">
        <v>6.3805128E8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5" t="s">
        <v>1211</v>
      </c>
      <c r="B584" s="5" t="s">
        <v>1212</v>
      </c>
      <c r="C584" s="4" t="s">
        <v>60</v>
      </c>
      <c r="D584" s="6">
        <v>0.08</v>
      </c>
      <c r="E584" s="6">
        <v>0.07</v>
      </c>
      <c r="F584" s="4"/>
      <c r="G584" s="7">
        <v>0.18</v>
      </c>
      <c r="H584" s="7">
        <v>0.06</v>
      </c>
      <c r="I584" s="7">
        <v>3.7589021E7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5" t="s">
        <v>1213</v>
      </c>
      <c r="B585" s="5" t="s">
        <v>1214</v>
      </c>
      <c r="C585" s="4" t="s">
        <v>239</v>
      </c>
      <c r="D585" s="6">
        <v>2.02</v>
      </c>
      <c r="E585" s="6">
        <v>2.02</v>
      </c>
      <c r="F585" s="7">
        <v>438.18</v>
      </c>
      <c r="G585" s="7">
        <v>2.25</v>
      </c>
      <c r="H585" s="7">
        <v>1.88</v>
      </c>
      <c r="I585" s="7">
        <v>2.356053E8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5" t="s">
        <v>1215</v>
      </c>
      <c r="B586" s="5" t="s">
        <v>1216</v>
      </c>
      <c r="C586" s="4" t="s">
        <v>121</v>
      </c>
      <c r="D586" s="6">
        <v>1.47</v>
      </c>
      <c r="E586" s="6">
        <v>1.46</v>
      </c>
      <c r="F586" s="4"/>
      <c r="G586" s="7">
        <v>1.57</v>
      </c>
      <c r="H586" s="7">
        <v>0.82</v>
      </c>
      <c r="I586" s="7">
        <v>5.89892347E8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5" t="s">
        <v>1217</v>
      </c>
      <c r="B587" s="5" t="s">
        <v>1218</v>
      </c>
      <c r="C587" s="4" t="s">
        <v>76</v>
      </c>
      <c r="D587" s="6">
        <v>0.09</v>
      </c>
      <c r="E587" s="6">
        <v>0.09</v>
      </c>
      <c r="F587" s="7">
        <v>43.63</v>
      </c>
      <c r="G587" s="7">
        <v>0.16</v>
      </c>
      <c r="H587" s="7">
        <v>0.08</v>
      </c>
      <c r="I587" s="7">
        <v>1.5215191E8</v>
      </c>
      <c r="J587" s="7">
        <v>0.002</v>
      </c>
      <c r="K587" s="7">
        <v>0.001</v>
      </c>
      <c r="L587" s="7">
        <v>0.002</v>
      </c>
      <c r="M587" s="7">
        <v>0.001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5" t="s">
        <v>1219</v>
      </c>
      <c r="B588" s="5" t="s">
        <v>1220</v>
      </c>
      <c r="C588" s="4" t="s">
        <v>86</v>
      </c>
      <c r="D588" s="6">
        <v>0.34</v>
      </c>
      <c r="E588" s="6">
        <v>0.36</v>
      </c>
      <c r="F588" s="4"/>
      <c r="G588" s="7">
        <v>0.46</v>
      </c>
      <c r="H588" s="7">
        <v>0.07</v>
      </c>
      <c r="I588" s="7">
        <v>2.3918299E7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5" t="s">
        <v>1221</v>
      </c>
      <c r="B589" s="5" t="s">
        <v>1222</v>
      </c>
      <c r="C589" s="4" t="s">
        <v>17</v>
      </c>
      <c r="D589" s="6">
        <v>0.29</v>
      </c>
      <c r="E589" s="6">
        <v>0.3</v>
      </c>
      <c r="F589" s="4"/>
      <c r="G589" s="7">
        <v>0.31</v>
      </c>
      <c r="H589" s="7">
        <v>0.13</v>
      </c>
      <c r="I589" s="7">
        <v>1.59340379E8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5" t="s">
        <v>1223</v>
      </c>
      <c r="B590" s="5" t="s">
        <v>1224</v>
      </c>
      <c r="C590" s="4" t="s">
        <v>1008</v>
      </c>
      <c r="D590" s="6">
        <v>0.57</v>
      </c>
      <c r="E590" s="6">
        <v>0.55</v>
      </c>
      <c r="F590" s="7">
        <v>23.38</v>
      </c>
      <c r="G590" s="7">
        <v>0.62</v>
      </c>
      <c r="H590" s="7">
        <v>0.35</v>
      </c>
      <c r="I590" s="7">
        <v>3.58203613E8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5" t="s">
        <v>1225</v>
      </c>
      <c r="B591" s="5" t="s">
        <v>1226</v>
      </c>
      <c r="C591" s="4" t="s">
        <v>141</v>
      </c>
      <c r="D591" s="6">
        <v>8.53</v>
      </c>
      <c r="E591" s="6">
        <v>8.56</v>
      </c>
      <c r="F591" s="7">
        <v>14.85</v>
      </c>
      <c r="G591" s="7">
        <v>9.17</v>
      </c>
      <c r="H591" s="7">
        <v>4.85</v>
      </c>
      <c r="I591" s="7">
        <v>7.25696039E8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5" t="s">
        <v>1227</v>
      </c>
      <c r="B592" s="5" t="s">
        <v>1228</v>
      </c>
      <c r="C592" s="4" t="s">
        <v>221</v>
      </c>
      <c r="D592" s="6">
        <v>2.6</v>
      </c>
      <c r="E592" s="6">
        <v>2.59</v>
      </c>
      <c r="F592" s="7">
        <v>37.12</v>
      </c>
      <c r="G592" s="7">
        <v>2.96</v>
      </c>
      <c r="H592" s="7">
        <v>2.47</v>
      </c>
      <c r="I592" s="7">
        <v>5.824306586E9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5" t="s">
        <v>1229</v>
      </c>
      <c r="B593" s="5" t="s">
        <v>1230</v>
      </c>
      <c r="C593" s="4" t="s">
        <v>104</v>
      </c>
      <c r="D593" s="6">
        <v>1.13</v>
      </c>
      <c r="E593" s="6">
        <v>0.98</v>
      </c>
      <c r="F593" s="4"/>
      <c r="G593" s="7">
        <v>1.2</v>
      </c>
      <c r="H593" s="7">
        <v>0.26</v>
      </c>
      <c r="I593" s="7">
        <v>2.43602008E8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5" t="s">
        <v>1231</v>
      </c>
      <c r="B594" s="5" t="s">
        <v>1232</v>
      </c>
      <c r="C594" s="4" t="s">
        <v>17</v>
      </c>
      <c r="D594" s="6">
        <v>0.28</v>
      </c>
      <c r="E594" s="6">
        <v>0.28</v>
      </c>
      <c r="F594" s="4"/>
      <c r="G594" s="7">
        <v>0.3</v>
      </c>
      <c r="H594" s="7">
        <v>0.06</v>
      </c>
      <c r="I594" s="7">
        <v>7.18576665E8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5" t="s">
        <v>1233</v>
      </c>
      <c r="B595" s="5" t="s">
        <v>1234</v>
      </c>
      <c r="C595" s="4" t="s">
        <v>26</v>
      </c>
      <c r="D595" s="6">
        <v>0.02</v>
      </c>
      <c r="E595" s="6">
        <v>0.02</v>
      </c>
      <c r="F595" s="4"/>
      <c r="G595" s="7">
        <v>0.03</v>
      </c>
      <c r="H595" s="7">
        <v>0.01</v>
      </c>
      <c r="I595" s="7">
        <v>4.8170188E7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5" t="s">
        <v>1233</v>
      </c>
      <c r="B596" s="5" t="s">
        <v>1234</v>
      </c>
      <c r="C596" s="4" t="s">
        <v>26</v>
      </c>
      <c r="D596" s="6">
        <v>0.02</v>
      </c>
      <c r="E596" s="6">
        <v>0.02</v>
      </c>
      <c r="F596" s="4"/>
      <c r="G596" s="7">
        <v>0.03</v>
      </c>
      <c r="H596" s="7">
        <v>0.01</v>
      </c>
      <c r="I596" s="7">
        <v>4.8170188E7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8" t="s">
        <v>1233</v>
      </c>
      <c r="B597" s="8" t="s">
        <v>1234</v>
      </c>
      <c r="C597" s="9" t="s">
        <v>26</v>
      </c>
      <c r="D597" s="10">
        <v>0.02</v>
      </c>
      <c r="E597" s="6">
        <v>0.02</v>
      </c>
      <c r="F597" s="4"/>
      <c r="G597" s="7">
        <v>0.03</v>
      </c>
      <c r="H597" s="7">
        <v>0.01</v>
      </c>
      <c r="I597" s="7">
        <v>4.8170188E7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5" t="s">
        <v>1235</v>
      </c>
      <c r="B598" s="5" t="s">
        <v>1236</v>
      </c>
      <c r="C598" s="4" t="s">
        <v>14</v>
      </c>
      <c r="D598" s="6">
        <v>0.03</v>
      </c>
      <c r="E598" s="6">
        <v>0.03</v>
      </c>
      <c r="F598" s="7">
        <v>6.05</v>
      </c>
      <c r="G598" s="7">
        <v>0.03</v>
      </c>
      <c r="H598" s="7">
        <v>0.02</v>
      </c>
      <c r="I598" s="7">
        <v>2.078115E7</v>
      </c>
      <c r="J598" s="7">
        <v>3.68</v>
      </c>
      <c r="K598" s="7">
        <v>3.67</v>
      </c>
      <c r="L598" s="7">
        <v>3.94</v>
      </c>
      <c r="M598" s="7">
        <v>3.37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5" t="s">
        <v>1237</v>
      </c>
      <c r="B599" s="5" t="s">
        <v>1238</v>
      </c>
      <c r="C599" s="4" t="s">
        <v>17</v>
      </c>
      <c r="D599" s="6">
        <v>0.2</v>
      </c>
      <c r="E599" s="6">
        <v>0.18</v>
      </c>
      <c r="F599" s="4"/>
      <c r="G599" s="7">
        <v>0.21</v>
      </c>
      <c r="H599" s="7">
        <v>0.06</v>
      </c>
      <c r="I599" s="7">
        <v>1.54798506E8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5" t="s">
        <v>1239</v>
      </c>
      <c r="B600" s="5" t="s">
        <v>1240</v>
      </c>
      <c r="C600" s="4" t="s">
        <v>182</v>
      </c>
      <c r="D600" s="6">
        <v>0.08</v>
      </c>
      <c r="E600" s="6">
        <v>0.08</v>
      </c>
      <c r="F600" s="4"/>
      <c r="G600" s="7">
        <v>0.16</v>
      </c>
      <c r="H600" s="7">
        <v>0.06</v>
      </c>
      <c r="I600" s="7">
        <v>1.690856E7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5" t="s">
        <v>1241</v>
      </c>
      <c r="B601" s="5" t="s">
        <v>1242</v>
      </c>
      <c r="C601" s="4" t="s">
        <v>60</v>
      </c>
      <c r="D601" s="6" t="e">
        <v>#N/A</v>
      </c>
      <c r="E601" s="6" t="e">
        <v>#N/A</v>
      </c>
      <c r="F601" s="4"/>
      <c r="G601" s="4"/>
      <c r="H601" s="4"/>
      <c r="I601" s="7" t="e">
        <v>#N/A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5" t="s">
        <v>1243</v>
      </c>
      <c r="B602" s="5" t="s">
        <v>1244</v>
      </c>
      <c r="C602" s="4" t="s">
        <v>210</v>
      </c>
      <c r="D602" s="6" t="e">
        <v>#N/A</v>
      </c>
      <c r="E602" s="6" t="e">
        <v>#N/A</v>
      </c>
      <c r="F602" s="4"/>
      <c r="G602" s="4"/>
      <c r="H602" s="4"/>
      <c r="I602" s="7" t="e">
        <v>#N/A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5" t="s">
        <v>1243</v>
      </c>
      <c r="B603" s="5" t="s">
        <v>1244</v>
      </c>
      <c r="C603" s="4" t="s">
        <v>210</v>
      </c>
      <c r="D603" s="6" t="e">
        <v>#N/A</v>
      </c>
      <c r="E603" s="6" t="e">
        <v>#N/A</v>
      </c>
      <c r="F603" s="4"/>
      <c r="G603" s="4"/>
      <c r="H603" s="4"/>
      <c r="I603" s="7" t="e">
        <v>#N/A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5" t="s">
        <v>1245</v>
      </c>
      <c r="B604" s="5" t="s">
        <v>1246</v>
      </c>
      <c r="C604" s="4" t="s">
        <v>86</v>
      </c>
      <c r="D604" s="6">
        <v>7.38</v>
      </c>
      <c r="E604" s="6">
        <v>7.36</v>
      </c>
      <c r="F604" s="7">
        <v>19.01</v>
      </c>
      <c r="G604" s="7">
        <v>8.88</v>
      </c>
      <c r="H604" s="7">
        <v>2.57</v>
      </c>
      <c r="I604" s="7">
        <v>1.923295187E9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5" t="s">
        <v>1247</v>
      </c>
      <c r="B605" s="5" t="s">
        <v>1248</v>
      </c>
      <c r="C605" s="4" t="s">
        <v>17</v>
      </c>
      <c r="D605" s="6">
        <v>0.58</v>
      </c>
      <c r="E605" s="6">
        <v>0.54</v>
      </c>
      <c r="F605" s="4"/>
      <c r="G605" s="7">
        <v>0.58</v>
      </c>
      <c r="H605" s="7">
        <v>0.14</v>
      </c>
      <c r="I605" s="7">
        <v>2.85450703E8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5" t="s">
        <v>1249</v>
      </c>
      <c r="B606" s="5" t="s">
        <v>1250</v>
      </c>
      <c r="C606" s="4" t="s">
        <v>23</v>
      </c>
      <c r="D606" s="6">
        <v>0.36</v>
      </c>
      <c r="E606" s="6">
        <v>0.35</v>
      </c>
      <c r="F606" s="4"/>
      <c r="G606" s="7">
        <v>0.38</v>
      </c>
      <c r="H606" s="7">
        <v>0.14</v>
      </c>
      <c r="I606" s="7">
        <v>8.3092042E7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5" t="s">
        <v>1251</v>
      </c>
      <c r="B607" s="5" t="s">
        <v>1252</v>
      </c>
      <c r="C607" s="4" t="s">
        <v>384</v>
      </c>
      <c r="D607" s="6">
        <v>0.0</v>
      </c>
      <c r="E607" s="6">
        <v>0.0</v>
      </c>
      <c r="F607" s="4"/>
      <c r="G607" s="7">
        <v>0.01</v>
      </c>
      <c r="H607" s="7">
        <v>0.0</v>
      </c>
      <c r="I607" s="7">
        <v>1842070.0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5" t="s">
        <v>1253</v>
      </c>
      <c r="B608" s="5" t="s">
        <v>1254</v>
      </c>
      <c r="C608" s="4" t="s">
        <v>37</v>
      </c>
      <c r="D608" s="6">
        <v>0.17</v>
      </c>
      <c r="E608" s="6">
        <v>0.17</v>
      </c>
      <c r="F608" s="4"/>
      <c r="G608" s="7">
        <v>0.3</v>
      </c>
      <c r="H608" s="7">
        <v>0.05</v>
      </c>
      <c r="I608" s="7">
        <v>9955060.0</v>
      </c>
      <c r="J608" s="7">
        <v>0.057</v>
      </c>
      <c r="K608" s="7">
        <v>0.059</v>
      </c>
      <c r="L608" s="7">
        <v>0.078</v>
      </c>
      <c r="M608" s="7">
        <v>0.021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5" t="s">
        <v>1255</v>
      </c>
      <c r="B609" s="5" t="s">
        <v>1256</v>
      </c>
      <c r="C609" s="4" t="s">
        <v>17</v>
      </c>
      <c r="D609" s="6">
        <v>0.48</v>
      </c>
      <c r="E609" s="6">
        <v>0.43</v>
      </c>
      <c r="F609" s="4"/>
      <c r="G609" s="7">
        <v>0.49</v>
      </c>
      <c r="H609" s="7">
        <v>0.15</v>
      </c>
      <c r="I609" s="7">
        <v>1.13566608E8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5" t="s">
        <v>1257</v>
      </c>
      <c r="B610" s="5" t="s">
        <v>1258</v>
      </c>
      <c r="C610" s="4" t="s">
        <v>76</v>
      </c>
      <c r="D610" s="6">
        <v>0.38</v>
      </c>
      <c r="E610" s="6">
        <v>0.4</v>
      </c>
      <c r="F610" s="4"/>
      <c r="G610" s="7">
        <v>0.6</v>
      </c>
      <c r="H610" s="7">
        <v>0.05</v>
      </c>
      <c r="I610" s="7">
        <v>3.1303125E7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5" t="s">
        <v>1259</v>
      </c>
      <c r="B611" s="5" t="s">
        <v>1260</v>
      </c>
      <c r="C611" s="4" t="s">
        <v>34</v>
      </c>
      <c r="D611" s="6" t="e">
        <v>#N/A</v>
      </c>
      <c r="E611" s="6" t="e">
        <v>#N/A</v>
      </c>
      <c r="F611" s="4"/>
      <c r="G611" s="4"/>
      <c r="H611" s="4"/>
      <c r="I611" s="7" t="e">
        <v>#N/A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5" t="s">
        <v>1261</v>
      </c>
      <c r="B612" s="5" t="s">
        <v>1262</v>
      </c>
      <c r="C612" s="4" t="s">
        <v>17</v>
      </c>
      <c r="D612" s="6">
        <v>0.02</v>
      </c>
      <c r="E612" s="6">
        <v>0.02</v>
      </c>
      <c r="F612" s="4"/>
      <c r="G612" s="7">
        <v>0.03</v>
      </c>
      <c r="H612" s="7">
        <v>0.01</v>
      </c>
      <c r="I612" s="7">
        <v>4450455.0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5" t="s">
        <v>1263</v>
      </c>
      <c r="B613" s="5" t="s">
        <v>1264</v>
      </c>
      <c r="C613" s="4" t="s">
        <v>182</v>
      </c>
      <c r="D613" s="6">
        <v>0.62</v>
      </c>
      <c r="E613" s="6">
        <v>0.62</v>
      </c>
      <c r="F613" s="7">
        <v>1.96</v>
      </c>
      <c r="G613" s="7">
        <v>1.14</v>
      </c>
      <c r="H613" s="7">
        <v>0.34</v>
      </c>
      <c r="I613" s="7">
        <v>1.96154253E8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5" t="s">
        <v>1265</v>
      </c>
      <c r="B614" s="5" t="s">
        <v>1266</v>
      </c>
      <c r="C614" s="4" t="s">
        <v>37</v>
      </c>
      <c r="D614" s="6">
        <v>0.04</v>
      </c>
      <c r="E614" s="6">
        <v>0.04</v>
      </c>
      <c r="F614" s="4"/>
      <c r="G614" s="7">
        <v>0.08</v>
      </c>
      <c r="H614" s="7">
        <v>0.02</v>
      </c>
      <c r="I614" s="7">
        <v>1.419867E7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5" t="s">
        <v>1267</v>
      </c>
      <c r="B615" s="5" t="s">
        <v>1268</v>
      </c>
      <c r="C615" s="4" t="s">
        <v>34</v>
      </c>
      <c r="D615" s="6" t="e">
        <v>#N/A</v>
      </c>
      <c r="E615" s="6" t="e">
        <v>#N/A</v>
      </c>
      <c r="F615" s="4"/>
      <c r="G615" s="4"/>
      <c r="H615" s="4"/>
      <c r="I615" s="7" t="e">
        <v>#N/A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5" t="s">
        <v>1269</v>
      </c>
      <c r="B616" s="5" t="s">
        <v>1270</v>
      </c>
      <c r="C616" s="4" t="s">
        <v>34</v>
      </c>
      <c r="D616" s="6">
        <v>30.69</v>
      </c>
      <c r="E616" s="6">
        <v>30.74</v>
      </c>
      <c r="F616" s="4"/>
      <c r="G616" s="7">
        <v>31.11</v>
      </c>
      <c r="H616" s="7">
        <v>23.58</v>
      </c>
      <c r="I616" s="7" t="e">
        <v>#N/A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5" t="s">
        <v>1271</v>
      </c>
      <c r="B617" s="5" t="s">
        <v>1272</v>
      </c>
      <c r="C617" s="4" t="s">
        <v>34</v>
      </c>
      <c r="D617" s="6">
        <v>26.15</v>
      </c>
      <c r="E617" s="6">
        <v>26.39</v>
      </c>
      <c r="F617" s="4"/>
      <c r="G617" s="7">
        <v>27.23</v>
      </c>
      <c r="H617" s="7">
        <v>24.28</v>
      </c>
      <c r="I617" s="7" t="e">
        <v>#N/A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5" t="s">
        <v>1273</v>
      </c>
      <c r="B618" s="5" t="s">
        <v>1274</v>
      </c>
      <c r="C618" s="4" t="s">
        <v>126</v>
      </c>
      <c r="D618" s="6">
        <v>0.81</v>
      </c>
      <c r="E618" s="6">
        <v>0.81</v>
      </c>
      <c r="F618" s="4"/>
      <c r="G618" s="7">
        <v>1.48</v>
      </c>
      <c r="H618" s="7">
        <v>0.76</v>
      </c>
      <c r="I618" s="7">
        <v>8.6239248E7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5" t="s">
        <v>1275</v>
      </c>
      <c r="B619" s="5" t="s">
        <v>1276</v>
      </c>
      <c r="C619" s="4" t="s">
        <v>897</v>
      </c>
      <c r="D619" s="6">
        <v>4.93</v>
      </c>
      <c r="E619" s="6">
        <v>5.01</v>
      </c>
      <c r="F619" s="7">
        <v>27.74</v>
      </c>
      <c r="G619" s="7">
        <v>5.02</v>
      </c>
      <c r="H619" s="7">
        <v>3.39</v>
      </c>
      <c r="I619" s="7">
        <v>2.444104602E9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5" t="s">
        <v>1277</v>
      </c>
      <c r="B620" s="5" t="s">
        <v>1278</v>
      </c>
      <c r="C620" s="4" t="s">
        <v>17</v>
      </c>
      <c r="D620" s="6">
        <v>0.03</v>
      </c>
      <c r="E620" s="6">
        <v>0.03</v>
      </c>
      <c r="F620" s="4"/>
      <c r="G620" s="7">
        <v>0.06</v>
      </c>
      <c r="H620" s="7">
        <v>0.01</v>
      </c>
      <c r="I620" s="7">
        <v>5109915.0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5" t="s">
        <v>1279</v>
      </c>
      <c r="B621" s="5" t="s">
        <v>1280</v>
      </c>
      <c r="C621" s="4" t="s">
        <v>14</v>
      </c>
      <c r="D621" s="6">
        <v>0.04</v>
      </c>
      <c r="E621" s="6">
        <v>0.04</v>
      </c>
      <c r="F621" s="4"/>
      <c r="G621" s="7">
        <v>0.13</v>
      </c>
      <c r="H621" s="7">
        <v>0.04</v>
      </c>
      <c r="I621" s="7">
        <v>5.6563398E7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5" t="s">
        <v>1281</v>
      </c>
      <c r="B622" s="5" t="s">
        <v>1282</v>
      </c>
      <c r="C622" s="4" t="s">
        <v>34</v>
      </c>
      <c r="D622" s="6">
        <v>51.87</v>
      </c>
      <c r="E622" s="6">
        <v>51.87</v>
      </c>
      <c r="F622" s="4"/>
      <c r="G622" s="7">
        <v>51.87</v>
      </c>
      <c r="H622" s="7">
        <v>50.75</v>
      </c>
      <c r="I622" s="7" t="e">
        <v>#N/A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5" t="s">
        <v>1283</v>
      </c>
      <c r="B623" s="5" t="s">
        <v>1284</v>
      </c>
      <c r="C623" s="4" t="s">
        <v>57</v>
      </c>
      <c r="D623" s="6">
        <v>10.15</v>
      </c>
      <c r="E623" s="6">
        <v>10.29</v>
      </c>
      <c r="F623" s="7">
        <v>22.18</v>
      </c>
      <c r="G623" s="7">
        <v>10.94</v>
      </c>
      <c r="H623" s="7">
        <v>7.58</v>
      </c>
      <c r="I623" s="7">
        <v>1.835300601E9</v>
      </c>
      <c r="J623" s="7">
        <v>0.004</v>
      </c>
      <c r="K623" s="7">
        <v>0.004</v>
      </c>
      <c r="L623" s="7">
        <v>0.012</v>
      </c>
      <c r="M623" s="7">
        <v>0.002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5" t="s">
        <v>1285</v>
      </c>
      <c r="B624" s="5" t="s">
        <v>1286</v>
      </c>
      <c r="C624" s="4" t="s">
        <v>14</v>
      </c>
      <c r="D624" s="6">
        <v>0.01</v>
      </c>
      <c r="E624" s="6">
        <v>0.01</v>
      </c>
      <c r="F624" s="7">
        <v>55.56</v>
      </c>
      <c r="G624" s="7">
        <v>0.01</v>
      </c>
      <c r="H624" s="7">
        <v>0.0</v>
      </c>
      <c r="I624" s="7">
        <v>6054760.0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5" t="s">
        <v>1287</v>
      </c>
      <c r="B625" s="5" t="s">
        <v>1288</v>
      </c>
      <c r="C625" s="4" t="s">
        <v>954</v>
      </c>
      <c r="D625" s="6">
        <v>0.11</v>
      </c>
      <c r="E625" s="6">
        <v>0.12</v>
      </c>
      <c r="F625" s="4"/>
      <c r="G625" s="7">
        <v>0.2</v>
      </c>
      <c r="H625" s="7">
        <v>0.09</v>
      </c>
      <c r="I625" s="7">
        <v>2.423059E7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5" t="s">
        <v>1289</v>
      </c>
      <c r="B626" s="5" t="s">
        <v>1290</v>
      </c>
      <c r="C626" s="4" t="s">
        <v>1291</v>
      </c>
      <c r="D626" s="6">
        <v>0.11</v>
      </c>
      <c r="E626" s="6">
        <v>0.11</v>
      </c>
      <c r="F626" s="4"/>
      <c r="G626" s="7">
        <v>0.14</v>
      </c>
      <c r="H626" s="7">
        <v>0.08</v>
      </c>
      <c r="I626" s="7">
        <v>3.5635027E7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5" t="s">
        <v>1289</v>
      </c>
      <c r="B627" s="5" t="s">
        <v>1290</v>
      </c>
      <c r="C627" s="4" t="s">
        <v>1291</v>
      </c>
      <c r="D627" s="6">
        <v>0.11</v>
      </c>
      <c r="E627" s="6">
        <v>0.11</v>
      </c>
      <c r="F627" s="4"/>
      <c r="G627" s="7">
        <v>0.14</v>
      </c>
      <c r="H627" s="7">
        <v>0.08</v>
      </c>
      <c r="I627" s="7">
        <v>3.5635027E7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8" t="s">
        <v>1289</v>
      </c>
      <c r="B628" s="8" t="s">
        <v>1290</v>
      </c>
      <c r="C628" s="9" t="s">
        <v>1291</v>
      </c>
      <c r="D628" s="10">
        <v>0.11</v>
      </c>
      <c r="E628" s="6">
        <v>0.11</v>
      </c>
      <c r="F628" s="4"/>
      <c r="G628" s="7">
        <v>0.14</v>
      </c>
      <c r="H628" s="7">
        <v>0.08</v>
      </c>
      <c r="I628" s="7">
        <v>3.5635027E7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5" t="s">
        <v>1292</v>
      </c>
      <c r="B629" s="5" t="s">
        <v>1293</v>
      </c>
      <c r="C629" s="4" t="s">
        <v>17</v>
      </c>
      <c r="D629" s="6">
        <v>0.14</v>
      </c>
      <c r="E629" s="6">
        <v>0.15</v>
      </c>
      <c r="F629" s="4"/>
      <c r="G629" s="7">
        <v>0.26</v>
      </c>
      <c r="H629" s="7">
        <v>0.06</v>
      </c>
      <c r="I629" s="7">
        <v>3.9762536E7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5" t="s">
        <v>1294</v>
      </c>
      <c r="B630" s="5" t="s">
        <v>1295</v>
      </c>
      <c r="C630" s="4" t="s">
        <v>17</v>
      </c>
      <c r="D630" s="6">
        <v>0.17</v>
      </c>
      <c r="E630" s="6">
        <v>0.18</v>
      </c>
      <c r="F630" s="4"/>
      <c r="G630" s="7">
        <v>0.2</v>
      </c>
      <c r="H630" s="7">
        <v>0.07</v>
      </c>
      <c r="I630" s="7">
        <v>9.1252056E7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5" t="s">
        <v>1296</v>
      </c>
      <c r="B631" s="5" t="s">
        <v>1297</v>
      </c>
      <c r="C631" s="4" t="s">
        <v>34</v>
      </c>
      <c r="D631" s="6" t="e">
        <v>#N/A</v>
      </c>
      <c r="E631" s="6" t="e">
        <v>#N/A</v>
      </c>
      <c r="F631" s="4"/>
      <c r="G631" s="4"/>
      <c r="H631" s="4"/>
      <c r="I631" s="7" t="e">
        <v>#N/A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5" t="s">
        <v>1298</v>
      </c>
      <c r="B632" s="5" t="s">
        <v>1299</v>
      </c>
      <c r="C632" s="4" t="s">
        <v>34</v>
      </c>
      <c r="D632" s="6">
        <v>36.79</v>
      </c>
      <c r="E632" s="6">
        <v>36.74</v>
      </c>
      <c r="F632" s="4"/>
      <c r="G632" s="7">
        <v>41.2</v>
      </c>
      <c r="H632" s="7">
        <v>23.45</v>
      </c>
      <c r="I632" s="7" t="e">
        <v>#N/A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5" t="s">
        <v>1300</v>
      </c>
      <c r="B633" s="5" t="s">
        <v>1301</v>
      </c>
      <c r="C633" s="4" t="s">
        <v>34</v>
      </c>
      <c r="D633" s="6" t="e">
        <v>#N/A</v>
      </c>
      <c r="E633" s="6" t="e">
        <v>#N/A</v>
      </c>
      <c r="F633" s="4"/>
      <c r="G633" s="4"/>
      <c r="H633" s="4"/>
      <c r="I633" s="7" t="e">
        <v>#N/A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5" t="s">
        <v>1302</v>
      </c>
      <c r="B634" s="5" t="s">
        <v>1303</v>
      </c>
      <c r="C634" s="4" t="s">
        <v>34</v>
      </c>
      <c r="D634" s="6">
        <v>28.42</v>
      </c>
      <c r="E634" s="6">
        <v>28.66</v>
      </c>
      <c r="F634" s="4"/>
      <c r="G634" s="7">
        <v>29.71</v>
      </c>
      <c r="H634" s="7">
        <v>25.93</v>
      </c>
      <c r="I634" s="7" t="e">
        <v>#N/A</v>
      </c>
      <c r="J634" s="7">
        <v>0.08</v>
      </c>
      <c r="K634" s="7">
        <v>0.08</v>
      </c>
      <c r="L634" s="7">
        <v>0.155</v>
      </c>
      <c r="M634" s="7">
        <v>0.06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5" t="s">
        <v>1304</v>
      </c>
      <c r="B635" s="5" t="s">
        <v>1305</v>
      </c>
      <c r="C635" s="4" t="s">
        <v>141</v>
      </c>
      <c r="D635" s="6">
        <v>0.84</v>
      </c>
      <c r="E635" s="6">
        <v>0.84</v>
      </c>
      <c r="F635" s="7">
        <v>10.36</v>
      </c>
      <c r="G635" s="7">
        <v>1.0</v>
      </c>
      <c r="H635" s="7">
        <v>0.75</v>
      </c>
      <c r="I635" s="7">
        <v>3.436439E7</v>
      </c>
      <c r="J635" s="7">
        <v>0.083</v>
      </c>
      <c r="K635" s="7">
        <v>0.083</v>
      </c>
      <c r="L635" s="7">
        <v>0.089</v>
      </c>
      <c r="M635" s="7">
        <v>0.025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5" t="s">
        <v>1306</v>
      </c>
      <c r="B636" s="5" t="s">
        <v>1307</v>
      </c>
      <c r="C636" s="4" t="s">
        <v>226</v>
      </c>
      <c r="D636" s="6">
        <v>0.54</v>
      </c>
      <c r="E636" s="6">
        <v>0.54</v>
      </c>
      <c r="F636" s="4"/>
      <c r="G636" s="7">
        <v>0.59</v>
      </c>
      <c r="H636" s="7">
        <v>0.35</v>
      </c>
      <c r="I636" s="7">
        <v>1.525955E8</v>
      </c>
      <c r="J636" s="7">
        <v>0.014</v>
      </c>
      <c r="K636" s="7">
        <v>0.013</v>
      </c>
      <c r="L636" s="7">
        <v>0.036</v>
      </c>
      <c r="M636" s="7">
        <v>0.01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5" t="s">
        <v>1308</v>
      </c>
      <c r="B637" s="5" t="s">
        <v>1309</v>
      </c>
      <c r="C637" s="4" t="s">
        <v>17</v>
      </c>
      <c r="D637" s="6">
        <v>0.04</v>
      </c>
      <c r="E637" s="6">
        <v>0.04</v>
      </c>
      <c r="F637" s="4"/>
      <c r="G637" s="7">
        <v>0.05</v>
      </c>
      <c r="H637" s="7">
        <v>0.0</v>
      </c>
      <c r="I637" s="7">
        <v>3.9686517E7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5" t="s">
        <v>1310</v>
      </c>
      <c r="B638" s="5" t="s">
        <v>1311</v>
      </c>
      <c r="C638" s="4" t="s">
        <v>34</v>
      </c>
      <c r="D638" s="6">
        <v>36.83</v>
      </c>
      <c r="E638" s="6">
        <v>37.16</v>
      </c>
      <c r="F638" s="4"/>
      <c r="G638" s="7">
        <v>37.67</v>
      </c>
      <c r="H638" s="7">
        <v>30.43</v>
      </c>
      <c r="I638" s="7" t="e">
        <v>#N/A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5" t="s">
        <v>1312</v>
      </c>
      <c r="B639" s="5" t="s">
        <v>1313</v>
      </c>
      <c r="C639" s="4" t="s">
        <v>472</v>
      </c>
      <c r="D639" s="6">
        <v>2.77</v>
      </c>
      <c r="E639" s="6">
        <v>2.76</v>
      </c>
      <c r="F639" s="4"/>
      <c r="G639" s="7">
        <v>4.92</v>
      </c>
      <c r="H639" s="7">
        <v>2.28</v>
      </c>
      <c r="I639" s="7">
        <v>1.533205792E9</v>
      </c>
      <c r="J639" s="7">
        <v>0.003</v>
      </c>
      <c r="K639" s="7">
        <v>0.003</v>
      </c>
      <c r="L639" s="7">
        <v>0.003</v>
      </c>
      <c r="M639" s="7">
        <v>0.001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5" t="s">
        <v>1314</v>
      </c>
      <c r="B640" s="5" t="s">
        <v>1315</v>
      </c>
      <c r="C640" s="4" t="s">
        <v>34</v>
      </c>
      <c r="D640" s="6">
        <v>27.34</v>
      </c>
      <c r="E640" s="6">
        <v>27.65</v>
      </c>
      <c r="F640" s="4"/>
      <c r="G640" s="7">
        <v>27.69</v>
      </c>
      <c r="H640" s="7">
        <v>23.2</v>
      </c>
      <c r="I640" s="7" t="e">
        <v>#N/A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5" t="s">
        <v>1316</v>
      </c>
      <c r="B641" s="5" t="s">
        <v>1317</v>
      </c>
      <c r="C641" s="4" t="s">
        <v>34</v>
      </c>
      <c r="D641" s="6">
        <v>39.72</v>
      </c>
      <c r="E641" s="6">
        <v>40.02</v>
      </c>
      <c r="F641" s="4"/>
      <c r="G641" s="7">
        <v>41.5</v>
      </c>
      <c r="H641" s="7">
        <v>32.11</v>
      </c>
      <c r="I641" s="7" t="e">
        <v>#N/A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5" t="s">
        <v>1318</v>
      </c>
      <c r="B642" s="5" t="s">
        <v>1319</v>
      </c>
      <c r="C642" s="4" t="s">
        <v>34</v>
      </c>
      <c r="D642" s="6" t="e">
        <v>#N/A</v>
      </c>
      <c r="E642" s="6" t="e">
        <v>#N/A</v>
      </c>
      <c r="F642" s="4"/>
      <c r="G642" s="4"/>
      <c r="H642" s="4"/>
      <c r="I642" s="7" t="e">
        <v>#N/A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5" t="s">
        <v>1320</v>
      </c>
      <c r="B643" s="5" t="s">
        <v>1321</v>
      </c>
      <c r="C643" s="4" t="s">
        <v>34</v>
      </c>
      <c r="D643" s="6">
        <v>10.04</v>
      </c>
      <c r="E643" s="6">
        <v>10.15</v>
      </c>
      <c r="F643" s="4"/>
      <c r="G643" s="7">
        <v>10.18</v>
      </c>
      <c r="H643" s="7">
        <v>10.01</v>
      </c>
      <c r="I643" s="7" t="e">
        <v>#N/A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5" t="s">
        <v>1322</v>
      </c>
      <c r="B644" s="5" t="s">
        <v>1323</v>
      </c>
      <c r="C644" s="4" t="s">
        <v>34</v>
      </c>
      <c r="D644" s="6" t="e">
        <v>#N/A</v>
      </c>
      <c r="E644" s="6" t="e">
        <v>#N/A</v>
      </c>
      <c r="F644" s="4"/>
      <c r="G644" s="4"/>
      <c r="H644" s="4"/>
      <c r="I644" s="7" t="e">
        <v>#N/A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5" t="s">
        <v>1324</v>
      </c>
      <c r="B645" s="5" t="s">
        <v>1325</v>
      </c>
      <c r="C645" s="4" t="s">
        <v>34</v>
      </c>
      <c r="D645" s="6">
        <v>21.34</v>
      </c>
      <c r="E645" s="6">
        <v>21.49</v>
      </c>
      <c r="F645" s="4"/>
      <c r="G645" s="7">
        <v>23.0</v>
      </c>
      <c r="H645" s="7">
        <v>20.22</v>
      </c>
      <c r="I645" s="7" t="e">
        <v>#N/A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5" t="s">
        <v>1326</v>
      </c>
      <c r="B646" s="5" t="s">
        <v>1327</v>
      </c>
      <c r="C646" s="4" t="s">
        <v>169</v>
      </c>
      <c r="D646" s="6">
        <v>3.12</v>
      </c>
      <c r="E646" s="6">
        <v>3.12</v>
      </c>
      <c r="F646" s="7">
        <v>20.98</v>
      </c>
      <c r="G646" s="7">
        <v>3.28</v>
      </c>
      <c r="H646" s="7">
        <v>2.88</v>
      </c>
      <c r="I646" s="7">
        <v>8.20124729E8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5" t="s">
        <v>1328</v>
      </c>
      <c r="B647" s="5" t="s">
        <v>1329</v>
      </c>
      <c r="C647" s="4" t="s">
        <v>17</v>
      </c>
      <c r="D647" s="6">
        <v>0.14</v>
      </c>
      <c r="E647" s="6">
        <v>0.14</v>
      </c>
      <c r="F647" s="4"/>
      <c r="G647" s="7">
        <v>0.22</v>
      </c>
      <c r="H647" s="7">
        <v>0.08</v>
      </c>
      <c r="I647" s="7">
        <v>1.6545587E7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5" t="s">
        <v>1330</v>
      </c>
      <c r="B648" s="5" t="s">
        <v>1331</v>
      </c>
      <c r="C648" s="4" t="s">
        <v>37</v>
      </c>
      <c r="D648" s="6" t="e">
        <v>#N/A</v>
      </c>
      <c r="E648" s="6" t="e">
        <v>#N/A</v>
      </c>
      <c r="F648" s="4"/>
      <c r="G648" s="4"/>
      <c r="H648" s="4"/>
      <c r="I648" s="7" t="e">
        <v>#N/A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5" t="s">
        <v>1332</v>
      </c>
      <c r="B649" s="5" t="s">
        <v>1333</v>
      </c>
      <c r="C649" s="4" t="s">
        <v>17</v>
      </c>
      <c r="D649" s="6">
        <v>0.01</v>
      </c>
      <c r="E649" s="6">
        <v>0.01</v>
      </c>
      <c r="F649" s="4"/>
      <c r="G649" s="7">
        <v>0.03</v>
      </c>
      <c r="H649" s="7">
        <v>0.01</v>
      </c>
      <c r="I649" s="7">
        <v>5.4515518E7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5" t="s">
        <v>1334</v>
      </c>
      <c r="B650" s="5" t="s">
        <v>1335</v>
      </c>
      <c r="C650" s="4" t="s">
        <v>17</v>
      </c>
      <c r="D650" s="6">
        <v>0.09</v>
      </c>
      <c r="E650" s="6">
        <v>0.09</v>
      </c>
      <c r="F650" s="4"/>
      <c r="G650" s="7">
        <v>0.2</v>
      </c>
      <c r="H650" s="7">
        <v>0.09</v>
      </c>
      <c r="I650" s="7">
        <v>3.3642915E7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5" t="s">
        <v>1336</v>
      </c>
      <c r="B651" s="5" t="s">
        <v>1337</v>
      </c>
      <c r="C651" s="4" t="s">
        <v>86</v>
      </c>
      <c r="D651" s="6">
        <v>0.01</v>
      </c>
      <c r="E651" s="6">
        <v>0.01</v>
      </c>
      <c r="F651" s="4"/>
      <c r="G651" s="7">
        <v>0.02</v>
      </c>
      <c r="H651" s="7">
        <v>0.0</v>
      </c>
      <c r="I651" s="7">
        <v>3552040.0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5" t="s">
        <v>1338</v>
      </c>
      <c r="B652" s="5" t="s">
        <v>1339</v>
      </c>
      <c r="C652" s="4" t="s">
        <v>37</v>
      </c>
      <c r="D652" s="6">
        <v>0.06</v>
      </c>
      <c r="E652" s="6">
        <v>0.06</v>
      </c>
      <c r="F652" s="4"/>
      <c r="G652" s="7">
        <v>0.06</v>
      </c>
      <c r="H652" s="7">
        <v>0.06</v>
      </c>
      <c r="I652" s="7">
        <v>2598689.0</v>
      </c>
      <c r="J652" s="7">
        <v>0.0</v>
      </c>
      <c r="K652" s="4"/>
      <c r="L652" s="7">
        <v>115.0</v>
      </c>
      <c r="M652" s="7">
        <v>0.0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5" t="s">
        <v>1340</v>
      </c>
      <c r="B653" s="5" t="s">
        <v>1341</v>
      </c>
      <c r="C653" s="4" t="s">
        <v>1049</v>
      </c>
      <c r="D653" s="6">
        <v>21.82</v>
      </c>
      <c r="E653" s="6">
        <v>21.0</v>
      </c>
      <c r="F653" s="4"/>
      <c r="G653" s="7">
        <v>36.68</v>
      </c>
      <c r="H653" s="7">
        <v>13.11</v>
      </c>
      <c r="I653" s="7">
        <v>2.064218665E9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5" t="s">
        <v>1342</v>
      </c>
      <c r="B654" s="5" t="s">
        <v>1343</v>
      </c>
      <c r="C654" s="4" t="s">
        <v>1344</v>
      </c>
      <c r="D654" s="6">
        <v>101.45</v>
      </c>
      <c r="E654" s="6">
        <v>101.45</v>
      </c>
      <c r="F654" s="4"/>
      <c r="G654" s="7">
        <v>106.76</v>
      </c>
      <c r="H654" s="7">
        <v>97.24</v>
      </c>
      <c r="I654" s="7" t="e">
        <v>#N/A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5" t="s">
        <v>1345</v>
      </c>
      <c r="B655" s="5" t="s">
        <v>1346</v>
      </c>
      <c r="C655" s="4" t="s">
        <v>104</v>
      </c>
      <c r="D655" s="6">
        <v>3.21</v>
      </c>
      <c r="E655" s="6">
        <v>3.21</v>
      </c>
      <c r="F655" s="7">
        <v>40.46</v>
      </c>
      <c r="G655" s="7">
        <v>3.52</v>
      </c>
      <c r="H655" s="7">
        <v>2.14</v>
      </c>
      <c r="I655" s="7">
        <v>5.731782488E9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5" t="s">
        <v>1347</v>
      </c>
      <c r="B656" s="5" t="s">
        <v>1348</v>
      </c>
      <c r="C656" s="4" t="s">
        <v>162</v>
      </c>
      <c r="D656" s="6">
        <v>0.14</v>
      </c>
      <c r="E656" s="6">
        <v>0.16</v>
      </c>
      <c r="F656" s="4"/>
      <c r="G656" s="7">
        <v>0.21</v>
      </c>
      <c r="H656" s="7">
        <v>0.07</v>
      </c>
      <c r="I656" s="7">
        <v>5.1501765E7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5" t="s">
        <v>1349</v>
      </c>
      <c r="B657" s="5" t="s">
        <v>1350</v>
      </c>
      <c r="C657" s="4" t="s">
        <v>121</v>
      </c>
      <c r="D657" s="6">
        <v>7.98</v>
      </c>
      <c r="E657" s="6">
        <v>7.95</v>
      </c>
      <c r="F657" s="7">
        <v>41.15</v>
      </c>
      <c r="G657" s="7">
        <v>8.04</v>
      </c>
      <c r="H657" s="7">
        <v>5.01</v>
      </c>
      <c r="I657" s="7">
        <v>5.291883546E9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5" t="s">
        <v>1351</v>
      </c>
      <c r="B658" s="5" t="s">
        <v>1352</v>
      </c>
      <c r="C658" s="4" t="s">
        <v>1353</v>
      </c>
      <c r="D658" s="6">
        <v>46.79</v>
      </c>
      <c r="E658" s="6">
        <v>46.37</v>
      </c>
      <c r="F658" s="4"/>
      <c r="G658" s="7">
        <v>50.99</v>
      </c>
      <c r="H658" s="7">
        <v>30.45</v>
      </c>
      <c r="I658" s="7">
        <v>9.374806025E9</v>
      </c>
      <c r="J658" s="4"/>
      <c r="K658" s="4"/>
      <c r="L658" s="4"/>
      <c r="M658" s="4"/>
      <c r="N658" s="4"/>
      <c r="O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5" t="s">
        <v>1354</v>
      </c>
      <c r="B659" s="5" t="s">
        <v>1355</v>
      </c>
      <c r="C659" s="4" t="s">
        <v>17</v>
      </c>
      <c r="D659" s="6">
        <v>0.03</v>
      </c>
      <c r="E659" s="6">
        <v>0.03</v>
      </c>
      <c r="F659" s="4"/>
      <c r="G659" s="7">
        <v>0.05</v>
      </c>
      <c r="H659" s="7">
        <v>0.01</v>
      </c>
      <c r="I659" s="7">
        <v>1.42189128E8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5" t="s">
        <v>1356</v>
      </c>
      <c r="B660" s="5" t="s">
        <v>1357</v>
      </c>
      <c r="C660" s="4" t="s">
        <v>34</v>
      </c>
      <c r="D660" s="6">
        <v>12.99</v>
      </c>
      <c r="E660" s="6">
        <v>12.94</v>
      </c>
      <c r="F660" s="4"/>
      <c r="G660" s="7">
        <v>14.86</v>
      </c>
      <c r="H660" s="7">
        <v>9.65</v>
      </c>
      <c r="I660" s="7">
        <v>2.50991237E9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5" t="s">
        <v>1358</v>
      </c>
      <c r="B661" s="5" t="s">
        <v>1359</v>
      </c>
      <c r="C661" s="4" t="s">
        <v>34</v>
      </c>
      <c r="D661" s="6">
        <v>10.3</v>
      </c>
      <c r="E661" s="6">
        <v>10.22</v>
      </c>
      <c r="F661" s="4"/>
      <c r="G661" s="7">
        <v>10.65</v>
      </c>
      <c r="H661" s="7">
        <v>7.62</v>
      </c>
      <c r="I661" s="7" t="e">
        <v>#N/A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5" t="s">
        <v>1360</v>
      </c>
      <c r="B662" s="5" t="s">
        <v>1361</v>
      </c>
      <c r="C662" s="4" t="s">
        <v>501</v>
      </c>
      <c r="D662" s="6">
        <v>3.33</v>
      </c>
      <c r="E662" s="6">
        <v>3.08</v>
      </c>
      <c r="F662" s="7">
        <v>427.47</v>
      </c>
      <c r="G662" s="7">
        <v>6.71</v>
      </c>
      <c r="H662" s="7">
        <v>0.59</v>
      </c>
      <c r="I662" s="7">
        <v>3.041680205E9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5" t="s">
        <v>1362</v>
      </c>
      <c r="B663" s="5" t="s">
        <v>1363</v>
      </c>
      <c r="C663" s="4" t="s">
        <v>169</v>
      </c>
      <c r="D663" s="6">
        <v>4.13</v>
      </c>
      <c r="E663" s="6">
        <v>4.07</v>
      </c>
      <c r="F663" s="7">
        <v>14.05</v>
      </c>
      <c r="G663" s="7">
        <v>4.55</v>
      </c>
      <c r="H663" s="7">
        <v>3.19</v>
      </c>
      <c r="I663" s="7">
        <v>2.185313568E9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5" t="s">
        <v>1364</v>
      </c>
      <c r="B664" s="5" t="s">
        <v>1365</v>
      </c>
      <c r="C664" s="4" t="s">
        <v>34</v>
      </c>
      <c r="D664" s="6">
        <v>8.74</v>
      </c>
      <c r="E664" s="6">
        <v>8.79</v>
      </c>
      <c r="F664" s="4"/>
      <c r="G664" s="7">
        <v>8.9</v>
      </c>
      <c r="H664" s="7">
        <v>7.27</v>
      </c>
      <c r="I664" s="7" t="e">
        <v>#N/A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5" t="s">
        <v>1366</v>
      </c>
      <c r="B665" s="5" t="s">
        <v>1367</v>
      </c>
      <c r="C665" s="4" t="s">
        <v>961</v>
      </c>
      <c r="D665" s="6">
        <v>0.02</v>
      </c>
      <c r="E665" s="6">
        <v>0.02</v>
      </c>
      <c r="F665" s="4"/>
      <c r="G665" s="7">
        <v>0.02</v>
      </c>
      <c r="H665" s="7">
        <v>0.02</v>
      </c>
      <c r="I665" s="7">
        <v>9.039947E7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5" t="s">
        <v>1368</v>
      </c>
      <c r="B666" s="5" t="s">
        <v>1369</v>
      </c>
      <c r="C666" s="4" t="s">
        <v>1370</v>
      </c>
      <c r="D666" s="6">
        <v>0.83</v>
      </c>
      <c r="E666" s="6">
        <v>0.77</v>
      </c>
      <c r="F666" s="7">
        <v>11.74</v>
      </c>
      <c r="G666" s="7">
        <v>1.36</v>
      </c>
      <c r="H666" s="7">
        <v>0.76</v>
      </c>
      <c r="I666" s="7">
        <v>5.1682331E7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5" t="s">
        <v>1371</v>
      </c>
      <c r="B667" s="5" t="s">
        <v>1372</v>
      </c>
      <c r="C667" s="4" t="s">
        <v>17</v>
      </c>
      <c r="D667" s="6">
        <v>0.23</v>
      </c>
      <c r="E667" s="6">
        <v>0.22</v>
      </c>
      <c r="F667" s="4"/>
      <c r="G667" s="7">
        <v>0.28</v>
      </c>
      <c r="H667" s="7">
        <v>0.2</v>
      </c>
      <c r="I667" s="7">
        <v>5625008.0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5" t="s">
        <v>1373</v>
      </c>
      <c r="B668" s="5" t="s">
        <v>1374</v>
      </c>
      <c r="C668" s="4" t="s">
        <v>34</v>
      </c>
      <c r="D668" s="6">
        <v>17.43</v>
      </c>
      <c r="E668" s="6">
        <v>17.51</v>
      </c>
      <c r="F668" s="4"/>
      <c r="G668" s="7">
        <v>19.53</v>
      </c>
      <c r="H668" s="7">
        <v>10.63</v>
      </c>
      <c r="I668" s="7" t="e">
        <v>#N/A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5" t="s">
        <v>1375</v>
      </c>
      <c r="B669" s="5" t="s">
        <v>1376</v>
      </c>
      <c r="C669" s="4" t="s">
        <v>156</v>
      </c>
      <c r="D669" s="6">
        <v>0.01</v>
      </c>
      <c r="E669" s="6">
        <v>0.01</v>
      </c>
      <c r="F669" s="4"/>
      <c r="G669" s="7">
        <v>0.05</v>
      </c>
      <c r="H669" s="7">
        <v>0.0</v>
      </c>
      <c r="I669" s="7">
        <v>1.1841756E7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5" t="s">
        <v>1377</v>
      </c>
      <c r="B670" s="5" t="s">
        <v>1378</v>
      </c>
      <c r="C670" s="4" t="s">
        <v>182</v>
      </c>
      <c r="D670" s="6">
        <v>9.04</v>
      </c>
      <c r="E670" s="6">
        <v>9.01</v>
      </c>
      <c r="F670" s="7">
        <v>29.14</v>
      </c>
      <c r="G670" s="7">
        <v>9.74</v>
      </c>
      <c r="H670" s="7">
        <v>6.12</v>
      </c>
      <c r="I670" s="7">
        <v>1.401903306E9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5" t="s">
        <v>1379</v>
      </c>
      <c r="B671" s="5" t="s">
        <v>1380</v>
      </c>
      <c r="C671" s="4" t="s">
        <v>17</v>
      </c>
      <c r="D671" s="6">
        <v>0.04</v>
      </c>
      <c r="E671" s="6">
        <v>0.04</v>
      </c>
      <c r="F671" s="4"/>
      <c r="G671" s="7">
        <v>0.17</v>
      </c>
      <c r="H671" s="7">
        <v>0.03</v>
      </c>
      <c r="I671" s="7">
        <v>7371258.0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5" t="s">
        <v>1381</v>
      </c>
      <c r="B672" s="5" t="s">
        <v>1382</v>
      </c>
      <c r="C672" s="4" t="s">
        <v>86</v>
      </c>
      <c r="D672" s="6">
        <v>0.22</v>
      </c>
      <c r="E672" s="6">
        <v>0.23</v>
      </c>
      <c r="F672" s="4"/>
      <c r="G672" s="7">
        <v>0.68</v>
      </c>
      <c r="H672" s="7">
        <v>0.0</v>
      </c>
      <c r="I672" s="7">
        <v>7.50168095E8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5" t="s">
        <v>1383</v>
      </c>
      <c r="B673" s="5" t="s">
        <v>1384</v>
      </c>
      <c r="C673" s="4" t="s">
        <v>101</v>
      </c>
      <c r="D673" s="6">
        <v>0.04</v>
      </c>
      <c r="E673" s="6">
        <v>0.04</v>
      </c>
      <c r="F673" s="4"/>
      <c r="G673" s="7">
        <v>0.11</v>
      </c>
      <c r="H673" s="7">
        <v>0.03</v>
      </c>
      <c r="I673" s="7">
        <v>2.7723959E7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5" t="s">
        <v>1385</v>
      </c>
      <c r="B674" s="5" t="s">
        <v>1386</v>
      </c>
      <c r="C674" s="4" t="s">
        <v>14</v>
      </c>
      <c r="D674" s="6">
        <v>0.02</v>
      </c>
      <c r="E674" s="6">
        <v>0.02</v>
      </c>
      <c r="F674" s="4"/>
      <c r="G674" s="7">
        <v>0.06</v>
      </c>
      <c r="H674" s="7">
        <v>0.01</v>
      </c>
      <c r="I674" s="7">
        <v>4.6137814E7</v>
      </c>
      <c r="J674" s="7">
        <v>0.004</v>
      </c>
      <c r="K674" s="7">
        <v>0.004</v>
      </c>
      <c r="L674" s="7">
        <v>0.047</v>
      </c>
      <c r="M674" s="7">
        <v>0.003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5" t="s">
        <v>1387</v>
      </c>
      <c r="B675" s="5" t="s">
        <v>1388</v>
      </c>
      <c r="C675" s="4" t="s">
        <v>182</v>
      </c>
      <c r="D675" s="6">
        <v>2.15</v>
      </c>
      <c r="E675" s="6">
        <v>2.19</v>
      </c>
      <c r="F675" s="4"/>
      <c r="G675" s="7">
        <v>2.85</v>
      </c>
      <c r="H675" s="7">
        <v>0.85</v>
      </c>
      <c r="I675" s="7">
        <v>2.91135597E8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5" t="s">
        <v>1389</v>
      </c>
      <c r="B676" s="5" t="s">
        <v>1390</v>
      </c>
      <c r="C676" s="4" t="s">
        <v>169</v>
      </c>
      <c r="D676" s="6">
        <v>5.4</v>
      </c>
      <c r="E676" s="6">
        <v>5.39</v>
      </c>
      <c r="F676" s="7">
        <v>30.64</v>
      </c>
      <c r="G676" s="7">
        <v>5.6</v>
      </c>
      <c r="H676" s="7">
        <v>4.88</v>
      </c>
      <c r="I676" s="7">
        <v>1.15709852E9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5" t="s">
        <v>1391</v>
      </c>
      <c r="B677" s="5" t="s">
        <v>1392</v>
      </c>
      <c r="C677" s="4" t="s">
        <v>86</v>
      </c>
      <c r="D677" s="6" t="e">
        <v>#N/A</v>
      </c>
      <c r="E677" s="6" t="e">
        <v>#N/A</v>
      </c>
      <c r="F677" s="4"/>
      <c r="G677" s="4"/>
      <c r="H677" s="4"/>
      <c r="I677" s="7" t="e">
        <v>#N/A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5" t="s">
        <v>1393</v>
      </c>
      <c r="B678" s="5" t="s">
        <v>1394</v>
      </c>
      <c r="C678" s="4" t="s">
        <v>121</v>
      </c>
      <c r="D678" s="6">
        <v>1.84</v>
      </c>
      <c r="E678" s="6">
        <v>1.93</v>
      </c>
      <c r="F678" s="7">
        <v>21.16</v>
      </c>
      <c r="G678" s="7">
        <v>2.23</v>
      </c>
      <c r="H678" s="7">
        <v>1.35</v>
      </c>
      <c r="I678" s="7">
        <v>4.71928429E8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5" t="s">
        <v>1395</v>
      </c>
      <c r="B679" s="5" t="s">
        <v>1396</v>
      </c>
      <c r="C679" s="4" t="s">
        <v>34</v>
      </c>
      <c r="D679" s="6">
        <v>21.5</v>
      </c>
      <c r="E679" s="6">
        <v>21.73</v>
      </c>
      <c r="F679" s="4"/>
      <c r="G679" s="7">
        <v>24.2</v>
      </c>
      <c r="H679" s="7">
        <v>19.67</v>
      </c>
      <c r="I679" s="7" t="e">
        <v>#N/A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5" t="s">
        <v>1397</v>
      </c>
      <c r="B680" s="5" t="s">
        <v>1398</v>
      </c>
      <c r="C680" s="4" t="s">
        <v>50</v>
      </c>
      <c r="D680" s="6">
        <v>0.03</v>
      </c>
      <c r="E680" s="6">
        <v>0.03</v>
      </c>
      <c r="F680" s="4"/>
      <c r="G680" s="7">
        <v>0.07</v>
      </c>
      <c r="H680" s="7">
        <v>0.01</v>
      </c>
      <c r="I680" s="7">
        <v>3.8494049E7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5" t="s">
        <v>1399</v>
      </c>
      <c r="B681" s="5" t="s">
        <v>1400</v>
      </c>
      <c r="C681" s="4" t="s">
        <v>17</v>
      </c>
      <c r="D681" s="6">
        <v>4.54</v>
      </c>
      <c r="E681" s="6">
        <v>4.66</v>
      </c>
      <c r="F681" s="7">
        <v>16.91</v>
      </c>
      <c r="G681" s="7">
        <v>5.19</v>
      </c>
      <c r="H681" s="7">
        <v>2.02</v>
      </c>
      <c r="I681" s="7">
        <v>1.498133703E9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5" t="s">
        <v>1401</v>
      </c>
      <c r="B682" s="5" t="s">
        <v>1402</v>
      </c>
      <c r="C682" s="4" t="s">
        <v>14</v>
      </c>
      <c r="D682" s="6">
        <v>0.09</v>
      </c>
      <c r="E682" s="6">
        <v>0.09</v>
      </c>
      <c r="F682" s="4"/>
      <c r="G682" s="7">
        <v>0.2</v>
      </c>
      <c r="H682" s="7">
        <v>0.05</v>
      </c>
      <c r="I682" s="7">
        <v>9480995.0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5" t="s">
        <v>1403</v>
      </c>
      <c r="B683" s="5" t="s">
        <v>1404</v>
      </c>
      <c r="C683" s="4" t="s">
        <v>23</v>
      </c>
      <c r="D683" s="6">
        <v>0.55</v>
      </c>
      <c r="E683" s="6">
        <v>0.55</v>
      </c>
      <c r="F683" s="4"/>
      <c r="G683" s="7">
        <v>0.79</v>
      </c>
      <c r="H683" s="7">
        <v>0.34</v>
      </c>
      <c r="I683" s="7">
        <v>3.30218192E8</v>
      </c>
      <c r="J683" s="7">
        <v>7.29</v>
      </c>
      <c r="K683" s="7">
        <v>7.15</v>
      </c>
      <c r="L683" s="7">
        <v>7.64</v>
      </c>
      <c r="M683" s="7">
        <v>5.73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5" t="s">
        <v>1405</v>
      </c>
      <c r="B684" s="5" t="s">
        <v>1406</v>
      </c>
      <c r="C684" s="4" t="s">
        <v>416</v>
      </c>
      <c r="D684" s="6">
        <v>2.83</v>
      </c>
      <c r="E684" s="6">
        <v>2.81</v>
      </c>
      <c r="F684" s="7">
        <v>9.9</v>
      </c>
      <c r="G684" s="7">
        <v>3.14</v>
      </c>
      <c r="H684" s="7">
        <v>2.66</v>
      </c>
      <c r="I684" s="7">
        <v>3.89850884E8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5" t="s">
        <v>1407</v>
      </c>
      <c r="B685" s="5" t="s">
        <v>1408</v>
      </c>
      <c r="C685" s="4" t="s">
        <v>416</v>
      </c>
      <c r="D685" s="6">
        <v>2.68</v>
      </c>
      <c r="E685" s="6">
        <v>2.69</v>
      </c>
      <c r="F685" s="7">
        <v>10.1</v>
      </c>
      <c r="G685" s="7">
        <v>3.0</v>
      </c>
      <c r="H685" s="7">
        <v>2.46</v>
      </c>
      <c r="I685" s="7">
        <v>8.50283353E8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5" t="s">
        <v>1409</v>
      </c>
      <c r="B686" s="5" t="s">
        <v>1410</v>
      </c>
      <c r="C686" s="4" t="s">
        <v>182</v>
      </c>
      <c r="D686" s="6">
        <v>0.04</v>
      </c>
      <c r="E686" s="6">
        <v>0.04</v>
      </c>
      <c r="F686" s="4"/>
      <c r="G686" s="7">
        <v>0.08</v>
      </c>
      <c r="H686" s="7">
        <v>0.03</v>
      </c>
      <c r="I686" s="7">
        <v>1.2169439E7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5" t="s">
        <v>1411</v>
      </c>
      <c r="B687" s="5" t="s">
        <v>1412</v>
      </c>
      <c r="C687" s="4" t="s">
        <v>416</v>
      </c>
      <c r="D687" s="6">
        <v>6.96</v>
      </c>
      <c r="E687" s="6">
        <v>6.93</v>
      </c>
      <c r="F687" s="7">
        <v>50.42</v>
      </c>
      <c r="G687" s="7">
        <v>7.89</v>
      </c>
      <c r="H687" s="7">
        <v>6.5</v>
      </c>
      <c r="I687" s="7">
        <v>7.485932441E9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5" t="s">
        <v>1413</v>
      </c>
      <c r="B688" s="5" t="s">
        <v>1414</v>
      </c>
      <c r="C688" s="4" t="s">
        <v>26</v>
      </c>
      <c r="D688" s="6">
        <v>1.95</v>
      </c>
      <c r="E688" s="6">
        <v>1.84</v>
      </c>
      <c r="F688" s="7">
        <v>265.35</v>
      </c>
      <c r="G688" s="7">
        <v>2.49</v>
      </c>
      <c r="H688" s="7">
        <v>0.75</v>
      </c>
      <c r="I688" s="7">
        <v>1.894730164E9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5" t="s">
        <v>1413</v>
      </c>
      <c r="B689" s="5" t="s">
        <v>1414</v>
      </c>
      <c r="C689" s="4" t="s">
        <v>26</v>
      </c>
      <c r="D689" s="6">
        <v>1.95</v>
      </c>
      <c r="E689" s="6">
        <v>1.84</v>
      </c>
      <c r="F689" s="7">
        <v>265.35</v>
      </c>
      <c r="G689" s="7">
        <v>2.49</v>
      </c>
      <c r="H689" s="7">
        <v>0.75</v>
      </c>
      <c r="I689" s="7">
        <v>1.894730164E9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8" t="s">
        <v>1413</v>
      </c>
      <c r="B690" s="8" t="s">
        <v>1414</v>
      </c>
      <c r="C690" s="9" t="s">
        <v>26</v>
      </c>
      <c r="D690" s="10">
        <v>1.95</v>
      </c>
      <c r="E690" s="6">
        <v>1.84</v>
      </c>
      <c r="F690" s="7">
        <v>265.35</v>
      </c>
      <c r="G690" s="7">
        <v>2.49</v>
      </c>
      <c r="H690" s="7">
        <v>0.75</v>
      </c>
      <c r="I690" s="7">
        <v>1.894730164E9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5" t="s">
        <v>1415</v>
      </c>
      <c r="B691" s="5" t="s">
        <v>1416</v>
      </c>
      <c r="C691" s="4" t="s">
        <v>17</v>
      </c>
      <c r="D691" s="6">
        <v>0.43</v>
      </c>
      <c r="E691" s="6">
        <v>0.42</v>
      </c>
      <c r="F691" s="4"/>
      <c r="G691" s="7">
        <v>0.46</v>
      </c>
      <c r="H691" s="7">
        <v>0.2</v>
      </c>
      <c r="I691" s="7">
        <v>2.2011954E7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5" t="s">
        <v>1417</v>
      </c>
      <c r="B692" s="5" t="s">
        <v>1418</v>
      </c>
      <c r="C692" s="4" t="s">
        <v>34</v>
      </c>
      <c r="D692" s="6">
        <v>31.06</v>
      </c>
      <c r="E692" s="6">
        <v>31.28</v>
      </c>
      <c r="F692" s="4"/>
      <c r="G692" s="7">
        <v>32.67</v>
      </c>
      <c r="H692" s="7">
        <v>27.25</v>
      </c>
      <c r="I692" s="7" t="e">
        <v>#N/A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5" t="s">
        <v>1419</v>
      </c>
      <c r="B693" s="5" t="s">
        <v>1420</v>
      </c>
      <c r="C693" s="4" t="s">
        <v>34</v>
      </c>
      <c r="D693" s="6">
        <v>26.8</v>
      </c>
      <c r="E693" s="6">
        <v>26.75</v>
      </c>
      <c r="F693" s="4"/>
      <c r="G693" s="7">
        <v>28.0</v>
      </c>
      <c r="H693" s="7">
        <v>23.14</v>
      </c>
      <c r="I693" s="7" t="e">
        <v>#N/A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5" t="s">
        <v>1421</v>
      </c>
      <c r="B694" s="5" t="s">
        <v>1422</v>
      </c>
      <c r="C694" s="4" t="s">
        <v>17</v>
      </c>
      <c r="D694" s="6">
        <v>0.33</v>
      </c>
      <c r="E694" s="6">
        <v>0.32</v>
      </c>
      <c r="F694" s="4"/>
      <c r="G694" s="7">
        <v>0.5</v>
      </c>
      <c r="H694" s="7">
        <v>0.19</v>
      </c>
      <c r="I694" s="7">
        <v>8.7706347E7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5" t="s">
        <v>1423</v>
      </c>
      <c r="B695" s="5" t="s">
        <v>1424</v>
      </c>
      <c r="C695" s="4" t="s">
        <v>86</v>
      </c>
      <c r="D695" s="6">
        <v>0.03</v>
      </c>
      <c r="E695" s="6">
        <v>0.03</v>
      </c>
      <c r="F695" s="4"/>
      <c r="G695" s="7">
        <v>0.05</v>
      </c>
      <c r="H695" s="7">
        <v>0.02</v>
      </c>
      <c r="I695" s="7">
        <v>7312148.0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5" t="s">
        <v>1425</v>
      </c>
      <c r="B696" s="5" t="s">
        <v>1426</v>
      </c>
      <c r="C696" s="4" t="s">
        <v>34</v>
      </c>
      <c r="D696" s="6" t="e">
        <v>#N/A</v>
      </c>
      <c r="E696" s="6" t="e">
        <v>#N/A</v>
      </c>
      <c r="F696" s="4"/>
      <c r="G696" s="4"/>
      <c r="H696" s="4"/>
      <c r="I696" s="7" t="e">
        <v>#N/A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5" t="s">
        <v>1427</v>
      </c>
      <c r="B697" s="5" t="s">
        <v>1428</v>
      </c>
      <c r="C697" s="4" t="s">
        <v>34</v>
      </c>
      <c r="D697" s="6">
        <v>20.05</v>
      </c>
      <c r="E697" s="6">
        <v>20.05</v>
      </c>
      <c r="F697" s="4"/>
      <c r="G697" s="7">
        <v>20.08</v>
      </c>
      <c r="H697" s="7">
        <v>19.98</v>
      </c>
      <c r="I697" s="7" t="e">
        <v>#N/A</v>
      </c>
      <c r="J697" s="7">
        <v>0.004</v>
      </c>
      <c r="K697" s="7">
        <v>0.004</v>
      </c>
      <c r="L697" s="7">
        <v>0.008</v>
      </c>
      <c r="M697" s="7">
        <v>0.003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5" t="s">
        <v>1429</v>
      </c>
      <c r="B698" s="5" t="s">
        <v>1430</v>
      </c>
      <c r="C698" s="4" t="s">
        <v>31</v>
      </c>
      <c r="D698" s="6">
        <v>0.02</v>
      </c>
      <c r="E698" s="6">
        <v>0.02</v>
      </c>
      <c r="F698" s="4"/>
      <c r="G698" s="7">
        <v>0.02</v>
      </c>
      <c r="H698" s="7">
        <v>0.0</v>
      </c>
      <c r="I698" s="7">
        <v>2.748451E7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5" t="s">
        <v>1431</v>
      </c>
      <c r="B699" s="5" t="s">
        <v>1432</v>
      </c>
      <c r="C699" s="4" t="s">
        <v>159</v>
      </c>
      <c r="D699" s="6">
        <v>0.49</v>
      </c>
      <c r="E699" s="6">
        <v>0.49</v>
      </c>
      <c r="F699" s="7">
        <v>9.77</v>
      </c>
      <c r="G699" s="7">
        <v>0.56</v>
      </c>
      <c r="H699" s="7">
        <v>0.27</v>
      </c>
      <c r="I699" s="7">
        <v>1.9329146E7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5" t="s">
        <v>1433</v>
      </c>
      <c r="B700" s="5" t="s">
        <v>1434</v>
      </c>
      <c r="C700" s="4" t="s">
        <v>34</v>
      </c>
      <c r="D700" s="6" t="e">
        <v>#N/A</v>
      </c>
      <c r="E700" s="6" t="e">
        <v>#N/A</v>
      </c>
      <c r="F700" s="4"/>
      <c r="G700" s="4"/>
      <c r="H700" s="4"/>
      <c r="I700" s="7" t="e">
        <v>#N/A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5" t="s">
        <v>1435</v>
      </c>
      <c r="B701" s="5" t="s">
        <v>1436</v>
      </c>
      <c r="C701" s="4" t="s">
        <v>172</v>
      </c>
      <c r="D701" s="6">
        <v>23.5</v>
      </c>
      <c r="E701" s="6">
        <v>23.64</v>
      </c>
      <c r="F701" s="4"/>
      <c r="G701" s="7">
        <v>38.23</v>
      </c>
      <c r="H701" s="7">
        <v>23.0</v>
      </c>
      <c r="I701" s="7">
        <v>5.662808E9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5" t="s">
        <v>1437</v>
      </c>
      <c r="B702" s="5" t="s">
        <v>1438</v>
      </c>
      <c r="C702" s="4" t="s">
        <v>60</v>
      </c>
      <c r="D702" s="6">
        <v>0.92</v>
      </c>
      <c r="E702" s="6">
        <v>0.9</v>
      </c>
      <c r="F702" s="4"/>
      <c r="G702" s="7">
        <v>2.08</v>
      </c>
      <c r="H702" s="7">
        <v>0.83</v>
      </c>
      <c r="I702" s="7">
        <v>4.0949609E8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5" t="s">
        <v>1439</v>
      </c>
      <c r="B703" s="5" t="s">
        <v>1440</v>
      </c>
      <c r="C703" s="4" t="s">
        <v>416</v>
      </c>
      <c r="D703" s="6">
        <v>0.64</v>
      </c>
      <c r="E703" s="6">
        <v>0.64</v>
      </c>
      <c r="F703" s="4"/>
      <c r="G703" s="7">
        <v>0.72</v>
      </c>
      <c r="H703" s="7">
        <v>0.54</v>
      </c>
      <c r="I703" s="7">
        <v>2.60481466E8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5" t="s">
        <v>1441</v>
      </c>
      <c r="B704" s="5" t="s">
        <v>1442</v>
      </c>
      <c r="C704" s="4" t="s">
        <v>76</v>
      </c>
      <c r="D704" s="6">
        <v>0.34</v>
      </c>
      <c r="E704" s="6">
        <v>0.34</v>
      </c>
      <c r="F704" s="7">
        <v>18.77</v>
      </c>
      <c r="G704" s="7">
        <v>0.42</v>
      </c>
      <c r="H704" s="7">
        <v>0.32</v>
      </c>
      <c r="I704" s="7">
        <v>7.5023516E7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5" t="s">
        <v>1443</v>
      </c>
      <c r="B705" s="5" t="s">
        <v>1444</v>
      </c>
      <c r="C705" s="4" t="s">
        <v>169</v>
      </c>
      <c r="D705" s="6">
        <v>4.35</v>
      </c>
      <c r="E705" s="6">
        <v>4.33</v>
      </c>
      <c r="F705" s="7">
        <v>125.87</v>
      </c>
      <c r="G705" s="7">
        <v>4.53</v>
      </c>
      <c r="H705" s="7">
        <v>2.99</v>
      </c>
      <c r="I705" s="7">
        <v>1.26125985E8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5" t="s">
        <v>1445</v>
      </c>
      <c r="B706" s="5" t="s">
        <v>1446</v>
      </c>
      <c r="C706" s="4" t="s">
        <v>169</v>
      </c>
      <c r="D706" s="6">
        <v>1.11</v>
      </c>
      <c r="E706" s="6">
        <v>1.11</v>
      </c>
      <c r="F706" s="4"/>
      <c r="G706" s="7">
        <v>1.5</v>
      </c>
      <c r="H706" s="7">
        <v>1.11</v>
      </c>
      <c r="I706" s="7">
        <v>2.0412567E7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5" t="s">
        <v>1447</v>
      </c>
      <c r="B707" s="5" t="s">
        <v>1448</v>
      </c>
      <c r="C707" s="4" t="s">
        <v>34</v>
      </c>
      <c r="D707" s="6">
        <v>25.26</v>
      </c>
      <c r="E707" s="6">
        <v>25.44</v>
      </c>
      <c r="F707" s="4"/>
      <c r="G707" s="7">
        <v>25.5</v>
      </c>
      <c r="H707" s="7">
        <v>25.08</v>
      </c>
      <c r="I707" s="7" t="e">
        <v>#N/A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5" t="s">
        <v>1449</v>
      </c>
      <c r="B708" s="5" t="s">
        <v>1450</v>
      </c>
      <c r="C708" s="4" t="s">
        <v>162</v>
      </c>
      <c r="D708" s="6">
        <v>0.01</v>
      </c>
      <c r="E708" s="6">
        <v>0.01</v>
      </c>
      <c r="F708" s="4"/>
      <c r="G708" s="7">
        <v>0.02</v>
      </c>
      <c r="H708" s="7">
        <v>0.01</v>
      </c>
      <c r="I708" s="7">
        <v>6224592.0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5" t="s">
        <v>1451</v>
      </c>
      <c r="B709" s="5" t="s">
        <v>1452</v>
      </c>
      <c r="C709" s="4" t="s">
        <v>221</v>
      </c>
      <c r="D709" s="6">
        <v>0.19</v>
      </c>
      <c r="E709" s="6">
        <v>0.18</v>
      </c>
      <c r="F709" s="4"/>
      <c r="G709" s="7">
        <v>0.2</v>
      </c>
      <c r="H709" s="7">
        <v>0.02</v>
      </c>
      <c r="I709" s="7">
        <v>7.6861041E7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5" t="s">
        <v>1453</v>
      </c>
      <c r="B710" s="5" t="s">
        <v>1454</v>
      </c>
      <c r="C710" s="4" t="s">
        <v>961</v>
      </c>
      <c r="D710" s="6">
        <v>0.05</v>
      </c>
      <c r="E710" s="6">
        <v>0.05</v>
      </c>
      <c r="F710" s="4"/>
      <c r="G710" s="7">
        <v>0.09</v>
      </c>
      <c r="H710" s="7">
        <v>0.02</v>
      </c>
      <c r="I710" s="7">
        <v>2.753125E7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5" t="s">
        <v>1455</v>
      </c>
      <c r="B711" s="5" t="s">
        <v>1456</v>
      </c>
      <c r="C711" s="4" t="s">
        <v>1457</v>
      </c>
      <c r="D711" s="6">
        <v>0.82</v>
      </c>
      <c r="E711" s="6">
        <v>0.81</v>
      </c>
      <c r="F711" s="7">
        <v>15.81</v>
      </c>
      <c r="G711" s="7">
        <v>1.02</v>
      </c>
      <c r="H711" s="7">
        <v>0.1</v>
      </c>
      <c r="I711" s="7">
        <v>1.17295586E8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5" t="s">
        <v>1458</v>
      </c>
      <c r="B712" s="5" t="s">
        <v>1459</v>
      </c>
      <c r="C712" s="4" t="s">
        <v>578</v>
      </c>
      <c r="D712" s="6">
        <v>3.68</v>
      </c>
      <c r="E712" s="6">
        <v>3.66</v>
      </c>
      <c r="F712" s="7">
        <v>15.47</v>
      </c>
      <c r="G712" s="7">
        <v>4.57</v>
      </c>
      <c r="H712" s="7">
        <v>3.45</v>
      </c>
      <c r="I712" s="7">
        <v>6.608268119E9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5" t="s">
        <v>1460</v>
      </c>
      <c r="B713" s="5" t="s">
        <v>1461</v>
      </c>
      <c r="C713" s="4" t="s">
        <v>954</v>
      </c>
      <c r="D713" s="6">
        <v>0.01</v>
      </c>
      <c r="E713" s="6">
        <v>0.01</v>
      </c>
      <c r="F713" s="4"/>
      <c r="G713" s="7">
        <v>0.01</v>
      </c>
      <c r="H713" s="7">
        <v>0.0</v>
      </c>
      <c r="I713" s="7">
        <v>3338774.0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5" t="s">
        <v>1462</v>
      </c>
      <c r="B714" s="5" t="s">
        <v>1463</v>
      </c>
      <c r="C714" s="4" t="s">
        <v>37</v>
      </c>
      <c r="D714" s="6">
        <v>0.0</v>
      </c>
      <c r="E714" s="6">
        <v>0.0</v>
      </c>
      <c r="F714" s="4"/>
      <c r="G714" s="7">
        <v>0.0</v>
      </c>
      <c r="H714" s="7">
        <v>0.0</v>
      </c>
      <c r="I714" s="7">
        <v>504983.0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5" t="s">
        <v>1464</v>
      </c>
      <c r="B715" s="5" t="s">
        <v>1465</v>
      </c>
      <c r="C715" s="4" t="s">
        <v>17</v>
      </c>
      <c r="D715" s="6">
        <v>0.04</v>
      </c>
      <c r="E715" s="6">
        <v>0.04</v>
      </c>
      <c r="F715" s="4"/>
      <c r="G715" s="7">
        <v>0.06</v>
      </c>
      <c r="H715" s="7">
        <v>0.02</v>
      </c>
      <c r="I715" s="7">
        <v>4680733.0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5" t="s">
        <v>1466</v>
      </c>
      <c r="B716" s="5" t="s">
        <v>1467</v>
      </c>
      <c r="C716" s="4" t="s">
        <v>17</v>
      </c>
      <c r="D716" s="6">
        <v>0.03</v>
      </c>
      <c r="E716" s="6">
        <v>0.03</v>
      </c>
      <c r="F716" s="4"/>
      <c r="G716" s="7">
        <v>0.09</v>
      </c>
      <c r="H716" s="7">
        <v>0.02</v>
      </c>
      <c r="I716" s="7">
        <v>8088008.0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5" t="s">
        <v>1468</v>
      </c>
      <c r="B717" s="5" t="s">
        <v>1469</v>
      </c>
      <c r="C717" s="4" t="s">
        <v>1470</v>
      </c>
      <c r="D717" s="6">
        <v>0.63</v>
      </c>
      <c r="E717" s="6">
        <v>0.63</v>
      </c>
      <c r="F717" s="4"/>
      <c r="G717" s="7">
        <v>1.12</v>
      </c>
      <c r="H717" s="7">
        <v>0.56</v>
      </c>
      <c r="I717" s="7">
        <v>5.670945E7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5" t="s">
        <v>1471</v>
      </c>
      <c r="B718" s="5" t="s">
        <v>1472</v>
      </c>
      <c r="C718" s="4" t="s">
        <v>162</v>
      </c>
      <c r="D718" s="6">
        <v>0.48</v>
      </c>
      <c r="E718" s="6">
        <v>0.49</v>
      </c>
      <c r="F718" s="7">
        <v>9.21</v>
      </c>
      <c r="G718" s="7">
        <v>0.62</v>
      </c>
      <c r="H718" s="7">
        <v>0.44</v>
      </c>
      <c r="I718" s="7">
        <v>2.02668523E8</v>
      </c>
      <c r="J718" s="7">
        <v>2.06</v>
      </c>
      <c r="K718" s="7">
        <v>2.0</v>
      </c>
      <c r="L718" s="7">
        <v>2.7</v>
      </c>
      <c r="M718" s="7">
        <v>2.0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5" t="s">
        <v>1473</v>
      </c>
      <c r="B719" s="5" t="s">
        <v>1474</v>
      </c>
      <c r="C719" s="4" t="s">
        <v>221</v>
      </c>
      <c r="D719" s="6">
        <v>0.24</v>
      </c>
      <c r="E719" s="6">
        <v>0.23</v>
      </c>
      <c r="F719" s="7">
        <v>19.15</v>
      </c>
      <c r="G719" s="7">
        <v>0.32</v>
      </c>
      <c r="H719" s="7">
        <v>0.19</v>
      </c>
      <c r="I719" s="7">
        <v>8.9416959E7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5" t="s">
        <v>1475</v>
      </c>
      <c r="B720" s="5" t="s">
        <v>1476</v>
      </c>
      <c r="C720" s="4" t="s">
        <v>20</v>
      </c>
      <c r="D720" s="6">
        <v>0.38</v>
      </c>
      <c r="E720" s="6">
        <v>0.37</v>
      </c>
      <c r="F720" s="4"/>
      <c r="G720" s="7">
        <v>0.68</v>
      </c>
      <c r="H720" s="7">
        <v>0.08</v>
      </c>
      <c r="I720" s="7">
        <v>1.75389491E8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5" t="s">
        <v>1477</v>
      </c>
      <c r="B721" s="5" t="s">
        <v>1478</v>
      </c>
      <c r="C721" s="4" t="s">
        <v>20</v>
      </c>
      <c r="D721" s="6">
        <v>0.02</v>
      </c>
      <c r="E721" s="6">
        <v>0.02</v>
      </c>
      <c r="F721" s="4"/>
      <c r="G721" s="7">
        <v>0.04</v>
      </c>
      <c r="H721" s="7">
        <v>0.02</v>
      </c>
      <c r="I721" s="7">
        <v>1.0499E7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5" t="s">
        <v>1479</v>
      </c>
      <c r="B722" s="5" t="s">
        <v>1480</v>
      </c>
      <c r="C722" s="4" t="s">
        <v>159</v>
      </c>
      <c r="D722" s="6">
        <v>1.23</v>
      </c>
      <c r="E722" s="6">
        <v>1.24</v>
      </c>
      <c r="F722" s="7">
        <v>8.69</v>
      </c>
      <c r="G722" s="7">
        <v>1.42</v>
      </c>
      <c r="H722" s="7">
        <v>0.69</v>
      </c>
      <c r="I722" s="7">
        <v>6.35029944E8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5" t="s">
        <v>1481</v>
      </c>
      <c r="B723" s="5" t="s">
        <v>1482</v>
      </c>
      <c r="C723" s="4" t="s">
        <v>34</v>
      </c>
      <c r="D723" s="6" t="e">
        <v>#N/A</v>
      </c>
      <c r="E723" s="6" t="e">
        <v>#N/A</v>
      </c>
      <c r="F723" s="4"/>
      <c r="G723" s="4"/>
      <c r="H723" s="4"/>
      <c r="I723" s="7" t="e">
        <v>#N/A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5" t="s">
        <v>1483</v>
      </c>
      <c r="B724" s="5" t="s">
        <v>1484</v>
      </c>
      <c r="C724" s="4" t="s">
        <v>60</v>
      </c>
      <c r="D724" s="6">
        <v>0.26</v>
      </c>
      <c r="E724" s="6">
        <v>0.26</v>
      </c>
      <c r="F724" s="4"/>
      <c r="G724" s="7">
        <v>0.37</v>
      </c>
      <c r="H724" s="7">
        <v>0.17</v>
      </c>
      <c r="I724" s="7">
        <v>1.65823334E8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5" t="s">
        <v>1485</v>
      </c>
      <c r="B725" s="5" t="s">
        <v>1486</v>
      </c>
      <c r="C725" s="4" t="s">
        <v>26</v>
      </c>
      <c r="D725" s="6">
        <v>0.3</v>
      </c>
      <c r="E725" s="6">
        <v>0.31</v>
      </c>
      <c r="F725" s="4"/>
      <c r="G725" s="7">
        <v>0.5</v>
      </c>
      <c r="H725" s="7">
        <v>0.19</v>
      </c>
      <c r="I725" s="7">
        <v>1.37535755E8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5" t="s">
        <v>1485</v>
      </c>
      <c r="B726" s="5" t="s">
        <v>1486</v>
      </c>
      <c r="C726" s="4" t="s">
        <v>26</v>
      </c>
      <c r="D726" s="6">
        <v>0.3</v>
      </c>
      <c r="E726" s="6">
        <v>0.31</v>
      </c>
      <c r="F726" s="4"/>
      <c r="G726" s="7">
        <v>0.5</v>
      </c>
      <c r="H726" s="7">
        <v>0.19</v>
      </c>
      <c r="I726" s="7">
        <v>1.37535755E8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8" t="s">
        <v>1485</v>
      </c>
      <c r="B727" s="8" t="s">
        <v>1486</v>
      </c>
      <c r="C727" s="9" t="s">
        <v>26</v>
      </c>
      <c r="D727" s="10">
        <v>0.3</v>
      </c>
      <c r="E727" s="6">
        <v>0.31</v>
      </c>
      <c r="F727" s="4"/>
      <c r="G727" s="7">
        <v>0.5</v>
      </c>
      <c r="H727" s="7">
        <v>0.19</v>
      </c>
      <c r="I727" s="7">
        <v>1.37535755E8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5" t="s">
        <v>1487</v>
      </c>
      <c r="B728" s="5" t="s">
        <v>1488</v>
      </c>
      <c r="C728" s="4" t="s">
        <v>126</v>
      </c>
      <c r="D728" s="6">
        <v>6.81</v>
      </c>
      <c r="E728" s="6">
        <v>6.85</v>
      </c>
      <c r="F728" s="7">
        <v>25.02</v>
      </c>
      <c r="G728" s="7">
        <v>7.91</v>
      </c>
      <c r="H728" s="7">
        <v>5.73</v>
      </c>
      <c r="I728" s="7">
        <v>1.460599253E9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5" t="s">
        <v>1489</v>
      </c>
      <c r="B729" s="5" t="s">
        <v>1490</v>
      </c>
      <c r="C729" s="4" t="s">
        <v>156</v>
      </c>
      <c r="D729" s="6">
        <v>3.42</v>
      </c>
      <c r="E729" s="6">
        <v>3.08</v>
      </c>
      <c r="F729" s="4"/>
      <c r="G729" s="7">
        <v>3.49</v>
      </c>
      <c r="H729" s="7">
        <v>0.29</v>
      </c>
      <c r="I729" s="7">
        <v>7.51284412E8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5" t="s">
        <v>1491</v>
      </c>
      <c r="B730" s="5" t="s">
        <v>1492</v>
      </c>
      <c r="C730" s="4" t="s">
        <v>37</v>
      </c>
      <c r="D730" s="6">
        <v>0.33</v>
      </c>
      <c r="E730" s="6">
        <v>0.32</v>
      </c>
      <c r="F730" s="4"/>
      <c r="G730" s="7">
        <v>0.39</v>
      </c>
      <c r="H730" s="7">
        <v>0.05</v>
      </c>
      <c r="I730" s="7">
        <v>1.08161101E8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5" t="s">
        <v>1493</v>
      </c>
      <c r="B731" s="5" t="s">
        <v>1494</v>
      </c>
      <c r="C731" s="4" t="s">
        <v>37</v>
      </c>
      <c r="D731" s="6">
        <v>7.92</v>
      </c>
      <c r="E731" s="6">
        <v>8.04</v>
      </c>
      <c r="F731" s="4"/>
      <c r="G731" s="7">
        <v>8.3</v>
      </c>
      <c r="H731" s="7">
        <v>3.44</v>
      </c>
      <c r="I731" s="7">
        <v>1.341086484E9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5" t="s">
        <v>1495</v>
      </c>
      <c r="B732" s="5" t="s">
        <v>1496</v>
      </c>
      <c r="C732" s="4" t="s">
        <v>17</v>
      </c>
      <c r="D732" s="6">
        <v>0.01</v>
      </c>
      <c r="E732" s="6">
        <v>0.01</v>
      </c>
      <c r="F732" s="4"/>
      <c r="G732" s="7">
        <v>0.01</v>
      </c>
      <c r="H732" s="7">
        <v>0.0</v>
      </c>
      <c r="I732" s="7">
        <v>1.3848839E7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5" t="s">
        <v>1497</v>
      </c>
      <c r="B733" s="5" t="s">
        <v>1498</v>
      </c>
      <c r="C733" s="4" t="s">
        <v>86</v>
      </c>
      <c r="D733" s="6">
        <v>0.09</v>
      </c>
      <c r="E733" s="6">
        <v>0.09</v>
      </c>
      <c r="F733" s="4"/>
      <c r="G733" s="7">
        <v>0.09</v>
      </c>
      <c r="H733" s="7">
        <v>0.08</v>
      </c>
      <c r="I733" s="7" t="e">
        <v>#N/A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5" t="s">
        <v>1499</v>
      </c>
      <c r="B734" s="5" t="s">
        <v>1500</v>
      </c>
      <c r="C734" s="4" t="s">
        <v>210</v>
      </c>
      <c r="D734" s="6">
        <v>0.07</v>
      </c>
      <c r="E734" s="6">
        <v>0.07</v>
      </c>
      <c r="F734" s="4"/>
      <c r="G734" s="7">
        <v>0.08</v>
      </c>
      <c r="H734" s="7">
        <v>0.05</v>
      </c>
      <c r="I734" s="7">
        <v>9684562.0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5" t="s">
        <v>1499</v>
      </c>
      <c r="B735" s="5" t="s">
        <v>1500</v>
      </c>
      <c r="C735" s="4" t="s">
        <v>210</v>
      </c>
      <c r="D735" s="6">
        <v>0.07</v>
      </c>
      <c r="E735" s="6">
        <v>0.07</v>
      </c>
      <c r="F735" s="4"/>
      <c r="G735" s="7">
        <v>0.08</v>
      </c>
      <c r="H735" s="7">
        <v>0.05</v>
      </c>
      <c r="I735" s="7">
        <v>9684562.0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5" t="s">
        <v>1501</v>
      </c>
      <c r="B736" s="5" t="s">
        <v>1502</v>
      </c>
      <c r="C736" s="4" t="s">
        <v>768</v>
      </c>
      <c r="D736" s="6">
        <v>8.1</v>
      </c>
      <c r="E736" s="6">
        <v>8.1</v>
      </c>
      <c r="F736" s="7">
        <v>18.89</v>
      </c>
      <c r="G736" s="7">
        <v>8.7</v>
      </c>
      <c r="H736" s="7">
        <v>7.45</v>
      </c>
      <c r="I736" s="7">
        <v>1.747864E7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5" t="s">
        <v>1503</v>
      </c>
      <c r="B737" s="5" t="s">
        <v>1504</v>
      </c>
      <c r="C737" s="4" t="s">
        <v>17</v>
      </c>
      <c r="D737" s="6">
        <v>0.13</v>
      </c>
      <c r="E737" s="6">
        <v>0.12</v>
      </c>
      <c r="F737" s="4"/>
      <c r="G737" s="7">
        <v>0.18</v>
      </c>
      <c r="H737" s="7">
        <v>0.1</v>
      </c>
      <c r="I737" s="7">
        <v>3.3713375E7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5" t="s">
        <v>1505</v>
      </c>
      <c r="B738" s="5" t="s">
        <v>1506</v>
      </c>
      <c r="C738" s="4" t="s">
        <v>23</v>
      </c>
      <c r="D738" s="6" t="e">
        <v>#N/A</v>
      </c>
      <c r="E738" s="6" t="e">
        <v>#N/A</v>
      </c>
      <c r="F738" s="4"/>
      <c r="G738" s="4"/>
      <c r="H738" s="4"/>
      <c r="I738" s="7" t="e">
        <v>#N/A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5" t="s">
        <v>1507</v>
      </c>
      <c r="B739" s="5" t="s">
        <v>1508</v>
      </c>
      <c r="C739" s="4" t="s">
        <v>26</v>
      </c>
      <c r="D739" s="6">
        <v>0.08</v>
      </c>
      <c r="E739" s="6">
        <v>0.08</v>
      </c>
      <c r="F739" s="4"/>
      <c r="G739" s="7">
        <v>0.12</v>
      </c>
      <c r="H739" s="7">
        <v>0.06</v>
      </c>
      <c r="I739" s="7">
        <v>1.5922826E7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5" t="s">
        <v>1507</v>
      </c>
      <c r="B740" s="5" t="s">
        <v>1508</v>
      </c>
      <c r="C740" s="4" t="s">
        <v>26</v>
      </c>
      <c r="D740" s="6">
        <v>0.08</v>
      </c>
      <c r="E740" s="6">
        <v>0.08</v>
      </c>
      <c r="F740" s="4"/>
      <c r="G740" s="7">
        <v>0.12</v>
      </c>
      <c r="H740" s="7">
        <v>0.06</v>
      </c>
      <c r="I740" s="7">
        <v>1.5922826E7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8" t="s">
        <v>1507</v>
      </c>
      <c r="B741" s="8" t="s">
        <v>1508</v>
      </c>
      <c r="C741" s="9" t="s">
        <v>26</v>
      </c>
      <c r="D741" s="10">
        <v>0.08</v>
      </c>
      <c r="E741" s="6">
        <v>0.08</v>
      </c>
      <c r="F741" s="4"/>
      <c r="G741" s="7">
        <v>0.12</v>
      </c>
      <c r="H741" s="7">
        <v>0.06</v>
      </c>
      <c r="I741" s="7">
        <v>1.5922826E7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5" t="s">
        <v>1509</v>
      </c>
      <c r="B742" s="5" t="s">
        <v>1510</v>
      </c>
      <c r="C742" s="4" t="s">
        <v>37</v>
      </c>
      <c r="D742" s="6">
        <v>0.36</v>
      </c>
      <c r="E742" s="6">
        <v>0.36</v>
      </c>
      <c r="F742" s="4"/>
      <c r="G742" s="7">
        <v>0.55</v>
      </c>
      <c r="H742" s="7">
        <v>0.11</v>
      </c>
      <c r="I742" s="7">
        <v>3.7548304E7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5" t="s">
        <v>1511</v>
      </c>
      <c r="B743" s="5" t="s">
        <v>1512</v>
      </c>
      <c r="C743" s="4" t="s">
        <v>34</v>
      </c>
      <c r="D743" s="6">
        <v>31.35</v>
      </c>
      <c r="E743" s="6">
        <v>30.84</v>
      </c>
      <c r="F743" s="4"/>
      <c r="G743" s="7">
        <v>33.15</v>
      </c>
      <c r="H743" s="7">
        <v>24.21</v>
      </c>
      <c r="I743" s="7" t="e">
        <v>#N/A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5" t="s">
        <v>1513</v>
      </c>
      <c r="B744" s="5" t="s">
        <v>1514</v>
      </c>
      <c r="C744" s="4" t="s">
        <v>159</v>
      </c>
      <c r="D744" s="6">
        <v>0.92</v>
      </c>
      <c r="E744" s="6">
        <v>0.93</v>
      </c>
      <c r="F744" s="4"/>
      <c r="G744" s="7">
        <v>1.2</v>
      </c>
      <c r="H744" s="7">
        <v>0.76</v>
      </c>
      <c r="I744" s="7">
        <v>3.54789358E8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5" t="s">
        <v>1515</v>
      </c>
      <c r="B745" s="5" t="s">
        <v>1516</v>
      </c>
      <c r="C745" s="4" t="s">
        <v>447</v>
      </c>
      <c r="D745" s="6">
        <v>0.16</v>
      </c>
      <c r="E745" s="6">
        <v>0.16</v>
      </c>
      <c r="F745" s="4"/>
      <c r="G745" s="7">
        <v>0.34</v>
      </c>
      <c r="H745" s="7">
        <v>0.14</v>
      </c>
      <c r="I745" s="7">
        <v>2.4948774E7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5" t="s">
        <v>1517</v>
      </c>
      <c r="B746" s="5" t="s">
        <v>1518</v>
      </c>
      <c r="C746" s="4" t="s">
        <v>76</v>
      </c>
      <c r="D746" s="6">
        <v>0.12</v>
      </c>
      <c r="E746" s="6">
        <v>0.11</v>
      </c>
      <c r="F746" s="4"/>
      <c r="G746" s="7">
        <v>0.13</v>
      </c>
      <c r="H746" s="7">
        <v>0.02</v>
      </c>
      <c r="I746" s="7">
        <v>9.5500049E7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5" t="s">
        <v>1519</v>
      </c>
      <c r="B747" s="5" t="s">
        <v>1520</v>
      </c>
      <c r="C747" s="4" t="s">
        <v>86</v>
      </c>
      <c r="D747" s="6">
        <v>6.36</v>
      </c>
      <c r="E747" s="6">
        <v>6.32</v>
      </c>
      <c r="F747" s="7">
        <v>48.15</v>
      </c>
      <c r="G747" s="7">
        <v>6.61</v>
      </c>
      <c r="H747" s="7">
        <v>3.23</v>
      </c>
      <c r="I747" s="7">
        <v>4.201160416E9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5" t="s">
        <v>1521</v>
      </c>
      <c r="B748" s="5" t="s">
        <v>1522</v>
      </c>
      <c r="C748" s="4" t="s">
        <v>37</v>
      </c>
      <c r="D748" s="6">
        <v>0.01</v>
      </c>
      <c r="E748" s="6">
        <v>0.01</v>
      </c>
      <c r="F748" s="4"/>
      <c r="G748" s="7">
        <v>0.03</v>
      </c>
      <c r="H748" s="7">
        <v>0.02</v>
      </c>
      <c r="I748" s="7">
        <v>697130.0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5" t="s">
        <v>1523</v>
      </c>
      <c r="B749" s="5" t="s">
        <v>1524</v>
      </c>
      <c r="C749" s="4" t="s">
        <v>17</v>
      </c>
      <c r="D749" s="6">
        <v>0.01</v>
      </c>
      <c r="E749" s="6">
        <v>0.01</v>
      </c>
      <c r="F749" s="4"/>
      <c r="G749" s="7">
        <v>0.01</v>
      </c>
      <c r="H749" s="7">
        <v>0.0</v>
      </c>
      <c r="I749" s="7">
        <v>3060000.0</v>
      </c>
      <c r="J749" s="7">
        <v>0.029</v>
      </c>
      <c r="K749" s="7">
        <v>0.029</v>
      </c>
      <c r="L749" s="7">
        <v>0.068</v>
      </c>
      <c r="M749" s="7">
        <v>0.006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5" t="s">
        <v>1525</v>
      </c>
      <c r="B750" s="5" t="s">
        <v>1526</v>
      </c>
      <c r="C750" s="4" t="s">
        <v>17</v>
      </c>
      <c r="D750" s="6">
        <v>0.05</v>
      </c>
      <c r="E750" s="6">
        <v>0.04</v>
      </c>
      <c r="F750" s="4"/>
      <c r="G750" s="7">
        <v>0.05</v>
      </c>
      <c r="H750" s="7">
        <v>0.02</v>
      </c>
      <c r="I750" s="7">
        <v>1.416519E7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5" t="s">
        <v>1527</v>
      </c>
      <c r="B751" s="5" t="s">
        <v>1528</v>
      </c>
      <c r="C751" s="4" t="s">
        <v>60</v>
      </c>
      <c r="D751" s="6">
        <v>1.77</v>
      </c>
      <c r="E751" s="6">
        <v>1.78</v>
      </c>
      <c r="F751" s="4"/>
      <c r="G751" s="7">
        <v>2.43</v>
      </c>
      <c r="H751" s="7">
        <v>1.63</v>
      </c>
      <c r="I751" s="7">
        <v>1.64501302E8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5" t="s">
        <v>1529</v>
      </c>
      <c r="B752" s="5" t="s">
        <v>1530</v>
      </c>
      <c r="C752" s="4" t="s">
        <v>34</v>
      </c>
      <c r="D752" s="6">
        <v>33.19</v>
      </c>
      <c r="E752" s="6">
        <v>32.79</v>
      </c>
      <c r="F752" s="4"/>
      <c r="G752" s="7">
        <v>33.4</v>
      </c>
      <c r="H752" s="7">
        <v>24.07</v>
      </c>
      <c r="I752" s="7" t="e">
        <v>#N/A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5" t="s">
        <v>1531</v>
      </c>
      <c r="B753" s="5" t="s">
        <v>1532</v>
      </c>
      <c r="C753" s="4" t="s">
        <v>182</v>
      </c>
      <c r="D753" s="6">
        <v>0.02</v>
      </c>
      <c r="E753" s="6">
        <v>0.02</v>
      </c>
      <c r="F753" s="4"/>
      <c r="G753" s="7">
        <v>0.11</v>
      </c>
      <c r="H753" s="7">
        <v>0.02</v>
      </c>
      <c r="I753" s="7">
        <v>1.3497425E7</v>
      </c>
      <c r="J753" s="7">
        <v>0.002</v>
      </c>
      <c r="K753" s="7">
        <v>0.002</v>
      </c>
      <c r="L753" s="7">
        <v>0.002</v>
      </c>
      <c r="M753" s="7">
        <v>0.002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5" t="s">
        <v>1533</v>
      </c>
      <c r="B754" s="5" t="s">
        <v>1534</v>
      </c>
      <c r="C754" s="4" t="s">
        <v>1535</v>
      </c>
      <c r="D754" s="6">
        <v>0.82</v>
      </c>
      <c r="E754" s="6">
        <v>0.82</v>
      </c>
      <c r="F754" s="4"/>
      <c r="G754" s="7">
        <v>0.85</v>
      </c>
      <c r="H754" s="7">
        <v>0.82</v>
      </c>
      <c r="I754" s="7">
        <v>1.248056E8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5" t="s">
        <v>1536</v>
      </c>
      <c r="B755" s="5" t="s">
        <v>1537</v>
      </c>
      <c r="C755" s="4" t="s">
        <v>23</v>
      </c>
      <c r="D755" s="6">
        <v>0.03</v>
      </c>
      <c r="E755" s="6">
        <v>0.03</v>
      </c>
      <c r="F755" s="4"/>
      <c r="G755" s="7">
        <v>0.04</v>
      </c>
      <c r="H755" s="7">
        <v>0.03</v>
      </c>
      <c r="I755" s="7">
        <v>5.4899202E7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5" t="s">
        <v>1538</v>
      </c>
      <c r="B756" s="5" t="s">
        <v>1539</v>
      </c>
      <c r="C756" s="4" t="s">
        <v>17</v>
      </c>
      <c r="D756" s="6">
        <v>0.4</v>
      </c>
      <c r="E756" s="6">
        <v>0.38</v>
      </c>
      <c r="F756" s="4"/>
      <c r="G756" s="7">
        <v>0.62</v>
      </c>
      <c r="H756" s="7">
        <v>0.17</v>
      </c>
      <c r="I756" s="7">
        <v>2.23596283E8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5" t="s">
        <v>1540</v>
      </c>
      <c r="B757" s="5" t="s">
        <v>1541</v>
      </c>
      <c r="C757" s="4" t="s">
        <v>17</v>
      </c>
      <c r="D757" s="6">
        <v>0.0</v>
      </c>
      <c r="E757" s="6">
        <v>0.0</v>
      </c>
      <c r="F757" s="4"/>
      <c r="G757" s="7">
        <v>0.01</v>
      </c>
      <c r="H757" s="7">
        <v>0.0</v>
      </c>
      <c r="I757" s="7">
        <v>2988300.0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5" t="s">
        <v>1542</v>
      </c>
      <c r="B758" s="5" t="s">
        <v>1543</v>
      </c>
      <c r="C758" s="4" t="s">
        <v>447</v>
      </c>
      <c r="D758" s="6">
        <v>0.01</v>
      </c>
      <c r="E758" s="6">
        <v>0.01</v>
      </c>
      <c r="F758" s="4"/>
      <c r="G758" s="7">
        <v>0.01</v>
      </c>
      <c r="H758" s="7">
        <v>0.0</v>
      </c>
      <c r="I758" s="7">
        <v>5684502.0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5" t="s">
        <v>1544</v>
      </c>
      <c r="B759" s="5" t="s">
        <v>1545</v>
      </c>
      <c r="C759" s="4" t="s">
        <v>37</v>
      </c>
      <c r="D759" s="6">
        <v>0.27</v>
      </c>
      <c r="E759" s="6">
        <v>0.27</v>
      </c>
      <c r="F759" s="4"/>
      <c r="G759" s="7">
        <v>0.3</v>
      </c>
      <c r="H759" s="7">
        <v>0.06</v>
      </c>
      <c r="I759" s="7">
        <v>6.788897E7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5" t="s">
        <v>1546</v>
      </c>
      <c r="B760" s="5" t="s">
        <v>1547</v>
      </c>
      <c r="C760" s="4" t="s">
        <v>14</v>
      </c>
      <c r="D760" s="6">
        <v>17.17</v>
      </c>
      <c r="E760" s="6">
        <v>17.35</v>
      </c>
      <c r="F760" s="7">
        <v>92.66</v>
      </c>
      <c r="G760" s="7">
        <v>20.19</v>
      </c>
      <c r="H760" s="7">
        <v>6.26</v>
      </c>
      <c r="I760" s="7">
        <v>5.40564314E8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5" t="s">
        <v>1548</v>
      </c>
      <c r="B761" s="5" t="s">
        <v>1549</v>
      </c>
      <c r="C761" s="4" t="s">
        <v>501</v>
      </c>
      <c r="D761" s="6">
        <v>9.95</v>
      </c>
      <c r="E761" s="6">
        <v>9.44</v>
      </c>
      <c r="F761" s="7">
        <v>57.45</v>
      </c>
      <c r="G761" s="7">
        <v>10.42</v>
      </c>
      <c r="H761" s="7">
        <v>1.0</v>
      </c>
      <c r="I761" s="7">
        <v>1.919873358E9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5" t="s">
        <v>1550</v>
      </c>
      <c r="B762" s="5" t="s">
        <v>1551</v>
      </c>
      <c r="C762" s="4" t="s">
        <v>60</v>
      </c>
      <c r="D762" s="6">
        <v>1.03</v>
      </c>
      <c r="E762" s="6">
        <v>1.02</v>
      </c>
      <c r="F762" s="4"/>
      <c r="G762" s="7">
        <v>1.49</v>
      </c>
      <c r="H762" s="7">
        <v>0.95</v>
      </c>
      <c r="I762" s="7" t="e">
        <v>#N/A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5" t="s">
        <v>1552</v>
      </c>
      <c r="B763" s="5" t="s">
        <v>1553</v>
      </c>
      <c r="C763" s="4" t="s">
        <v>17</v>
      </c>
      <c r="D763" s="6">
        <v>0.02</v>
      </c>
      <c r="E763" s="6">
        <v>0.02</v>
      </c>
      <c r="F763" s="4"/>
      <c r="G763" s="7">
        <v>0.04</v>
      </c>
      <c r="H763" s="7">
        <v>0.0</v>
      </c>
      <c r="I763" s="7">
        <v>7.9497016E7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5" t="s">
        <v>1554</v>
      </c>
      <c r="B764" s="5" t="s">
        <v>1555</v>
      </c>
      <c r="C764" s="4" t="s">
        <v>172</v>
      </c>
      <c r="D764" s="6">
        <v>0.03</v>
      </c>
      <c r="E764" s="6">
        <v>0.03</v>
      </c>
      <c r="F764" s="4"/>
      <c r="G764" s="7">
        <v>0.04</v>
      </c>
      <c r="H764" s="7">
        <v>0.03</v>
      </c>
      <c r="I764" s="7">
        <v>1.3344458E7</v>
      </c>
      <c r="J764" s="7">
        <v>19.3</v>
      </c>
      <c r="K764" s="7">
        <v>19.3</v>
      </c>
      <c r="L764" s="7">
        <v>22.61</v>
      </c>
      <c r="M764" s="7">
        <v>19.21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5" t="s">
        <v>1556</v>
      </c>
      <c r="B765" s="5" t="s">
        <v>1557</v>
      </c>
      <c r="C765" s="4" t="s">
        <v>14</v>
      </c>
      <c r="D765" s="6">
        <v>0.28</v>
      </c>
      <c r="E765" s="6">
        <v>0.28</v>
      </c>
      <c r="F765" s="4"/>
      <c r="G765" s="7">
        <v>0.44</v>
      </c>
      <c r="H765" s="7">
        <v>0.19</v>
      </c>
      <c r="I765" s="7">
        <v>2.38541E7</v>
      </c>
      <c r="J765" s="7">
        <v>0.002</v>
      </c>
      <c r="K765" s="7">
        <v>0.0015</v>
      </c>
      <c r="L765" s="7">
        <v>0.0045</v>
      </c>
      <c r="M765" s="7">
        <v>0.001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5" t="s">
        <v>1558</v>
      </c>
      <c r="B766" s="5" t="s">
        <v>1559</v>
      </c>
      <c r="C766" s="4" t="s">
        <v>872</v>
      </c>
      <c r="D766" s="6">
        <v>0.19</v>
      </c>
      <c r="E766" s="6">
        <v>0.19</v>
      </c>
      <c r="F766" s="7">
        <v>18.25</v>
      </c>
      <c r="G766" s="7">
        <v>0.24</v>
      </c>
      <c r="H766" s="7">
        <v>0.19</v>
      </c>
      <c r="I766" s="7">
        <v>5.0379107E7</v>
      </c>
      <c r="J766" s="7">
        <v>20.42</v>
      </c>
      <c r="K766" s="7">
        <v>20.36</v>
      </c>
      <c r="L766" s="7">
        <v>21.25</v>
      </c>
      <c r="M766" s="7">
        <v>17.46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5" t="s">
        <v>1560</v>
      </c>
      <c r="B767" s="5" t="s">
        <v>1561</v>
      </c>
      <c r="C767" s="4" t="s">
        <v>34</v>
      </c>
      <c r="D767" s="6">
        <v>3.86</v>
      </c>
      <c r="E767" s="6">
        <v>3.92</v>
      </c>
      <c r="F767" s="4"/>
      <c r="G767" s="7">
        <v>4.02</v>
      </c>
      <c r="H767" s="7">
        <v>3.85</v>
      </c>
      <c r="I767" s="7" t="e">
        <v>#N/A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5" t="s">
        <v>1562</v>
      </c>
      <c r="B768" s="5" t="s">
        <v>1563</v>
      </c>
      <c r="C768" s="4" t="s">
        <v>37</v>
      </c>
      <c r="D768" s="6" t="e">
        <v>#N/A</v>
      </c>
      <c r="E768" s="6" t="e">
        <v>#N/A</v>
      </c>
      <c r="F768" s="4"/>
      <c r="G768" s="4"/>
      <c r="H768" s="4"/>
      <c r="I768" s="7" t="e">
        <v>#N/A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5" t="s">
        <v>1564</v>
      </c>
      <c r="B769" s="5" t="s">
        <v>1565</v>
      </c>
      <c r="C769" s="4" t="s">
        <v>169</v>
      </c>
      <c r="D769" s="6">
        <v>23.81</v>
      </c>
      <c r="E769" s="6">
        <v>23.85</v>
      </c>
      <c r="F769" s="7">
        <v>18.68</v>
      </c>
      <c r="G769" s="7">
        <v>35.52</v>
      </c>
      <c r="H769" s="7">
        <v>20.68</v>
      </c>
      <c r="I769" s="7">
        <v>6.37897267E8</v>
      </c>
      <c r="J769" s="7">
        <v>51.35</v>
      </c>
      <c r="K769" s="7">
        <v>51.54</v>
      </c>
      <c r="L769" s="7">
        <v>52.69</v>
      </c>
      <c r="M769" s="7">
        <v>25.0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5" t="s">
        <v>1566</v>
      </c>
      <c r="B770" s="5" t="s">
        <v>1567</v>
      </c>
      <c r="C770" s="4" t="s">
        <v>76</v>
      </c>
      <c r="D770" s="6">
        <v>0.39</v>
      </c>
      <c r="E770" s="6">
        <v>0.32</v>
      </c>
      <c r="F770" s="4"/>
      <c r="G770" s="7">
        <v>0.4</v>
      </c>
      <c r="H770" s="7">
        <v>0.23</v>
      </c>
      <c r="I770" s="7">
        <v>8.6832435E7</v>
      </c>
      <c r="J770" s="7">
        <v>0.001</v>
      </c>
      <c r="K770" s="7">
        <v>0.001</v>
      </c>
      <c r="L770" s="7">
        <v>0.001</v>
      </c>
      <c r="M770" s="7">
        <v>0.001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5" t="s">
        <v>1568</v>
      </c>
      <c r="B771" s="5" t="s">
        <v>1569</v>
      </c>
      <c r="C771" s="4" t="s">
        <v>210</v>
      </c>
      <c r="D771" s="6">
        <v>0.17</v>
      </c>
      <c r="E771" s="6">
        <v>0.17</v>
      </c>
      <c r="F771" s="4"/>
      <c r="G771" s="7">
        <v>0.25</v>
      </c>
      <c r="H771" s="7">
        <v>0.09</v>
      </c>
      <c r="I771" s="7">
        <v>2.2674311E7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5" t="s">
        <v>1568</v>
      </c>
      <c r="B772" s="5" t="s">
        <v>1569</v>
      </c>
      <c r="C772" s="4" t="s">
        <v>210</v>
      </c>
      <c r="D772" s="6">
        <v>0.17</v>
      </c>
      <c r="E772" s="6">
        <v>0.17</v>
      </c>
      <c r="F772" s="4"/>
      <c r="G772" s="7">
        <v>0.25</v>
      </c>
      <c r="H772" s="7">
        <v>0.09</v>
      </c>
      <c r="I772" s="7">
        <v>2.2674311E7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5" t="s">
        <v>1570</v>
      </c>
      <c r="B773" s="5" t="s">
        <v>1571</v>
      </c>
      <c r="C773" s="4" t="s">
        <v>26</v>
      </c>
      <c r="D773" s="6">
        <v>0.0</v>
      </c>
      <c r="E773" s="6">
        <v>0.0</v>
      </c>
      <c r="F773" s="4"/>
      <c r="G773" s="7">
        <v>0.0</v>
      </c>
      <c r="H773" s="7">
        <v>0.0</v>
      </c>
      <c r="I773" s="7">
        <v>6.93352506E8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5" t="s">
        <v>1570</v>
      </c>
      <c r="B774" s="5" t="s">
        <v>1571</v>
      </c>
      <c r="C774" s="4" t="s">
        <v>26</v>
      </c>
      <c r="D774" s="6">
        <v>0.0</v>
      </c>
      <c r="E774" s="6">
        <v>0.0</v>
      </c>
      <c r="F774" s="4"/>
      <c r="G774" s="7">
        <v>0.0</v>
      </c>
      <c r="H774" s="7">
        <v>0.0</v>
      </c>
      <c r="I774" s="7">
        <v>6.93352506E8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8" t="s">
        <v>1570</v>
      </c>
      <c r="B775" s="8" t="s">
        <v>1571</v>
      </c>
      <c r="C775" s="9" t="s">
        <v>26</v>
      </c>
      <c r="D775" s="10">
        <v>0.0</v>
      </c>
      <c r="E775" s="6">
        <v>0.0</v>
      </c>
      <c r="F775" s="4"/>
      <c r="G775" s="7">
        <v>0.0</v>
      </c>
      <c r="H775" s="7">
        <v>0.0</v>
      </c>
      <c r="I775" s="7">
        <v>6.93352506E8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5" t="s">
        <v>1572</v>
      </c>
      <c r="B776" s="5" t="s">
        <v>1573</v>
      </c>
      <c r="C776" s="4" t="s">
        <v>14</v>
      </c>
      <c r="D776" s="6">
        <v>1.13</v>
      </c>
      <c r="E776" s="6">
        <v>1.07</v>
      </c>
      <c r="F776" s="4"/>
      <c r="G776" s="7">
        <v>2.63</v>
      </c>
      <c r="H776" s="7">
        <v>0.73</v>
      </c>
      <c r="I776" s="7">
        <v>2.382719E8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5" t="s">
        <v>1574</v>
      </c>
      <c r="B777" s="5" t="s">
        <v>1575</v>
      </c>
      <c r="C777" s="4" t="s">
        <v>17</v>
      </c>
      <c r="D777" s="6">
        <v>0.02</v>
      </c>
      <c r="E777" s="6">
        <v>0.02</v>
      </c>
      <c r="F777" s="4"/>
      <c r="G777" s="7">
        <v>0.02</v>
      </c>
      <c r="H777" s="7">
        <v>0.01</v>
      </c>
      <c r="I777" s="7">
        <v>6282144.0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5" t="s">
        <v>1576</v>
      </c>
      <c r="B778" s="5" t="s">
        <v>1577</v>
      </c>
      <c r="C778" s="4" t="s">
        <v>1578</v>
      </c>
      <c r="D778" s="6">
        <v>0.02</v>
      </c>
      <c r="E778" s="6">
        <v>0.02</v>
      </c>
      <c r="F778" s="7">
        <v>166.67</v>
      </c>
      <c r="G778" s="7">
        <v>0.02</v>
      </c>
      <c r="H778" s="7">
        <v>0.01</v>
      </c>
      <c r="I778" s="7">
        <v>3064034.0</v>
      </c>
      <c r="J778" s="7">
        <v>2.99</v>
      </c>
      <c r="K778" s="7">
        <v>3.01</v>
      </c>
      <c r="L778" s="7">
        <v>3.5</v>
      </c>
      <c r="M778" s="7">
        <v>2.94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5" t="s">
        <v>1579</v>
      </c>
      <c r="B779" s="5" t="s">
        <v>1580</v>
      </c>
      <c r="C779" s="4" t="s">
        <v>17</v>
      </c>
      <c r="D779" s="6">
        <v>0.01</v>
      </c>
      <c r="E779" s="6">
        <v>0.01</v>
      </c>
      <c r="F779" s="4"/>
      <c r="G779" s="7">
        <v>0.01</v>
      </c>
      <c r="H779" s="7">
        <v>0.0</v>
      </c>
      <c r="I779" s="7">
        <v>9497048.0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5" t="s">
        <v>1581</v>
      </c>
      <c r="B780" s="5" t="s">
        <v>1582</v>
      </c>
      <c r="C780" s="4" t="s">
        <v>17</v>
      </c>
      <c r="D780" s="6">
        <v>0.28</v>
      </c>
      <c r="E780" s="6">
        <v>0.27</v>
      </c>
      <c r="F780" s="4"/>
      <c r="G780" s="7">
        <v>0.33</v>
      </c>
      <c r="H780" s="7">
        <v>0.07</v>
      </c>
      <c r="I780" s="7">
        <v>1.79849288E8</v>
      </c>
      <c r="J780" s="7">
        <v>0.013</v>
      </c>
      <c r="K780" s="7">
        <v>0.013</v>
      </c>
      <c r="L780" s="7">
        <v>0.045</v>
      </c>
      <c r="M780" s="7">
        <v>0.006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5" t="s">
        <v>1583</v>
      </c>
      <c r="B781" s="5" t="s">
        <v>1584</v>
      </c>
      <c r="C781" s="4" t="s">
        <v>34</v>
      </c>
      <c r="D781" s="6">
        <v>9.98</v>
      </c>
      <c r="E781" s="6">
        <v>9.91</v>
      </c>
      <c r="F781" s="4"/>
      <c r="G781" s="7">
        <v>10.48</v>
      </c>
      <c r="H781" s="7">
        <v>7.86</v>
      </c>
      <c r="I781" s="7" t="e">
        <v>#N/A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5" t="s">
        <v>1585</v>
      </c>
      <c r="B782" s="5" t="s">
        <v>1586</v>
      </c>
      <c r="C782" s="4" t="s">
        <v>34</v>
      </c>
      <c r="D782" s="6">
        <v>36.39</v>
      </c>
      <c r="E782" s="6">
        <v>36.38</v>
      </c>
      <c r="F782" s="4"/>
      <c r="G782" s="7">
        <v>39.0</v>
      </c>
      <c r="H782" s="7">
        <v>33.61</v>
      </c>
      <c r="I782" s="7" t="e">
        <v>#N/A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5" t="s">
        <v>1587</v>
      </c>
      <c r="B783" s="5" t="s">
        <v>1588</v>
      </c>
      <c r="C783" s="4" t="s">
        <v>14</v>
      </c>
      <c r="D783" s="6">
        <v>0.56</v>
      </c>
      <c r="E783" s="6">
        <v>0.55</v>
      </c>
      <c r="F783" s="4"/>
      <c r="G783" s="7">
        <v>0.82</v>
      </c>
      <c r="H783" s="7">
        <v>0.2</v>
      </c>
      <c r="I783" s="7">
        <v>7.9267776E7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5" t="s">
        <v>1589</v>
      </c>
      <c r="B784" s="5" t="s">
        <v>1590</v>
      </c>
      <c r="C784" s="4" t="s">
        <v>34</v>
      </c>
      <c r="D784" s="6">
        <v>19.0</v>
      </c>
      <c r="E784" s="6">
        <v>18.87</v>
      </c>
      <c r="F784" s="4"/>
      <c r="G784" s="7">
        <v>22.35</v>
      </c>
      <c r="H784" s="7">
        <v>15.89</v>
      </c>
      <c r="I784" s="7" t="e">
        <v>#N/A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5" t="s">
        <v>1591</v>
      </c>
      <c r="B785" s="5" t="s">
        <v>1592</v>
      </c>
      <c r="C785" s="4" t="s">
        <v>37</v>
      </c>
      <c r="D785" s="6">
        <v>0.03</v>
      </c>
      <c r="E785" s="6">
        <v>0.03</v>
      </c>
      <c r="F785" s="4"/>
      <c r="G785" s="7">
        <v>0.06</v>
      </c>
      <c r="H785" s="7">
        <v>0.02</v>
      </c>
      <c r="I785" s="7">
        <v>7.0646022E7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5" t="s">
        <v>1593</v>
      </c>
      <c r="B786" s="5" t="s">
        <v>1594</v>
      </c>
      <c r="C786" s="4" t="s">
        <v>34</v>
      </c>
      <c r="D786" s="6">
        <v>111.59</v>
      </c>
      <c r="E786" s="6">
        <v>111.5</v>
      </c>
      <c r="F786" s="4"/>
      <c r="G786" s="7">
        <v>115.5</v>
      </c>
      <c r="H786" s="7">
        <v>88.43</v>
      </c>
      <c r="I786" s="7" t="e">
        <v>#N/A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5" t="s">
        <v>1595</v>
      </c>
      <c r="B787" s="5" t="s">
        <v>1596</v>
      </c>
      <c r="C787" s="4" t="s">
        <v>34</v>
      </c>
      <c r="D787" s="6">
        <v>16.43</v>
      </c>
      <c r="E787" s="6">
        <v>16.51</v>
      </c>
      <c r="F787" s="4"/>
      <c r="G787" s="7">
        <v>16.98</v>
      </c>
      <c r="H787" s="7">
        <v>14.0</v>
      </c>
      <c r="I787" s="7" t="e">
        <v>#N/A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5" t="s">
        <v>1597</v>
      </c>
      <c r="B788" s="5" t="s">
        <v>1598</v>
      </c>
      <c r="C788" s="4" t="s">
        <v>17</v>
      </c>
      <c r="D788" s="6">
        <v>0.1</v>
      </c>
      <c r="E788" s="6">
        <v>0.09</v>
      </c>
      <c r="F788" s="4"/>
      <c r="G788" s="7">
        <v>0.15</v>
      </c>
      <c r="H788" s="7">
        <v>0.04</v>
      </c>
      <c r="I788" s="7">
        <v>1.90360997E8</v>
      </c>
      <c r="J788" s="7">
        <v>4.86</v>
      </c>
      <c r="K788" s="7">
        <v>4.95</v>
      </c>
      <c r="L788" s="7">
        <v>5.3</v>
      </c>
      <c r="M788" s="7">
        <v>4.56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5" t="s">
        <v>1599</v>
      </c>
      <c r="B789" s="5" t="s">
        <v>1600</v>
      </c>
      <c r="C789" s="4" t="s">
        <v>1601</v>
      </c>
      <c r="D789" s="6" t="e">
        <v>#N/A</v>
      </c>
      <c r="E789" s="6" t="e">
        <v>#N/A</v>
      </c>
      <c r="F789" s="4"/>
      <c r="G789" s="4"/>
      <c r="H789" s="4"/>
      <c r="I789" s="7" t="e">
        <v>#N/A</v>
      </c>
      <c r="J789" s="4"/>
      <c r="K789" s="4"/>
      <c r="L789" s="4"/>
      <c r="M789" s="4"/>
      <c r="N789" s="4"/>
      <c r="O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5" t="s">
        <v>1602</v>
      </c>
      <c r="B790" s="5" t="s">
        <v>1603</v>
      </c>
      <c r="C790" s="4" t="s">
        <v>1601</v>
      </c>
      <c r="D790" s="6" t="e">
        <v>#N/A</v>
      </c>
      <c r="E790" s="6" t="e">
        <v>#N/A</v>
      </c>
      <c r="F790" s="4"/>
      <c r="G790" s="4"/>
      <c r="H790" s="4"/>
      <c r="I790" s="7" t="e">
        <v>#N/A</v>
      </c>
      <c r="J790" s="4"/>
      <c r="K790" s="4"/>
      <c r="L790" s="4"/>
      <c r="M790" s="4"/>
      <c r="N790" s="4"/>
      <c r="O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5" t="s">
        <v>1604</v>
      </c>
      <c r="B791" s="5" t="s">
        <v>1605</v>
      </c>
      <c r="C791" s="4" t="s">
        <v>1601</v>
      </c>
      <c r="D791" s="6" t="e">
        <v>#N/A</v>
      </c>
      <c r="E791" s="6" t="e">
        <v>#N/A</v>
      </c>
      <c r="F791" s="4"/>
      <c r="G791" s="4"/>
      <c r="H791" s="4"/>
      <c r="I791" s="7" t="e">
        <v>#N/A</v>
      </c>
      <c r="J791" s="4"/>
      <c r="K791" s="4"/>
      <c r="L791" s="4"/>
      <c r="M791" s="4"/>
      <c r="N791" s="4"/>
      <c r="O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5" t="s">
        <v>1606</v>
      </c>
      <c r="B792" s="5" t="s">
        <v>1607</v>
      </c>
      <c r="C792" s="4" t="s">
        <v>1601</v>
      </c>
      <c r="D792" s="6" t="e">
        <v>#N/A</v>
      </c>
      <c r="E792" s="6" t="e">
        <v>#N/A</v>
      </c>
      <c r="F792" s="4"/>
      <c r="G792" s="4"/>
      <c r="H792" s="4"/>
      <c r="I792" s="7" t="e">
        <v>#N/A</v>
      </c>
      <c r="J792" s="4"/>
      <c r="K792" s="4"/>
      <c r="L792" s="4"/>
      <c r="M792" s="4"/>
      <c r="N792" s="4"/>
      <c r="O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5" t="s">
        <v>1608</v>
      </c>
      <c r="B793" s="5" t="s">
        <v>1609</v>
      </c>
      <c r="C793" s="4" t="s">
        <v>37</v>
      </c>
      <c r="D793" s="6">
        <v>0.16</v>
      </c>
      <c r="E793" s="6">
        <v>0.16</v>
      </c>
      <c r="F793" s="4"/>
      <c r="G793" s="7">
        <v>0.49</v>
      </c>
      <c r="H793" s="7">
        <v>0.03</v>
      </c>
      <c r="I793" s="7">
        <v>2.57796001E8</v>
      </c>
      <c r="J793" s="7">
        <v>38.95</v>
      </c>
      <c r="K793" s="7">
        <v>39.3</v>
      </c>
      <c r="L793" s="7">
        <v>45.21</v>
      </c>
      <c r="M793" s="7">
        <v>29.15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5" t="s">
        <v>1610</v>
      </c>
      <c r="B794" s="5" t="s">
        <v>1611</v>
      </c>
      <c r="C794" s="4" t="s">
        <v>37</v>
      </c>
      <c r="D794" s="6">
        <v>0.01</v>
      </c>
      <c r="E794" s="6">
        <v>0.01</v>
      </c>
      <c r="F794" s="4"/>
      <c r="G794" s="7">
        <v>0.02</v>
      </c>
      <c r="H794" s="7">
        <v>0.01</v>
      </c>
      <c r="I794" s="7">
        <v>6452529.0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5" t="s">
        <v>1612</v>
      </c>
      <c r="B795" s="5" t="s">
        <v>1613</v>
      </c>
      <c r="C795" s="4" t="s">
        <v>37</v>
      </c>
      <c r="D795" s="6">
        <v>0.41</v>
      </c>
      <c r="E795" s="6">
        <v>0.41</v>
      </c>
      <c r="F795" s="4"/>
      <c r="G795" s="7">
        <v>0.73</v>
      </c>
      <c r="H795" s="7">
        <v>0.25</v>
      </c>
      <c r="I795" s="7">
        <v>2.146622E7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5" t="s">
        <v>1614</v>
      </c>
      <c r="B796" s="5" t="s">
        <v>1615</v>
      </c>
      <c r="C796" s="4" t="s">
        <v>397</v>
      </c>
      <c r="D796" s="6">
        <v>0.02</v>
      </c>
      <c r="E796" s="6">
        <v>0.02</v>
      </c>
      <c r="F796" s="4"/>
      <c r="G796" s="7">
        <v>0.04</v>
      </c>
      <c r="H796" s="7">
        <v>0.02</v>
      </c>
      <c r="I796" s="7">
        <v>5982409.0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5" t="s">
        <v>1616</v>
      </c>
      <c r="B797" s="5" t="s">
        <v>1617</v>
      </c>
      <c r="C797" s="4" t="s">
        <v>37</v>
      </c>
      <c r="D797" s="6">
        <v>0.03</v>
      </c>
      <c r="E797" s="6">
        <v>0.03</v>
      </c>
      <c r="F797" s="4"/>
      <c r="G797" s="7">
        <v>0.05</v>
      </c>
      <c r="H797" s="7">
        <v>0.02</v>
      </c>
      <c r="I797" s="7">
        <v>1.8487988E7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5" t="s">
        <v>1618</v>
      </c>
      <c r="B798" s="5" t="s">
        <v>1619</v>
      </c>
      <c r="C798" s="4" t="s">
        <v>86</v>
      </c>
      <c r="D798" s="6">
        <v>12.68</v>
      </c>
      <c r="E798" s="6">
        <v>12.68</v>
      </c>
      <c r="F798" s="7">
        <v>27.32</v>
      </c>
      <c r="G798" s="7">
        <v>13.3</v>
      </c>
      <c r="H798" s="7">
        <v>4.8</v>
      </c>
      <c r="I798" s="7">
        <v>2.5748274899E10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5" t="s">
        <v>1620</v>
      </c>
      <c r="B799" s="5" t="s">
        <v>1621</v>
      </c>
      <c r="C799" s="4" t="s">
        <v>244</v>
      </c>
      <c r="D799" s="6">
        <v>0.65</v>
      </c>
      <c r="E799" s="6">
        <v>0.63</v>
      </c>
      <c r="F799" s="7">
        <v>10.31</v>
      </c>
      <c r="G799" s="7">
        <v>0.8</v>
      </c>
      <c r="H799" s="7">
        <v>0.61</v>
      </c>
      <c r="I799" s="7">
        <v>1.3121348E8</v>
      </c>
      <c r="J799" s="7">
        <v>50.47</v>
      </c>
      <c r="K799" s="7">
        <v>50.47</v>
      </c>
      <c r="L799" s="7">
        <v>51.53</v>
      </c>
      <c r="M799" s="7">
        <v>50.14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5" t="s">
        <v>1622</v>
      </c>
      <c r="B800" s="5" t="s">
        <v>1623</v>
      </c>
      <c r="C800" s="4" t="s">
        <v>447</v>
      </c>
      <c r="D800" s="6">
        <v>0.01</v>
      </c>
      <c r="E800" s="6">
        <v>0.01</v>
      </c>
      <c r="F800" s="4"/>
      <c r="G800" s="7">
        <v>0.02</v>
      </c>
      <c r="H800" s="7">
        <v>0.0</v>
      </c>
      <c r="I800" s="7">
        <v>2.1888025E7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5" t="s">
        <v>1624</v>
      </c>
      <c r="B801" s="5" t="s">
        <v>1625</v>
      </c>
      <c r="C801" s="4" t="s">
        <v>668</v>
      </c>
      <c r="D801" s="6">
        <v>12.57</v>
      </c>
      <c r="E801" s="6">
        <v>12.56</v>
      </c>
      <c r="F801" s="7">
        <v>61.83</v>
      </c>
      <c r="G801" s="7">
        <v>17.99</v>
      </c>
      <c r="H801" s="7">
        <v>10.94</v>
      </c>
      <c r="I801" s="7">
        <v>2.042906518E9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5" t="s">
        <v>1626</v>
      </c>
      <c r="B802" s="5" t="s">
        <v>1627</v>
      </c>
      <c r="C802" s="4" t="s">
        <v>121</v>
      </c>
      <c r="D802" s="6">
        <v>0.23</v>
      </c>
      <c r="E802" s="6">
        <v>0.22</v>
      </c>
      <c r="F802" s="7">
        <v>23.03</v>
      </c>
      <c r="G802" s="7">
        <v>0.24</v>
      </c>
      <c r="H802" s="7">
        <v>0.13</v>
      </c>
      <c r="I802" s="7">
        <v>2.7338174E7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5" t="s">
        <v>1628</v>
      </c>
      <c r="B803" s="5" t="s">
        <v>1629</v>
      </c>
      <c r="C803" s="4" t="s">
        <v>954</v>
      </c>
      <c r="D803" s="6">
        <v>0.05</v>
      </c>
      <c r="E803" s="6">
        <v>0.06</v>
      </c>
      <c r="F803" s="7">
        <v>0.32</v>
      </c>
      <c r="G803" s="7">
        <v>0.1</v>
      </c>
      <c r="H803" s="7">
        <v>0.01</v>
      </c>
      <c r="I803" s="7">
        <v>2.01069167E8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5" t="s">
        <v>1630</v>
      </c>
      <c r="B804" s="5" t="s">
        <v>1631</v>
      </c>
      <c r="C804" s="4" t="s">
        <v>34</v>
      </c>
      <c r="D804" s="6">
        <v>23.59</v>
      </c>
      <c r="E804" s="6">
        <v>23.82</v>
      </c>
      <c r="F804" s="4"/>
      <c r="G804" s="7">
        <v>24.97</v>
      </c>
      <c r="H804" s="7">
        <v>19.1</v>
      </c>
      <c r="I804" s="7" t="e">
        <v>#N/A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5" t="s">
        <v>1632</v>
      </c>
      <c r="B805" s="5" t="s">
        <v>1633</v>
      </c>
      <c r="C805" s="4" t="s">
        <v>397</v>
      </c>
      <c r="D805" s="6">
        <v>0.01</v>
      </c>
      <c r="E805" s="6">
        <v>0.01</v>
      </c>
      <c r="F805" s="4"/>
      <c r="G805" s="7">
        <v>0.04</v>
      </c>
      <c r="H805" s="7">
        <v>0.01</v>
      </c>
      <c r="I805" s="7">
        <v>3353300.0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5" t="s">
        <v>1634</v>
      </c>
      <c r="B806" s="5" t="s">
        <v>1635</v>
      </c>
      <c r="C806" s="4" t="s">
        <v>668</v>
      </c>
      <c r="D806" s="6">
        <v>0.13</v>
      </c>
      <c r="E806" s="6">
        <v>0.13</v>
      </c>
      <c r="F806" s="4"/>
      <c r="G806" s="7">
        <v>0.17</v>
      </c>
      <c r="H806" s="7">
        <v>0.09</v>
      </c>
      <c r="I806" s="7">
        <v>9.8289083E7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5" t="s">
        <v>1636</v>
      </c>
      <c r="B807" s="5" t="s">
        <v>1637</v>
      </c>
      <c r="C807" s="4" t="s">
        <v>76</v>
      </c>
      <c r="D807" s="6">
        <v>0.08</v>
      </c>
      <c r="E807" s="6">
        <v>0.08</v>
      </c>
      <c r="F807" s="4"/>
      <c r="G807" s="7">
        <v>0.08</v>
      </c>
      <c r="H807" s="7">
        <v>0.02</v>
      </c>
      <c r="I807" s="7">
        <v>1.31946429E8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5" t="s">
        <v>1638</v>
      </c>
      <c r="B808" s="5" t="s">
        <v>1639</v>
      </c>
      <c r="C808" s="4" t="s">
        <v>14</v>
      </c>
      <c r="D808" s="6">
        <v>0.01</v>
      </c>
      <c r="E808" s="6">
        <v>0.01</v>
      </c>
      <c r="F808" s="4"/>
      <c r="G808" s="7">
        <v>0.02</v>
      </c>
      <c r="H808" s="7">
        <v>0.01</v>
      </c>
      <c r="I808" s="7">
        <v>1.4151568E7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5" t="s">
        <v>1640</v>
      </c>
      <c r="B809" s="5" t="s">
        <v>1641</v>
      </c>
      <c r="C809" s="4" t="s">
        <v>34</v>
      </c>
      <c r="D809" s="6">
        <v>35.93</v>
      </c>
      <c r="E809" s="6">
        <v>35.95</v>
      </c>
      <c r="F809" s="4"/>
      <c r="G809" s="7">
        <v>36.57</v>
      </c>
      <c r="H809" s="7">
        <v>34.5</v>
      </c>
      <c r="I809" s="7" t="e">
        <v>#N/A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5" t="s">
        <v>1642</v>
      </c>
      <c r="B810" s="5" t="s">
        <v>1643</v>
      </c>
      <c r="C810" s="4" t="s">
        <v>60</v>
      </c>
      <c r="D810" s="6">
        <v>0.14</v>
      </c>
      <c r="E810" s="6">
        <v>0.13</v>
      </c>
      <c r="F810" s="4"/>
      <c r="G810" s="7">
        <v>0.2</v>
      </c>
      <c r="H810" s="7">
        <v>0.09</v>
      </c>
      <c r="I810" s="7">
        <v>4.0643512E7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5" t="s">
        <v>1644</v>
      </c>
      <c r="B811" s="5" t="s">
        <v>1645</v>
      </c>
      <c r="C811" s="4" t="s">
        <v>138</v>
      </c>
      <c r="D811" s="6">
        <v>1.19</v>
      </c>
      <c r="E811" s="6">
        <v>1.18</v>
      </c>
      <c r="F811" s="7">
        <v>19.06</v>
      </c>
      <c r="G811" s="7">
        <v>1.21</v>
      </c>
      <c r="H811" s="7">
        <v>0.79</v>
      </c>
      <c r="I811" s="7">
        <v>1.96138903E8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5" t="s">
        <v>1646</v>
      </c>
      <c r="B812" s="5" t="s">
        <v>1647</v>
      </c>
      <c r="C812" s="4" t="s">
        <v>96</v>
      </c>
      <c r="D812" s="6">
        <v>1.45</v>
      </c>
      <c r="E812" s="6">
        <v>1.41</v>
      </c>
      <c r="F812" s="7">
        <v>9.94</v>
      </c>
      <c r="G812" s="7">
        <v>3.38</v>
      </c>
      <c r="H812" s="7">
        <v>1.29</v>
      </c>
      <c r="I812" s="7">
        <v>6.8259607E7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5" t="s">
        <v>1648</v>
      </c>
      <c r="B813" s="5" t="s">
        <v>1649</v>
      </c>
      <c r="C813" s="4" t="s">
        <v>34</v>
      </c>
      <c r="D813" s="6">
        <v>14.99</v>
      </c>
      <c r="E813" s="6">
        <v>15.12</v>
      </c>
      <c r="F813" s="4"/>
      <c r="G813" s="7">
        <v>15.2</v>
      </c>
      <c r="H813" s="7">
        <v>12.17</v>
      </c>
      <c r="I813" s="7" t="e">
        <v>#N/A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5" t="s">
        <v>1650</v>
      </c>
      <c r="B814" s="5" t="s">
        <v>1651</v>
      </c>
      <c r="C814" s="4" t="s">
        <v>34</v>
      </c>
      <c r="D814" s="6">
        <v>20.16</v>
      </c>
      <c r="E814" s="6">
        <v>20.36</v>
      </c>
      <c r="F814" s="4"/>
      <c r="G814" s="7">
        <v>22.91</v>
      </c>
      <c r="H814" s="7">
        <v>18.32</v>
      </c>
      <c r="I814" s="7" t="e">
        <v>#N/A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5" t="s">
        <v>1652</v>
      </c>
      <c r="B815" s="5" t="s">
        <v>1653</v>
      </c>
      <c r="C815" s="4" t="s">
        <v>86</v>
      </c>
      <c r="D815" s="6">
        <v>0.59</v>
      </c>
      <c r="E815" s="6">
        <v>0.59</v>
      </c>
      <c r="F815" s="4"/>
      <c r="G815" s="7">
        <v>1.18</v>
      </c>
      <c r="H815" s="7">
        <v>0.09</v>
      </c>
      <c r="I815" s="7">
        <v>1.25460544E8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5" t="s">
        <v>1654</v>
      </c>
      <c r="B816" s="5" t="s">
        <v>1655</v>
      </c>
      <c r="C816" s="4" t="s">
        <v>34</v>
      </c>
      <c r="D816" s="6">
        <v>34.92</v>
      </c>
      <c r="E816" s="6">
        <v>34.81</v>
      </c>
      <c r="F816" s="4"/>
      <c r="G816" s="7">
        <v>38.58</v>
      </c>
      <c r="H816" s="7">
        <v>24.95</v>
      </c>
      <c r="I816" s="7" t="e">
        <v>#N/A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5" t="s">
        <v>1656</v>
      </c>
      <c r="B817" s="5" t="s">
        <v>1657</v>
      </c>
      <c r="C817" s="4" t="s">
        <v>76</v>
      </c>
      <c r="D817" s="6">
        <v>0.42</v>
      </c>
      <c r="E817" s="6">
        <v>0.42</v>
      </c>
      <c r="F817" s="7">
        <v>17.93</v>
      </c>
      <c r="G817" s="7">
        <v>0.61</v>
      </c>
      <c r="H817" s="7">
        <v>0.35</v>
      </c>
      <c r="I817" s="7">
        <v>3.835E7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5" t="s">
        <v>1658</v>
      </c>
      <c r="B818" s="5" t="s">
        <v>1659</v>
      </c>
      <c r="C818" s="4" t="s">
        <v>34</v>
      </c>
      <c r="D818" s="6">
        <v>11.92</v>
      </c>
      <c r="E818" s="6">
        <v>11.73</v>
      </c>
      <c r="F818" s="4"/>
      <c r="G818" s="7">
        <v>12.55</v>
      </c>
      <c r="H818" s="7">
        <v>9.94</v>
      </c>
      <c r="I818" s="7" t="e">
        <v>#N/A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5" t="s">
        <v>1660</v>
      </c>
      <c r="B819" s="5" t="s">
        <v>1661</v>
      </c>
      <c r="C819" s="4" t="s">
        <v>86</v>
      </c>
      <c r="D819" s="6">
        <v>0.01</v>
      </c>
      <c r="E819" s="6">
        <v>0.01</v>
      </c>
      <c r="F819" s="4"/>
      <c r="G819" s="7">
        <v>0.01</v>
      </c>
      <c r="H819" s="7">
        <v>0.0</v>
      </c>
      <c r="I819" s="7">
        <v>1.2845273E7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5" t="s">
        <v>1662</v>
      </c>
      <c r="B820" s="5" t="s">
        <v>1663</v>
      </c>
      <c r="C820" s="4" t="s">
        <v>400</v>
      </c>
      <c r="D820" s="6">
        <v>0.0</v>
      </c>
      <c r="E820" s="6">
        <v>0.0</v>
      </c>
      <c r="F820" s="4"/>
      <c r="G820" s="7">
        <v>0.05</v>
      </c>
      <c r="H820" s="7">
        <v>0.0</v>
      </c>
      <c r="I820" s="7">
        <v>1.0030458E7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5" t="s">
        <v>1664</v>
      </c>
      <c r="B821" s="5" t="s">
        <v>1665</v>
      </c>
      <c r="C821" s="4" t="s">
        <v>1666</v>
      </c>
      <c r="D821" s="6">
        <v>3.15</v>
      </c>
      <c r="E821" s="6">
        <v>3.12</v>
      </c>
      <c r="F821" s="4"/>
      <c r="G821" s="7">
        <v>3.27</v>
      </c>
      <c r="H821" s="7">
        <v>2.46</v>
      </c>
      <c r="I821" s="7">
        <v>3.465705704E9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5" t="s">
        <v>1667</v>
      </c>
      <c r="B822" s="5" t="s">
        <v>1668</v>
      </c>
      <c r="C822" s="4" t="s">
        <v>34</v>
      </c>
      <c r="D822" s="6">
        <v>11.6</v>
      </c>
      <c r="E822" s="6">
        <v>11.67</v>
      </c>
      <c r="F822" s="4"/>
      <c r="G822" s="7">
        <v>12.4</v>
      </c>
      <c r="H822" s="7">
        <v>10.56</v>
      </c>
      <c r="I822" s="7" t="e">
        <v>#N/A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5" t="s">
        <v>1669</v>
      </c>
      <c r="B823" s="5" t="s">
        <v>1670</v>
      </c>
      <c r="C823" s="4" t="s">
        <v>162</v>
      </c>
      <c r="D823" s="6">
        <v>0.04</v>
      </c>
      <c r="E823" s="6">
        <v>0.04</v>
      </c>
      <c r="F823" s="4"/>
      <c r="G823" s="7">
        <v>0.06</v>
      </c>
      <c r="H823" s="7">
        <v>0.04</v>
      </c>
      <c r="I823" s="7">
        <v>917000.0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5" t="s">
        <v>1671</v>
      </c>
      <c r="B824" s="5" t="s">
        <v>1672</v>
      </c>
      <c r="C824" s="4" t="s">
        <v>14</v>
      </c>
      <c r="D824" s="6">
        <v>3.0</v>
      </c>
      <c r="E824" s="6">
        <v>3.0</v>
      </c>
      <c r="F824" s="4"/>
      <c r="G824" s="7">
        <v>3.29</v>
      </c>
      <c r="H824" s="7">
        <v>1.56</v>
      </c>
      <c r="I824" s="7">
        <v>1.0325778E9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5" t="s">
        <v>1673</v>
      </c>
      <c r="B825" s="5" t="s">
        <v>1674</v>
      </c>
      <c r="C825" s="4" t="s">
        <v>182</v>
      </c>
      <c r="D825" s="6">
        <v>0.01</v>
      </c>
      <c r="E825" s="6">
        <v>0.01</v>
      </c>
      <c r="F825" s="4"/>
      <c r="G825" s="7">
        <v>0.03</v>
      </c>
      <c r="H825" s="7">
        <v>0.01</v>
      </c>
      <c r="I825" s="7">
        <v>1.1210535E7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5" t="s">
        <v>1675</v>
      </c>
      <c r="B826" s="5" t="s">
        <v>1676</v>
      </c>
      <c r="C826" s="4" t="s">
        <v>76</v>
      </c>
      <c r="D826" s="6">
        <v>0.39</v>
      </c>
      <c r="E826" s="6">
        <v>0.4</v>
      </c>
      <c r="F826" s="7">
        <v>26.19</v>
      </c>
      <c r="G826" s="7">
        <v>0.66</v>
      </c>
      <c r="H826" s="7">
        <v>0.03</v>
      </c>
      <c r="I826" s="7">
        <v>1.70305592E8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5" t="s">
        <v>1677</v>
      </c>
      <c r="B827" s="5" t="s">
        <v>1678</v>
      </c>
      <c r="C827" s="4" t="s">
        <v>68</v>
      </c>
      <c r="D827" s="6">
        <v>0.24</v>
      </c>
      <c r="E827" s="6">
        <v>0.26</v>
      </c>
      <c r="F827" s="4"/>
      <c r="G827" s="7">
        <v>0.54</v>
      </c>
      <c r="H827" s="7">
        <v>0.19</v>
      </c>
      <c r="I827" s="7">
        <v>1.04576301E8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5" t="s">
        <v>1679</v>
      </c>
      <c r="B828" s="5" t="s">
        <v>1680</v>
      </c>
      <c r="C828" s="4" t="s">
        <v>17</v>
      </c>
      <c r="D828" s="6">
        <v>0.16</v>
      </c>
      <c r="E828" s="6">
        <v>0.16</v>
      </c>
      <c r="F828" s="4"/>
      <c r="G828" s="7">
        <v>0.19</v>
      </c>
      <c r="H828" s="7">
        <v>0.11</v>
      </c>
      <c r="I828" s="7">
        <v>5.5111459E7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5" t="s">
        <v>1681</v>
      </c>
      <c r="B829" s="5" t="s">
        <v>1682</v>
      </c>
      <c r="C829" s="4" t="s">
        <v>34</v>
      </c>
      <c r="D829" s="6" t="e">
        <v>#N/A</v>
      </c>
      <c r="E829" s="6" t="e">
        <v>#N/A</v>
      </c>
      <c r="F829" s="4"/>
      <c r="G829" s="4"/>
      <c r="H829" s="4"/>
      <c r="I829" s="7" t="e">
        <v>#N/A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5" t="s">
        <v>1683</v>
      </c>
      <c r="B830" s="5" t="s">
        <v>1684</v>
      </c>
      <c r="C830" s="4" t="s">
        <v>210</v>
      </c>
      <c r="D830" s="6">
        <v>0.48</v>
      </c>
      <c r="E830" s="6">
        <v>0.49</v>
      </c>
      <c r="F830" s="4"/>
      <c r="G830" s="7">
        <v>0.56</v>
      </c>
      <c r="H830" s="7">
        <v>0.26</v>
      </c>
      <c r="I830" s="7">
        <v>3.613071E8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5" t="s">
        <v>1683</v>
      </c>
      <c r="B831" s="5" t="s">
        <v>1684</v>
      </c>
      <c r="C831" s="4" t="s">
        <v>210</v>
      </c>
      <c r="D831" s="6">
        <v>0.48</v>
      </c>
      <c r="E831" s="6">
        <v>0.49</v>
      </c>
      <c r="F831" s="4"/>
      <c r="G831" s="7">
        <v>0.56</v>
      </c>
      <c r="H831" s="7">
        <v>0.26</v>
      </c>
      <c r="I831" s="7">
        <v>3.613071E8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5" t="s">
        <v>1685</v>
      </c>
      <c r="B832" s="5" t="s">
        <v>1686</v>
      </c>
      <c r="C832" s="4" t="s">
        <v>169</v>
      </c>
      <c r="D832" s="6">
        <v>0.01</v>
      </c>
      <c r="E832" s="6">
        <v>0.01</v>
      </c>
      <c r="F832" s="4"/>
      <c r="G832" s="7">
        <v>0.01</v>
      </c>
      <c r="H832" s="7">
        <v>0.01</v>
      </c>
      <c r="I832" s="7">
        <v>1.0875011E7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5" t="s">
        <v>1687</v>
      </c>
      <c r="B833" s="5" t="s">
        <v>1688</v>
      </c>
      <c r="C833" s="4" t="s">
        <v>96</v>
      </c>
      <c r="D833" s="6">
        <v>4.83</v>
      </c>
      <c r="E833" s="6">
        <v>4.83</v>
      </c>
      <c r="F833" s="7">
        <v>7.87</v>
      </c>
      <c r="G833" s="7">
        <v>4.9</v>
      </c>
      <c r="H833" s="7">
        <v>3.53</v>
      </c>
      <c r="I833" s="7">
        <v>6.4672974E7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5" t="s">
        <v>1689</v>
      </c>
      <c r="B834" s="5" t="s">
        <v>1690</v>
      </c>
      <c r="C834" s="4" t="s">
        <v>17</v>
      </c>
      <c r="D834" s="6">
        <v>2.06</v>
      </c>
      <c r="E834" s="6">
        <v>2.09</v>
      </c>
      <c r="F834" s="4"/>
      <c r="G834" s="7">
        <v>2.17</v>
      </c>
      <c r="H834" s="7">
        <v>0.67</v>
      </c>
      <c r="I834" s="7">
        <v>1.58306649E9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5" t="s">
        <v>1691</v>
      </c>
      <c r="B835" s="5" t="s">
        <v>1692</v>
      </c>
      <c r="C835" s="4" t="s">
        <v>17</v>
      </c>
      <c r="D835" s="6">
        <v>0.02</v>
      </c>
      <c r="E835" s="6">
        <v>0.02</v>
      </c>
      <c r="F835" s="4"/>
      <c r="G835" s="7">
        <v>0.04</v>
      </c>
      <c r="H835" s="7">
        <v>0.02</v>
      </c>
      <c r="I835" s="7">
        <v>1.7529276E7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5" t="s">
        <v>1693</v>
      </c>
      <c r="B836" s="5" t="s">
        <v>1694</v>
      </c>
      <c r="C836" s="4" t="s">
        <v>169</v>
      </c>
      <c r="D836" s="6">
        <v>1.53</v>
      </c>
      <c r="E836" s="6">
        <v>1.54</v>
      </c>
      <c r="F836" s="7">
        <v>7.61</v>
      </c>
      <c r="G836" s="7">
        <v>1.65</v>
      </c>
      <c r="H836" s="7">
        <v>1.32</v>
      </c>
      <c r="I836" s="7">
        <v>6.11507481E8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5" t="s">
        <v>1695</v>
      </c>
      <c r="B837" s="5" t="s">
        <v>1696</v>
      </c>
      <c r="C837" s="4" t="s">
        <v>1697</v>
      </c>
      <c r="D837" s="6">
        <v>0.04</v>
      </c>
      <c r="E837" s="6">
        <v>0.04</v>
      </c>
      <c r="F837" s="4"/>
      <c r="G837" s="7">
        <v>0.05</v>
      </c>
      <c r="H837" s="7">
        <v>0.01</v>
      </c>
      <c r="I837" s="7">
        <v>1.0838693E8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5" t="s">
        <v>1698</v>
      </c>
      <c r="B838" s="5" t="s">
        <v>1699</v>
      </c>
      <c r="C838" s="4" t="s">
        <v>37</v>
      </c>
      <c r="D838" s="6">
        <v>0.07</v>
      </c>
      <c r="E838" s="6">
        <v>0.07</v>
      </c>
      <c r="F838" s="4"/>
      <c r="G838" s="7">
        <v>0.11</v>
      </c>
      <c r="H838" s="7">
        <v>0.02</v>
      </c>
      <c r="I838" s="7">
        <v>6.1624622E7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5" t="s">
        <v>1700</v>
      </c>
      <c r="B839" s="5" t="s">
        <v>1701</v>
      </c>
      <c r="C839" s="4" t="s">
        <v>169</v>
      </c>
      <c r="D839" s="6">
        <v>1.31</v>
      </c>
      <c r="E839" s="6">
        <v>1.31</v>
      </c>
      <c r="F839" s="7">
        <v>14.07</v>
      </c>
      <c r="G839" s="7">
        <v>1.4</v>
      </c>
      <c r="H839" s="7">
        <v>1.15</v>
      </c>
      <c r="I839" s="7">
        <v>5.36273154E8</v>
      </c>
      <c r="J839" s="7">
        <v>0.003</v>
      </c>
      <c r="K839" s="7">
        <v>0.003</v>
      </c>
      <c r="L839" s="7">
        <v>0.003</v>
      </c>
      <c r="M839" s="7">
        <v>0.001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5" t="s">
        <v>1702</v>
      </c>
      <c r="B840" s="5" t="s">
        <v>1703</v>
      </c>
      <c r="C840" s="4" t="s">
        <v>34</v>
      </c>
      <c r="D840" s="6">
        <v>8.14</v>
      </c>
      <c r="E840" s="6">
        <v>8.21</v>
      </c>
      <c r="F840" s="4"/>
      <c r="G840" s="7">
        <v>9.95</v>
      </c>
      <c r="H840" s="7">
        <v>7.91</v>
      </c>
      <c r="I840" s="7" t="e">
        <v>#N/A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5" t="s">
        <v>1704</v>
      </c>
      <c r="B841" s="5" t="s">
        <v>1705</v>
      </c>
      <c r="C841" s="4" t="s">
        <v>954</v>
      </c>
      <c r="D841" s="6">
        <v>0.25</v>
      </c>
      <c r="E841" s="6">
        <v>0.24</v>
      </c>
      <c r="F841" s="4"/>
      <c r="G841" s="7">
        <v>0.37</v>
      </c>
      <c r="H841" s="7">
        <v>0.1</v>
      </c>
      <c r="I841" s="7">
        <v>1.33577457E8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5" t="s">
        <v>1706</v>
      </c>
      <c r="B842" s="5" t="s">
        <v>1707</v>
      </c>
      <c r="C842" s="4" t="s">
        <v>34</v>
      </c>
      <c r="D842" s="6">
        <v>12.62</v>
      </c>
      <c r="E842" s="6">
        <v>12.61</v>
      </c>
      <c r="F842" s="4"/>
      <c r="G842" s="7">
        <v>13.68</v>
      </c>
      <c r="H842" s="7">
        <v>8.11</v>
      </c>
      <c r="I842" s="7" t="e">
        <v>#N/A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5" t="s">
        <v>1708</v>
      </c>
      <c r="B843" s="5" t="s">
        <v>1709</v>
      </c>
      <c r="C843" s="4" t="s">
        <v>17</v>
      </c>
      <c r="D843" s="6">
        <v>0.0</v>
      </c>
      <c r="E843" s="6">
        <v>0.0</v>
      </c>
      <c r="F843" s="4"/>
      <c r="G843" s="7">
        <v>0.01</v>
      </c>
      <c r="H843" s="7">
        <v>0.0</v>
      </c>
      <c r="I843" s="7">
        <v>7035208.0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5" t="s">
        <v>1710</v>
      </c>
      <c r="B844" s="5" t="s">
        <v>1711</v>
      </c>
      <c r="C844" s="4" t="s">
        <v>169</v>
      </c>
      <c r="D844" s="6">
        <v>11.64</v>
      </c>
      <c r="E844" s="6">
        <v>11.98</v>
      </c>
      <c r="F844" s="7">
        <v>19.79</v>
      </c>
      <c r="G844" s="7">
        <v>13.61</v>
      </c>
      <c r="H844" s="7">
        <v>8.2</v>
      </c>
      <c r="I844" s="7">
        <v>3.67447107E8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5" t="s">
        <v>1712</v>
      </c>
      <c r="B845" s="5" t="s">
        <v>1713</v>
      </c>
      <c r="C845" s="4" t="s">
        <v>34</v>
      </c>
      <c r="D845" s="6">
        <v>9.1</v>
      </c>
      <c r="E845" s="6">
        <v>9.05</v>
      </c>
      <c r="F845" s="4"/>
      <c r="G845" s="7">
        <v>11.0</v>
      </c>
      <c r="H845" s="7">
        <v>8.98</v>
      </c>
      <c r="I845" s="7" t="e">
        <v>#N/A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5" t="s">
        <v>1714</v>
      </c>
      <c r="B846" s="5" t="s">
        <v>1715</v>
      </c>
      <c r="C846" s="4" t="s">
        <v>447</v>
      </c>
      <c r="D846" s="6">
        <v>0.01</v>
      </c>
      <c r="E846" s="6">
        <v>0.01</v>
      </c>
      <c r="F846" s="4"/>
      <c r="G846" s="7">
        <v>0.02</v>
      </c>
      <c r="H846" s="7">
        <v>0.0</v>
      </c>
      <c r="I846" s="7">
        <v>9854469.0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5" t="s">
        <v>1716</v>
      </c>
      <c r="B847" s="5" t="s">
        <v>1717</v>
      </c>
      <c r="C847" s="4" t="s">
        <v>17</v>
      </c>
      <c r="D847" s="6">
        <v>0.11</v>
      </c>
      <c r="E847" s="6">
        <v>0.1</v>
      </c>
      <c r="F847" s="4"/>
      <c r="G847" s="7">
        <v>0.15</v>
      </c>
      <c r="H847" s="7">
        <v>0.06</v>
      </c>
      <c r="I847" s="7">
        <v>1.1954095E7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5" t="s">
        <v>1718</v>
      </c>
      <c r="B848" s="5" t="s">
        <v>1719</v>
      </c>
      <c r="C848" s="4" t="s">
        <v>1291</v>
      </c>
      <c r="D848" s="6">
        <v>0.1</v>
      </c>
      <c r="E848" s="6">
        <v>0.1</v>
      </c>
      <c r="F848" s="4"/>
      <c r="G848" s="7">
        <v>0.15</v>
      </c>
      <c r="H848" s="7">
        <v>0.03</v>
      </c>
      <c r="I848" s="7">
        <v>1.14181901E8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5" t="s">
        <v>1718</v>
      </c>
      <c r="B849" s="5" t="s">
        <v>1719</v>
      </c>
      <c r="C849" s="4" t="s">
        <v>1291</v>
      </c>
      <c r="D849" s="6">
        <v>0.1</v>
      </c>
      <c r="E849" s="6">
        <v>0.1</v>
      </c>
      <c r="F849" s="4"/>
      <c r="G849" s="7">
        <v>0.15</v>
      </c>
      <c r="H849" s="7">
        <v>0.03</v>
      </c>
      <c r="I849" s="7">
        <v>1.14181901E8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8" t="s">
        <v>1718</v>
      </c>
      <c r="B850" s="8" t="s">
        <v>1719</v>
      </c>
      <c r="C850" s="9" t="s">
        <v>1291</v>
      </c>
      <c r="D850" s="10">
        <v>0.1</v>
      </c>
      <c r="E850" s="6">
        <v>0.1</v>
      </c>
      <c r="F850" s="4"/>
      <c r="G850" s="7">
        <v>0.15</v>
      </c>
      <c r="H850" s="7">
        <v>0.03</v>
      </c>
      <c r="I850" s="7">
        <v>1.14181901E8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5" t="s">
        <v>1720</v>
      </c>
      <c r="B851" s="5" t="s">
        <v>1721</v>
      </c>
      <c r="C851" s="4" t="s">
        <v>37</v>
      </c>
      <c r="D851" s="6">
        <v>0.24</v>
      </c>
      <c r="E851" s="6">
        <v>0.22</v>
      </c>
      <c r="F851" s="4"/>
      <c r="G851" s="7">
        <v>0.25</v>
      </c>
      <c r="H851" s="7">
        <v>0.04</v>
      </c>
      <c r="I851" s="7">
        <v>6.9888478E7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5" t="s">
        <v>1722</v>
      </c>
      <c r="B852" s="5" t="s">
        <v>1723</v>
      </c>
      <c r="C852" s="4" t="s">
        <v>506</v>
      </c>
      <c r="D852" s="6">
        <v>0.24</v>
      </c>
      <c r="E852" s="6">
        <v>0.23</v>
      </c>
      <c r="F852" s="7">
        <v>51.17</v>
      </c>
      <c r="G852" s="7">
        <v>0.33</v>
      </c>
      <c r="H852" s="7">
        <v>0.16</v>
      </c>
      <c r="I852" s="7">
        <v>1.08219525E8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5" t="s">
        <v>1724</v>
      </c>
      <c r="B853" s="5" t="s">
        <v>1725</v>
      </c>
      <c r="C853" s="4" t="s">
        <v>34</v>
      </c>
      <c r="D853" s="6">
        <v>25.02</v>
      </c>
      <c r="E853" s="6">
        <v>25.02</v>
      </c>
      <c r="F853" s="4"/>
      <c r="G853" s="7">
        <v>25.1</v>
      </c>
      <c r="H853" s="7">
        <v>24.38</v>
      </c>
      <c r="I853" s="7" t="e">
        <v>#N/A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5" t="s">
        <v>1726</v>
      </c>
      <c r="B854" s="5" t="s">
        <v>1727</v>
      </c>
      <c r="C854" s="4" t="s">
        <v>668</v>
      </c>
      <c r="D854" s="6">
        <v>15.0</v>
      </c>
      <c r="E854" s="6">
        <v>15.01</v>
      </c>
      <c r="F854" s="7">
        <v>30.64</v>
      </c>
      <c r="G854" s="7">
        <v>18.14</v>
      </c>
      <c r="H854" s="7">
        <v>11.41</v>
      </c>
      <c r="I854" s="7">
        <v>3.202362E9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5" t="s">
        <v>1728</v>
      </c>
      <c r="B855" s="5" t="s">
        <v>1729</v>
      </c>
      <c r="C855" s="4" t="s">
        <v>14</v>
      </c>
      <c r="D855" s="6">
        <v>0.17</v>
      </c>
      <c r="E855" s="6">
        <v>0.17</v>
      </c>
      <c r="F855" s="4"/>
      <c r="G855" s="7">
        <v>0.24</v>
      </c>
      <c r="H855" s="7">
        <v>0.14</v>
      </c>
      <c r="I855" s="7">
        <v>4.7803999E7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5" t="s">
        <v>1730</v>
      </c>
      <c r="B856" s="5" t="s">
        <v>1731</v>
      </c>
      <c r="C856" s="4" t="s">
        <v>17</v>
      </c>
      <c r="D856" s="6">
        <v>0.03</v>
      </c>
      <c r="E856" s="6">
        <v>0.04</v>
      </c>
      <c r="F856" s="4"/>
      <c r="G856" s="7">
        <v>0.04</v>
      </c>
      <c r="H856" s="7">
        <v>0.01</v>
      </c>
      <c r="I856" s="7">
        <v>2.4319419E7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5" t="s">
        <v>1732</v>
      </c>
      <c r="B857" s="5" t="s">
        <v>1733</v>
      </c>
      <c r="C857" s="4" t="s">
        <v>210</v>
      </c>
      <c r="D857" s="6">
        <v>22.14</v>
      </c>
      <c r="E857" s="6">
        <v>22.01</v>
      </c>
      <c r="F857" s="7">
        <v>13.53</v>
      </c>
      <c r="G857" s="7">
        <v>23.38</v>
      </c>
      <c r="H857" s="7">
        <v>13.18</v>
      </c>
      <c r="I857" s="7">
        <v>6.816828322E10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5" t="s">
        <v>1732</v>
      </c>
      <c r="B858" s="5" t="s">
        <v>1733</v>
      </c>
      <c r="C858" s="4" t="s">
        <v>210</v>
      </c>
      <c r="D858" s="6">
        <v>22.14</v>
      </c>
      <c r="E858" s="6">
        <v>22.01</v>
      </c>
      <c r="F858" s="7">
        <v>13.53</v>
      </c>
      <c r="G858" s="7">
        <v>23.38</v>
      </c>
      <c r="H858" s="7">
        <v>13.18</v>
      </c>
      <c r="I858" s="7">
        <v>6.816828322E10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5" t="s">
        <v>1734</v>
      </c>
      <c r="B859" s="5" t="s">
        <v>1735</v>
      </c>
      <c r="C859" s="4" t="s">
        <v>86</v>
      </c>
      <c r="D859" s="6">
        <v>3.34</v>
      </c>
      <c r="E859" s="6">
        <v>3.07</v>
      </c>
      <c r="F859" s="7">
        <v>3.82</v>
      </c>
      <c r="G859" s="7">
        <v>3.79</v>
      </c>
      <c r="H859" s="7">
        <v>0.17</v>
      </c>
      <c r="I859" s="7">
        <v>9.57105699E8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5" t="s">
        <v>1736</v>
      </c>
      <c r="B860" s="5" t="s">
        <v>1737</v>
      </c>
      <c r="C860" s="4" t="s">
        <v>447</v>
      </c>
      <c r="D860" s="6">
        <v>0.3</v>
      </c>
      <c r="E860" s="6">
        <v>0.26</v>
      </c>
      <c r="F860" s="4"/>
      <c r="G860" s="7">
        <v>0.49</v>
      </c>
      <c r="H860" s="7">
        <v>0.15</v>
      </c>
      <c r="I860" s="7">
        <v>1.4449602E7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5" t="s">
        <v>1738</v>
      </c>
      <c r="B861" s="5" t="s">
        <v>1739</v>
      </c>
      <c r="C861" s="4" t="s">
        <v>31</v>
      </c>
      <c r="D861" s="6">
        <v>1.64</v>
      </c>
      <c r="E861" s="6">
        <v>1.55</v>
      </c>
      <c r="F861" s="4"/>
      <c r="G861" s="7">
        <v>6.18</v>
      </c>
      <c r="H861" s="7">
        <v>1.48</v>
      </c>
      <c r="I861" s="7">
        <v>1.01044977E8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5" t="s">
        <v>1740</v>
      </c>
      <c r="B862" s="5" t="s">
        <v>1741</v>
      </c>
      <c r="C862" s="4" t="s">
        <v>86</v>
      </c>
      <c r="D862" s="6">
        <v>0.12</v>
      </c>
      <c r="E862" s="6">
        <v>0.12</v>
      </c>
      <c r="F862" s="4"/>
      <c r="G862" s="7">
        <v>0.21</v>
      </c>
      <c r="H862" s="7">
        <v>0.1</v>
      </c>
      <c r="I862" s="7">
        <v>4831900.0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5" t="s">
        <v>1742</v>
      </c>
      <c r="B863" s="5" t="s">
        <v>1743</v>
      </c>
      <c r="C863" s="4" t="s">
        <v>138</v>
      </c>
      <c r="D863" s="6">
        <v>0.19</v>
      </c>
      <c r="E863" s="6">
        <v>0.19</v>
      </c>
      <c r="F863" s="4"/>
      <c r="G863" s="7">
        <v>0.3</v>
      </c>
      <c r="H863" s="7">
        <v>0.11</v>
      </c>
      <c r="I863" s="7">
        <v>1.183775E7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5" t="s">
        <v>1744</v>
      </c>
      <c r="B864" s="5" t="s">
        <v>1745</v>
      </c>
      <c r="C864" s="4" t="s">
        <v>34</v>
      </c>
      <c r="D864" s="6">
        <v>7.24</v>
      </c>
      <c r="E864" s="6">
        <v>7.34</v>
      </c>
      <c r="F864" s="4"/>
      <c r="G864" s="7">
        <v>7.41</v>
      </c>
      <c r="H864" s="7">
        <v>5.6</v>
      </c>
      <c r="I864" s="7" t="e">
        <v>#N/A</v>
      </c>
      <c r="J864" s="7">
        <v>0.765</v>
      </c>
      <c r="K864" s="7">
        <v>0.775</v>
      </c>
      <c r="L864" s="7">
        <v>0.85</v>
      </c>
      <c r="M864" s="7">
        <v>0.745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5" t="s">
        <v>1746</v>
      </c>
      <c r="B865" s="5" t="s">
        <v>1747</v>
      </c>
      <c r="C865" s="4" t="s">
        <v>1666</v>
      </c>
      <c r="D865" s="6">
        <v>0.25</v>
      </c>
      <c r="E865" s="6">
        <v>0.25</v>
      </c>
      <c r="F865" s="7">
        <v>14.52</v>
      </c>
      <c r="G865" s="7">
        <v>0.36</v>
      </c>
      <c r="H865" s="7">
        <v>0.23</v>
      </c>
      <c r="I865" s="7">
        <v>1.683995E7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5" t="s">
        <v>1748</v>
      </c>
      <c r="B866" s="5" t="s">
        <v>1749</v>
      </c>
      <c r="C866" s="4" t="s">
        <v>169</v>
      </c>
      <c r="D866" s="6">
        <v>1.47</v>
      </c>
      <c r="E866" s="6">
        <v>1.46</v>
      </c>
      <c r="F866" s="7">
        <v>5.92</v>
      </c>
      <c r="G866" s="7">
        <v>1.53</v>
      </c>
      <c r="H866" s="7">
        <v>0.85</v>
      </c>
      <c r="I866" s="7">
        <v>4.1605513E7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5" t="s">
        <v>1750</v>
      </c>
      <c r="B867" s="5" t="s">
        <v>1751</v>
      </c>
      <c r="C867" s="4" t="s">
        <v>274</v>
      </c>
      <c r="D867" s="6">
        <v>32.37</v>
      </c>
      <c r="E867" s="6">
        <v>32.65</v>
      </c>
      <c r="F867" s="4"/>
      <c r="G867" s="7">
        <v>35.74</v>
      </c>
      <c r="H867" s="7">
        <v>29.08</v>
      </c>
      <c r="I867" s="7">
        <v>2.215637E10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5" t="s">
        <v>1752</v>
      </c>
      <c r="B868" s="5" t="s">
        <v>1753</v>
      </c>
      <c r="C868" s="4" t="s">
        <v>872</v>
      </c>
      <c r="D868" s="6">
        <v>2.84</v>
      </c>
      <c r="E868" s="6">
        <v>2.83</v>
      </c>
      <c r="F868" s="7">
        <v>8.59</v>
      </c>
      <c r="G868" s="7">
        <v>3.23</v>
      </c>
      <c r="H868" s="7">
        <v>2.38</v>
      </c>
      <c r="I868" s="7">
        <v>6.13835309E8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5" t="s">
        <v>1754</v>
      </c>
      <c r="B869" s="5" t="s">
        <v>1755</v>
      </c>
      <c r="C869" s="4" t="s">
        <v>34</v>
      </c>
      <c r="D869" s="6" t="e">
        <v>#N/A</v>
      </c>
      <c r="E869" s="6" t="e">
        <v>#N/A</v>
      </c>
      <c r="F869" s="4"/>
      <c r="G869" s="4"/>
      <c r="H869" s="4"/>
      <c r="I869" s="7" t="e">
        <v>#N/A</v>
      </c>
      <c r="J869" s="7">
        <v>0.001</v>
      </c>
      <c r="K869" s="7">
        <v>0.002</v>
      </c>
      <c r="L869" s="7">
        <v>0.004</v>
      </c>
      <c r="M869" s="7">
        <v>0.001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5" t="s">
        <v>1756</v>
      </c>
      <c r="B870" s="5" t="s">
        <v>1757</v>
      </c>
      <c r="C870" s="4" t="s">
        <v>17</v>
      </c>
      <c r="D870" s="6">
        <v>0.16</v>
      </c>
      <c r="E870" s="6">
        <v>0.16</v>
      </c>
      <c r="F870" s="4"/>
      <c r="G870" s="7">
        <v>0.21</v>
      </c>
      <c r="H870" s="7">
        <v>0.07</v>
      </c>
      <c r="I870" s="7">
        <v>2.9012479E7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5" t="s">
        <v>1758</v>
      </c>
      <c r="B871" s="5" t="s">
        <v>1759</v>
      </c>
      <c r="C871" s="4" t="s">
        <v>172</v>
      </c>
      <c r="D871" s="6">
        <v>0.05</v>
      </c>
      <c r="E871" s="6">
        <v>0.05</v>
      </c>
      <c r="F871" s="4"/>
      <c r="G871" s="7">
        <v>0.1</v>
      </c>
      <c r="H871" s="7">
        <v>0.05</v>
      </c>
      <c r="I871" s="7">
        <v>1.333328E7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5" t="s">
        <v>1760</v>
      </c>
      <c r="B872" s="5" t="s">
        <v>1761</v>
      </c>
      <c r="C872" s="4" t="s">
        <v>34</v>
      </c>
      <c r="D872" s="6" t="e">
        <v>#N/A</v>
      </c>
      <c r="E872" s="6" t="e">
        <v>#N/A</v>
      </c>
      <c r="F872" s="4"/>
      <c r="G872" s="4"/>
      <c r="H872" s="4"/>
      <c r="I872" s="7" t="e">
        <v>#N/A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5" t="s">
        <v>1762</v>
      </c>
      <c r="B873" s="5" t="s">
        <v>1763</v>
      </c>
      <c r="C873" s="4" t="s">
        <v>1764</v>
      </c>
      <c r="D873" s="6">
        <v>0.84</v>
      </c>
      <c r="E873" s="6">
        <v>0.85</v>
      </c>
      <c r="F873" s="7">
        <v>15.81</v>
      </c>
      <c r="G873" s="7">
        <v>0.95</v>
      </c>
      <c r="H873" s="7">
        <v>0.66</v>
      </c>
      <c r="I873" s="7">
        <v>2.27222782E8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5" t="s">
        <v>1765</v>
      </c>
      <c r="B874" s="5" t="s">
        <v>1766</v>
      </c>
      <c r="C874" s="4" t="s">
        <v>126</v>
      </c>
      <c r="D874" s="6">
        <v>0.2</v>
      </c>
      <c r="E874" s="6">
        <v>0.2</v>
      </c>
      <c r="F874" s="7">
        <v>6.32</v>
      </c>
      <c r="G874" s="7">
        <v>0.38</v>
      </c>
      <c r="H874" s="7">
        <v>0.12</v>
      </c>
      <c r="I874" s="7">
        <v>4.615825E7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5" t="s">
        <v>1767</v>
      </c>
      <c r="B875" s="5" t="s">
        <v>1768</v>
      </c>
      <c r="C875" s="4" t="s">
        <v>86</v>
      </c>
      <c r="D875" s="6">
        <v>0.33</v>
      </c>
      <c r="E875" s="6">
        <v>0.3</v>
      </c>
      <c r="F875" s="4"/>
      <c r="G875" s="7">
        <v>0.34</v>
      </c>
      <c r="H875" s="7">
        <v>0.01</v>
      </c>
      <c r="I875" s="7">
        <v>1.97144845E8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5" t="s">
        <v>1769</v>
      </c>
      <c r="B876" s="5" t="s">
        <v>1770</v>
      </c>
      <c r="C876" s="4" t="s">
        <v>1771</v>
      </c>
      <c r="D876" s="6">
        <v>12.22</v>
      </c>
      <c r="E876" s="6">
        <v>12.22</v>
      </c>
      <c r="F876" s="4"/>
      <c r="G876" s="7">
        <v>12.35</v>
      </c>
      <c r="H876" s="7">
        <v>8.6</v>
      </c>
      <c r="I876" s="7">
        <v>2.587405E9</v>
      </c>
      <c r="J876" s="4"/>
      <c r="K876" s="4"/>
      <c r="L876" s="4"/>
      <c r="M876" s="4"/>
      <c r="N876" s="4"/>
      <c r="O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5" t="s">
        <v>1772</v>
      </c>
      <c r="B877" s="5" t="s">
        <v>1773</v>
      </c>
      <c r="C877" s="4" t="s">
        <v>65</v>
      </c>
      <c r="D877" s="6">
        <v>0.02</v>
      </c>
      <c r="E877" s="6">
        <v>0.02</v>
      </c>
      <c r="F877" s="4"/>
      <c r="G877" s="7">
        <v>0.03</v>
      </c>
      <c r="H877" s="7">
        <v>0.0</v>
      </c>
      <c r="I877" s="7">
        <v>4.004136E7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5" t="s">
        <v>1772</v>
      </c>
      <c r="B878" s="5" t="s">
        <v>1773</v>
      </c>
      <c r="C878" s="4" t="s">
        <v>65</v>
      </c>
      <c r="D878" s="6">
        <v>0.02</v>
      </c>
      <c r="E878" s="6">
        <v>0.02</v>
      </c>
      <c r="F878" s="4"/>
      <c r="G878" s="7">
        <v>0.03</v>
      </c>
      <c r="H878" s="7">
        <v>0.0</v>
      </c>
      <c r="I878" s="7">
        <v>4.004136E7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8" t="s">
        <v>1772</v>
      </c>
      <c r="B879" s="8" t="s">
        <v>1773</v>
      </c>
      <c r="C879" s="9" t="s">
        <v>65</v>
      </c>
      <c r="D879" s="10">
        <v>0.02</v>
      </c>
      <c r="E879" s="6">
        <v>0.02</v>
      </c>
      <c r="F879" s="4"/>
      <c r="G879" s="7">
        <v>0.03</v>
      </c>
      <c r="H879" s="7">
        <v>0.0</v>
      </c>
      <c r="I879" s="7">
        <v>4.004136E7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5" t="s">
        <v>1774</v>
      </c>
      <c r="B880" s="5" t="s">
        <v>1775</v>
      </c>
      <c r="C880" s="4" t="s">
        <v>239</v>
      </c>
      <c r="D880" s="6">
        <v>1.33</v>
      </c>
      <c r="E880" s="6">
        <v>1.31</v>
      </c>
      <c r="F880" s="7">
        <v>15.35</v>
      </c>
      <c r="G880" s="7">
        <v>1.34</v>
      </c>
      <c r="H880" s="7">
        <v>0.79</v>
      </c>
      <c r="I880" s="7">
        <v>1.6631052E8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5" t="s">
        <v>1776</v>
      </c>
      <c r="B881" s="5" t="s">
        <v>1777</v>
      </c>
      <c r="C881" s="4" t="s">
        <v>169</v>
      </c>
      <c r="D881" s="6">
        <v>1.8</v>
      </c>
      <c r="E881" s="6">
        <v>1.79</v>
      </c>
      <c r="F881" s="4"/>
      <c r="G881" s="7">
        <v>2.27</v>
      </c>
      <c r="H881" s="7">
        <v>1.77</v>
      </c>
      <c r="I881" s="7">
        <v>4.641378E7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5" t="s">
        <v>1778</v>
      </c>
      <c r="B882" s="5" t="s">
        <v>1779</v>
      </c>
      <c r="C882" s="4" t="s">
        <v>34</v>
      </c>
      <c r="D882" s="6">
        <v>2.28</v>
      </c>
      <c r="E882" s="6">
        <v>2.27</v>
      </c>
      <c r="F882" s="4"/>
      <c r="G882" s="7">
        <v>2.32</v>
      </c>
      <c r="H882" s="7">
        <v>1.51</v>
      </c>
      <c r="I882" s="7" t="e">
        <v>#N/A</v>
      </c>
      <c r="J882" s="7">
        <v>0.042</v>
      </c>
      <c r="K882" s="7">
        <v>0.042</v>
      </c>
      <c r="L882" s="7">
        <v>0.042</v>
      </c>
      <c r="M882" s="7">
        <v>0.042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5" t="s">
        <v>1780</v>
      </c>
      <c r="B883" s="5" t="s">
        <v>1781</v>
      </c>
      <c r="C883" s="4" t="s">
        <v>34</v>
      </c>
      <c r="D883" s="6">
        <v>25.18</v>
      </c>
      <c r="E883" s="6">
        <v>25.21</v>
      </c>
      <c r="F883" s="4"/>
      <c r="G883" s="7">
        <v>25.3</v>
      </c>
      <c r="H883" s="7">
        <v>25.1</v>
      </c>
      <c r="I883" s="7" t="e">
        <v>#N/A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5" t="s">
        <v>1782</v>
      </c>
      <c r="B884" s="5" t="s">
        <v>1783</v>
      </c>
      <c r="C884" s="4" t="s">
        <v>14</v>
      </c>
      <c r="D884" s="6">
        <v>0.38</v>
      </c>
      <c r="E884" s="6">
        <v>0.38</v>
      </c>
      <c r="F884" s="4"/>
      <c r="G884" s="7">
        <v>0.43</v>
      </c>
      <c r="H884" s="7">
        <v>0.11</v>
      </c>
      <c r="I884" s="7">
        <v>5.5502925E7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5" t="s">
        <v>1784</v>
      </c>
      <c r="B885" s="5" t="s">
        <v>1785</v>
      </c>
      <c r="C885" s="4" t="s">
        <v>34</v>
      </c>
      <c r="D885" s="6">
        <v>6.65</v>
      </c>
      <c r="E885" s="6">
        <v>6.76</v>
      </c>
      <c r="F885" s="4"/>
      <c r="G885" s="7">
        <v>6.93</v>
      </c>
      <c r="H885" s="7">
        <v>5.28</v>
      </c>
      <c r="I885" s="7" t="e">
        <v>#N/A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5" t="s">
        <v>1786</v>
      </c>
      <c r="B886" s="5" t="s">
        <v>1787</v>
      </c>
      <c r="C886" s="4" t="s">
        <v>37</v>
      </c>
      <c r="D886" s="6">
        <v>0.09</v>
      </c>
      <c r="E886" s="6">
        <v>0.08</v>
      </c>
      <c r="F886" s="4"/>
      <c r="G886" s="7">
        <v>0.2</v>
      </c>
      <c r="H886" s="7">
        <v>0.04</v>
      </c>
      <c r="I886" s="7">
        <v>6658156.0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5" t="s">
        <v>1788</v>
      </c>
      <c r="B887" s="5" t="s">
        <v>1789</v>
      </c>
      <c r="C887" s="4" t="s">
        <v>447</v>
      </c>
      <c r="D887" s="6">
        <v>0.08</v>
      </c>
      <c r="E887" s="6">
        <v>0.08</v>
      </c>
      <c r="F887" s="4"/>
      <c r="G887" s="7">
        <v>0.22</v>
      </c>
      <c r="H887" s="7">
        <v>0.05</v>
      </c>
      <c r="I887" s="7">
        <v>2.2912497E7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5" t="s">
        <v>1790</v>
      </c>
      <c r="B888" s="5" t="s">
        <v>1791</v>
      </c>
      <c r="C888" s="4" t="s">
        <v>34</v>
      </c>
      <c r="D888" s="6" t="e">
        <v>#N/A</v>
      </c>
      <c r="E888" s="6" t="e">
        <v>#N/A</v>
      </c>
      <c r="F888" s="4"/>
      <c r="G888" s="4"/>
      <c r="H888" s="4"/>
      <c r="I888" s="7" t="e">
        <v>#N/A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5" t="s">
        <v>1792</v>
      </c>
      <c r="B889" s="5" t="s">
        <v>1793</v>
      </c>
      <c r="C889" s="4" t="s">
        <v>1764</v>
      </c>
      <c r="D889" s="6">
        <v>2.74</v>
      </c>
      <c r="E889" s="6">
        <v>2.66</v>
      </c>
      <c r="F889" s="7">
        <v>18.15</v>
      </c>
      <c r="G889" s="7">
        <v>3.26</v>
      </c>
      <c r="H889" s="7">
        <v>1.78</v>
      </c>
      <c r="I889" s="7">
        <v>2.53672187E8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5" t="s">
        <v>1794</v>
      </c>
      <c r="B890" s="5" t="s">
        <v>1795</v>
      </c>
      <c r="C890" s="4" t="s">
        <v>86</v>
      </c>
      <c r="D890" s="6">
        <v>0.36</v>
      </c>
      <c r="E890" s="6">
        <v>0.36</v>
      </c>
      <c r="F890" s="4"/>
      <c r="G890" s="7">
        <v>0.79</v>
      </c>
      <c r="H890" s="7">
        <v>0.08</v>
      </c>
      <c r="I890" s="7">
        <v>1.72264312E8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5" t="s">
        <v>1796</v>
      </c>
      <c r="B891" s="5" t="s">
        <v>1797</v>
      </c>
      <c r="C891" s="4" t="s">
        <v>76</v>
      </c>
      <c r="D891" s="6">
        <v>0.16</v>
      </c>
      <c r="E891" s="6">
        <v>0.16</v>
      </c>
      <c r="F891" s="4"/>
      <c r="G891" s="7">
        <v>0.18</v>
      </c>
      <c r="H891" s="7">
        <v>0.13</v>
      </c>
      <c r="I891" s="7">
        <v>1.727268E7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5" t="s">
        <v>1798</v>
      </c>
      <c r="B892" s="5" t="s">
        <v>1799</v>
      </c>
      <c r="C892" s="4" t="s">
        <v>17</v>
      </c>
      <c r="D892" s="6">
        <v>0.33</v>
      </c>
      <c r="E892" s="6">
        <v>0.32</v>
      </c>
      <c r="F892" s="4"/>
      <c r="G892" s="7">
        <v>0.38</v>
      </c>
      <c r="H892" s="7">
        <v>0.11</v>
      </c>
      <c r="I892" s="7">
        <v>4.2638893E7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5" t="s">
        <v>1800</v>
      </c>
      <c r="B893" s="5" t="s">
        <v>1801</v>
      </c>
      <c r="C893" s="4" t="s">
        <v>141</v>
      </c>
      <c r="D893" s="6" t="e">
        <v>#N/A</v>
      </c>
      <c r="E893" s="6" t="e">
        <v>#N/A</v>
      </c>
      <c r="F893" s="4"/>
      <c r="G893" s="4"/>
      <c r="H893" s="4"/>
      <c r="I893" s="7" t="e">
        <v>#N/A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5" t="s">
        <v>1802</v>
      </c>
      <c r="B894" s="5" t="s">
        <v>1803</v>
      </c>
      <c r="C894" s="4" t="s">
        <v>34</v>
      </c>
      <c r="D894" s="6">
        <v>30.18</v>
      </c>
      <c r="E894" s="6">
        <v>30.45</v>
      </c>
      <c r="F894" s="4"/>
      <c r="G894" s="7">
        <v>32.61</v>
      </c>
      <c r="H894" s="7">
        <v>22.72</v>
      </c>
      <c r="I894" s="7" t="e">
        <v>#N/A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5" t="s">
        <v>1804</v>
      </c>
      <c r="B895" s="5" t="s">
        <v>1805</v>
      </c>
      <c r="C895" s="4" t="s">
        <v>37</v>
      </c>
      <c r="D895" s="6">
        <v>0.72</v>
      </c>
      <c r="E895" s="6">
        <v>0.71</v>
      </c>
      <c r="F895" s="4"/>
      <c r="G895" s="7">
        <v>0.74</v>
      </c>
      <c r="H895" s="7">
        <v>0.1</v>
      </c>
      <c r="I895" s="7">
        <v>1.47061661E8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5" t="s">
        <v>1806</v>
      </c>
      <c r="B896" s="5" t="s">
        <v>1807</v>
      </c>
      <c r="C896" s="4" t="s">
        <v>37</v>
      </c>
      <c r="D896" s="6">
        <v>0.03</v>
      </c>
      <c r="E896" s="6">
        <v>0.03</v>
      </c>
      <c r="F896" s="4"/>
      <c r="G896" s="7">
        <v>2.5</v>
      </c>
      <c r="H896" s="7">
        <v>2.5</v>
      </c>
      <c r="I896" s="7">
        <v>3.0120675E7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5" t="s">
        <v>1808</v>
      </c>
      <c r="B897" s="5" t="s">
        <v>1809</v>
      </c>
      <c r="C897" s="4" t="s">
        <v>17</v>
      </c>
      <c r="D897" s="6">
        <v>0.01</v>
      </c>
      <c r="E897" s="6">
        <v>0.01</v>
      </c>
      <c r="F897" s="4"/>
      <c r="G897" s="7">
        <v>0.02</v>
      </c>
      <c r="H897" s="7">
        <v>0.01</v>
      </c>
      <c r="I897" s="7">
        <v>2643417.0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5" t="s">
        <v>1810</v>
      </c>
      <c r="B898" s="5" t="s">
        <v>1811</v>
      </c>
      <c r="C898" s="4" t="s">
        <v>86</v>
      </c>
      <c r="D898" s="6">
        <v>0.07</v>
      </c>
      <c r="E898" s="6">
        <v>0.06</v>
      </c>
      <c r="F898" s="4"/>
      <c r="G898" s="7">
        <v>0.07</v>
      </c>
      <c r="H898" s="7">
        <v>0.02</v>
      </c>
      <c r="I898" s="7">
        <v>3.9074443E7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5" t="s">
        <v>1812</v>
      </c>
      <c r="B899" s="5" t="s">
        <v>1813</v>
      </c>
      <c r="C899" s="4" t="s">
        <v>37</v>
      </c>
      <c r="D899" s="6">
        <v>0.19</v>
      </c>
      <c r="E899" s="6">
        <v>0.18</v>
      </c>
      <c r="F899" s="4"/>
      <c r="G899" s="7">
        <v>0.24</v>
      </c>
      <c r="H899" s="7">
        <v>0.1</v>
      </c>
      <c r="I899" s="7">
        <v>3.554503E7</v>
      </c>
      <c r="J899" s="7">
        <v>6.92</v>
      </c>
      <c r="K899" s="7">
        <v>6.93</v>
      </c>
      <c r="L899" s="7">
        <v>7.82</v>
      </c>
      <c r="M899" s="7">
        <v>5.34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5" t="s">
        <v>1814</v>
      </c>
      <c r="B900" s="5" t="s">
        <v>1815</v>
      </c>
      <c r="C900" s="4" t="s">
        <v>34</v>
      </c>
      <c r="D900" s="6">
        <v>18.53</v>
      </c>
      <c r="E900" s="6">
        <v>18.37</v>
      </c>
      <c r="F900" s="4"/>
      <c r="G900" s="7">
        <v>21.37</v>
      </c>
      <c r="H900" s="7">
        <v>14.04</v>
      </c>
      <c r="I900" s="7" t="e">
        <v>#N/A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5" t="s">
        <v>1816</v>
      </c>
      <c r="B901" s="5" t="s">
        <v>1817</v>
      </c>
      <c r="C901" s="4" t="s">
        <v>1818</v>
      </c>
      <c r="D901" s="6">
        <v>0.09</v>
      </c>
      <c r="E901" s="6">
        <v>0.09</v>
      </c>
      <c r="F901" s="4"/>
      <c r="G901" s="7">
        <v>0.14</v>
      </c>
      <c r="H901" s="7">
        <v>0.09</v>
      </c>
      <c r="I901" s="7">
        <v>2.6477614E7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5" t="s">
        <v>1819</v>
      </c>
      <c r="B902" s="5" t="s">
        <v>1820</v>
      </c>
      <c r="C902" s="4" t="s">
        <v>34</v>
      </c>
      <c r="D902" s="6">
        <v>12.88</v>
      </c>
      <c r="E902" s="6">
        <v>12.88</v>
      </c>
      <c r="F902" s="4"/>
      <c r="G902" s="7">
        <v>13.74</v>
      </c>
      <c r="H902" s="7">
        <v>10.41</v>
      </c>
      <c r="I902" s="7" t="e">
        <v>#N/A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5" t="s">
        <v>1821</v>
      </c>
      <c r="B903" s="5" t="s">
        <v>1822</v>
      </c>
      <c r="C903" s="4" t="s">
        <v>1823</v>
      </c>
      <c r="D903" s="6">
        <v>0.03</v>
      </c>
      <c r="E903" s="6">
        <v>0.03</v>
      </c>
      <c r="F903" s="4"/>
      <c r="G903" s="7">
        <v>0.05</v>
      </c>
      <c r="H903" s="7">
        <v>0.02</v>
      </c>
      <c r="I903" s="7">
        <v>1.0266497E7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5" t="s">
        <v>1824</v>
      </c>
      <c r="B904" s="5" t="s">
        <v>1825</v>
      </c>
      <c r="C904" s="4" t="s">
        <v>17</v>
      </c>
      <c r="D904" s="6">
        <v>0.05</v>
      </c>
      <c r="E904" s="6">
        <v>0.05</v>
      </c>
      <c r="F904" s="4"/>
      <c r="G904" s="7">
        <v>0.09</v>
      </c>
      <c r="H904" s="7">
        <v>0.02</v>
      </c>
      <c r="I904" s="7">
        <v>4.314382E7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5" t="s">
        <v>1826</v>
      </c>
      <c r="B905" s="5" t="s">
        <v>1827</v>
      </c>
      <c r="C905" s="4" t="s">
        <v>17</v>
      </c>
      <c r="D905" s="6">
        <v>0.03</v>
      </c>
      <c r="E905" s="6">
        <v>0.03</v>
      </c>
      <c r="F905" s="4"/>
      <c r="G905" s="7">
        <v>0.04</v>
      </c>
      <c r="H905" s="7">
        <v>0.03</v>
      </c>
      <c r="I905" s="7">
        <v>1.56008918E8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5" t="s">
        <v>1828</v>
      </c>
      <c r="B906" s="5" t="s">
        <v>1829</v>
      </c>
      <c r="C906" s="4" t="s">
        <v>34</v>
      </c>
      <c r="D906" s="6">
        <v>20.47</v>
      </c>
      <c r="E906" s="6">
        <v>20.63</v>
      </c>
      <c r="F906" s="4"/>
      <c r="G906" s="7">
        <v>20.95</v>
      </c>
      <c r="H906" s="7">
        <v>20.07</v>
      </c>
      <c r="I906" s="7" t="e">
        <v>#N/A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5" t="s">
        <v>1830</v>
      </c>
      <c r="B907" s="5" t="s">
        <v>1831</v>
      </c>
      <c r="C907" s="4" t="s">
        <v>86</v>
      </c>
      <c r="D907" s="6">
        <v>0.09</v>
      </c>
      <c r="E907" s="6">
        <v>0.09</v>
      </c>
      <c r="F907" s="4"/>
      <c r="G907" s="7">
        <v>0.1</v>
      </c>
      <c r="H907" s="7">
        <v>0.04</v>
      </c>
      <c r="I907" s="7">
        <v>9.6802952E7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5" t="s">
        <v>1832</v>
      </c>
      <c r="B908" s="5" t="s">
        <v>1833</v>
      </c>
      <c r="C908" s="4" t="s">
        <v>169</v>
      </c>
      <c r="D908" s="6">
        <v>0.47</v>
      </c>
      <c r="E908" s="6">
        <v>0.47</v>
      </c>
      <c r="F908" s="7">
        <v>5.15</v>
      </c>
      <c r="G908" s="7">
        <v>0.57</v>
      </c>
      <c r="H908" s="7">
        <v>0.4</v>
      </c>
      <c r="I908" s="7">
        <v>2.256711E7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5" t="s">
        <v>1834</v>
      </c>
      <c r="B909" s="5" t="s">
        <v>1835</v>
      </c>
      <c r="C909" s="4" t="s">
        <v>34</v>
      </c>
      <c r="D909" s="6" t="e">
        <v>#N/A</v>
      </c>
      <c r="E909" s="6" t="e">
        <v>#N/A</v>
      </c>
      <c r="F909" s="4"/>
      <c r="G909" s="4"/>
      <c r="H909" s="4"/>
      <c r="I909" s="7" t="e">
        <v>#N/A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5" t="s">
        <v>1836</v>
      </c>
      <c r="B910" s="5" t="s">
        <v>1837</v>
      </c>
      <c r="C910" s="4" t="s">
        <v>1838</v>
      </c>
      <c r="D910" s="6">
        <v>2.06</v>
      </c>
      <c r="E910" s="6">
        <v>2.05</v>
      </c>
      <c r="F910" s="7">
        <v>12.43</v>
      </c>
      <c r="G910" s="7">
        <v>2.12</v>
      </c>
      <c r="H910" s="7">
        <v>1.89</v>
      </c>
      <c r="I910" s="7">
        <v>1.21643079E9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5" t="s">
        <v>1839</v>
      </c>
      <c r="B911" s="5" t="s">
        <v>1840</v>
      </c>
      <c r="C911" s="4" t="s">
        <v>17</v>
      </c>
      <c r="D911" s="6">
        <v>0.01</v>
      </c>
      <c r="E911" s="6">
        <v>0.01</v>
      </c>
      <c r="F911" s="4"/>
      <c r="G911" s="7">
        <v>0.04</v>
      </c>
      <c r="H911" s="7">
        <v>0.01</v>
      </c>
      <c r="I911" s="7">
        <v>5.8441195E7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5" t="s">
        <v>1841</v>
      </c>
      <c r="B912" s="5" t="s">
        <v>1842</v>
      </c>
      <c r="C912" s="4" t="s">
        <v>34</v>
      </c>
      <c r="D912" s="6">
        <v>4.96</v>
      </c>
      <c r="E912" s="6">
        <v>5.03</v>
      </c>
      <c r="F912" s="4"/>
      <c r="G912" s="7">
        <v>5.6</v>
      </c>
      <c r="H912" s="7">
        <v>4.65</v>
      </c>
      <c r="I912" s="7" t="e">
        <v>#N/A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5" t="s">
        <v>1843</v>
      </c>
      <c r="B913" s="5" t="s">
        <v>1844</v>
      </c>
      <c r="C913" s="4" t="s">
        <v>17</v>
      </c>
      <c r="D913" s="6">
        <v>0.0</v>
      </c>
      <c r="E913" s="6">
        <v>0.0</v>
      </c>
      <c r="F913" s="4"/>
      <c r="G913" s="7">
        <v>0.0</v>
      </c>
      <c r="H913" s="7">
        <v>0.0</v>
      </c>
      <c r="I913" s="7">
        <v>2194510.0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5" t="s">
        <v>1845</v>
      </c>
      <c r="B914" s="5" t="s">
        <v>1846</v>
      </c>
      <c r="C914" s="4" t="s">
        <v>416</v>
      </c>
      <c r="D914" s="6">
        <v>1.16</v>
      </c>
      <c r="E914" s="6">
        <v>1.18</v>
      </c>
      <c r="F914" s="4"/>
      <c r="G914" s="7">
        <v>1.3</v>
      </c>
      <c r="H914" s="7">
        <v>1.08</v>
      </c>
      <c r="I914" s="7">
        <v>2.51315268E8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5" t="s">
        <v>1847</v>
      </c>
      <c r="B915" s="5" t="s">
        <v>1848</v>
      </c>
      <c r="C915" s="4" t="s">
        <v>1849</v>
      </c>
      <c r="D915" s="6">
        <v>5.9</v>
      </c>
      <c r="E915" s="6">
        <v>5.89</v>
      </c>
      <c r="F915" s="7">
        <v>50.74</v>
      </c>
      <c r="G915" s="7">
        <v>7.77</v>
      </c>
      <c r="H915" s="7">
        <v>3.41</v>
      </c>
      <c r="I915" s="7">
        <v>2.357894328E9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5" t="s">
        <v>1850</v>
      </c>
      <c r="B916" s="5" t="s">
        <v>1851</v>
      </c>
      <c r="C916" s="4" t="s">
        <v>141</v>
      </c>
      <c r="D916" s="6">
        <v>0.63</v>
      </c>
      <c r="E916" s="6">
        <v>0.64</v>
      </c>
      <c r="F916" s="7">
        <v>9.63</v>
      </c>
      <c r="G916" s="7">
        <v>0.73</v>
      </c>
      <c r="H916" s="7">
        <v>0.56</v>
      </c>
      <c r="I916" s="7">
        <v>3.3743121E8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5" t="s">
        <v>1852</v>
      </c>
      <c r="B917" s="5" t="s">
        <v>1853</v>
      </c>
      <c r="C917" s="4" t="s">
        <v>17</v>
      </c>
      <c r="D917" s="6">
        <v>0.3</v>
      </c>
      <c r="E917" s="6">
        <v>0.3</v>
      </c>
      <c r="F917" s="4"/>
      <c r="G917" s="7">
        <v>0.53</v>
      </c>
      <c r="H917" s="7">
        <v>0.23</v>
      </c>
      <c r="I917" s="7">
        <v>1.5056208E7</v>
      </c>
      <c r="J917" s="7">
        <v>0.001</v>
      </c>
      <c r="K917" s="7">
        <v>0.001</v>
      </c>
      <c r="L917" s="7">
        <v>0.003</v>
      </c>
      <c r="M917" s="7">
        <v>0.001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5" t="s">
        <v>1854</v>
      </c>
      <c r="B918" s="5" t="s">
        <v>1855</v>
      </c>
      <c r="C918" s="4" t="s">
        <v>17</v>
      </c>
      <c r="D918" s="6">
        <v>0.2</v>
      </c>
      <c r="E918" s="6">
        <v>0.21</v>
      </c>
      <c r="F918" s="4"/>
      <c r="G918" s="7">
        <v>0.24</v>
      </c>
      <c r="H918" s="7">
        <v>0.18</v>
      </c>
      <c r="I918" s="7">
        <v>5.8091442E7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5" t="s">
        <v>1856</v>
      </c>
      <c r="B919" s="5" t="s">
        <v>1857</v>
      </c>
      <c r="C919" s="4" t="s">
        <v>34</v>
      </c>
      <c r="D919" s="6">
        <v>132.4</v>
      </c>
      <c r="E919" s="6">
        <v>132.2</v>
      </c>
      <c r="F919" s="4"/>
      <c r="G919" s="7">
        <v>139.2</v>
      </c>
      <c r="H919" s="7">
        <v>55.1</v>
      </c>
      <c r="I919" s="7" t="e">
        <v>#N/A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5" t="s">
        <v>1858</v>
      </c>
      <c r="B920" s="5" t="s">
        <v>1859</v>
      </c>
      <c r="C920" s="4" t="s">
        <v>34</v>
      </c>
      <c r="D920" s="6">
        <v>35.13</v>
      </c>
      <c r="E920" s="6">
        <v>35.43</v>
      </c>
      <c r="F920" s="4"/>
      <c r="G920" s="7">
        <v>39.08</v>
      </c>
      <c r="H920" s="7">
        <v>21.95</v>
      </c>
      <c r="I920" s="7" t="e">
        <v>#N/A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5" t="s">
        <v>1860</v>
      </c>
      <c r="B921" s="5" t="s">
        <v>1861</v>
      </c>
      <c r="C921" s="4" t="s">
        <v>86</v>
      </c>
      <c r="D921" s="6">
        <v>0.06</v>
      </c>
      <c r="E921" s="6">
        <v>0.06</v>
      </c>
      <c r="F921" s="4"/>
      <c r="G921" s="7">
        <v>0.09</v>
      </c>
      <c r="H921" s="7">
        <v>0.02</v>
      </c>
      <c r="I921" s="7">
        <v>1.4607652E7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5" t="s">
        <v>1862</v>
      </c>
      <c r="B922" s="5" t="s">
        <v>1863</v>
      </c>
      <c r="C922" s="4" t="s">
        <v>244</v>
      </c>
      <c r="D922" s="6">
        <v>0.69</v>
      </c>
      <c r="E922" s="6">
        <v>0.69</v>
      </c>
      <c r="F922" s="7">
        <v>7.82</v>
      </c>
      <c r="G922" s="7">
        <v>1.4</v>
      </c>
      <c r="H922" s="7">
        <v>0.64</v>
      </c>
      <c r="I922" s="7">
        <v>5.28517642E8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5" t="s">
        <v>1864</v>
      </c>
      <c r="B923" s="5" t="s">
        <v>1865</v>
      </c>
      <c r="C923" s="4" t="s">
        <v>210</v>
      </c>
      <c r="D923" s="6">
        <v>0.01</v>
      </c>
      <c r="E923" s="6">
        <v>0.01</v>
      </c>
      <c r="F923" s="4"/>
      <c r="G923" s="7">
        <v>0.05</v>
      </c>
      <c r="H923" s="7">
        <v>0.01</v>
      </c>
      <c r="I923" s="7">
        <v>2.8004011E7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5" t="s">
        <v>1864</v>
      </c>
      <c r="B924" s="5" t="s">
        <v>1865</v>
      </c>
      <c r="C924" s="4" t="s">
        <v>210</v>
      </c>
      <c r="D924" s="6">
        <v>0.01</v>
      </c>
      <c r="E924" s="6">
        <v>0.01</v>
      </c>
      <c r="F924" s="4"/>
      <c r="G924" s="7">
        <v>0.05</v>
      </c>
      <c r="H924" s="7">
        <v>0.01</v>
      </c>
      <c r="I924" s="7">
        <v>2.8004011E7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5" t="s">
        <v>1866</v>
      </c>
      <c r="B925" s="5" t="s">
        <v>1867</v>
      </c>
      <c r="C925" s="4" t="s">
        <v>17</v>
      </c>
      <c r="D925" s="6">
        <v>0.01</v>
      </c>
      <c r="E925" s="6">
        <v>0.01</v>
      </c>
      <c r="F925" s="4"/>
      <c r="G925" s="7">
        <v>0.02</v>
      </c>
      <c r="H925" s="7">
        <v>0.0</v>
      </c>
      <c r="I925" s="7">
        <v>3835923.0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5" t="s">
        <v>1868</v>
      </c>
      <c r="B926" s="5" t="s">
        <v>1869</v>
      </c>
      <c r="C926" s="4" t="s">
        <v>169</v>
      </c>
      <c r="D926" s="6">
        <v>3.52</v>
      </c>
      <c r="E926" s="6">
        <v>3.55</v>
      </c>
      <c r="F926" s="7">
        <v>64.88</v>
      </c>
      <c r="G926" s="7">
        <v>4.0</v>
      </c>
      <c r="H926" s="7">
        <v>3.52</v>
      </c>
      <c r="I926" s="7">
        <v>3.967582E7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5" t="s">
        <v>1870</v>
      </c>
      <c r="B927" s="5" t="s">
        <v>1871</v>
      </c>
      <c r="C927" s="4" t="s">
        <v>1872</v>
      </c>
      <c r="D927" s="6">
        <v>0.2</v>
      </c>
      <c r="E927" s="6">
        <v>0.19</v>
      </c>
      <c r="F927" s="4"/>
      <c r="G927" s="7">
        <v>0.39</v>
      </c>
      <c r="H927" s="7">
        <v>0.16</v>
      </c>
      <c r="I927" s="7" t="e">
        <v>#N/A</v>
      </c>
      <c r="J927" s="4"/>
      <c r="K927" s="4"/>
      <c r="L927" s="4"/>
      <c r="M927" s="4"/>
      <c r="N927" s="4"/>
      <c r="O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5" t="s">
        <v>1873</v>
      </c>
      <c r="B928" s="5" t="s">
        <v>1874</v>
      </c>
      <c r="C928" s="4" t="s">
        <v>86</v>
      </c>
      <c r="D928" s="6">
        <v>0.5</v>
      </c>
      <c r="E928" s="6">
        <v>0.52</v>
      </c>
      <c r="F928" s="4"/>
      <c r="G928" s="7">
        <v>0.6</v>
      </c>
      <c r="H928" s="7">
        <v>0.2</v>
      </c>
      <c r="I928" s="7">
        <v>3.615617E8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5" t="s">
        <v>1875</v>
      </c>
      <c r="B929" s="5" t="s">
        <v>1876</v>
      </c>
      <c r="C929" s="4" t="s">
        <v>34</v>
      </c>
      <c r="D929" s="6" t="e">
        <v>#N/A</v>
      </c>
      <c r="E929" s="6" t="e">
        <v>#N/A</v>
      </c>
      <c r="F929" s="4"/>
      <c r="G929" s="4"/>
      <c r="H929" s="4"/>
      <c r="I929" s="7" t="e">
        <v>#N/A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5" t="s">
        <v>1877</v>
      </c>
      <c r="B930" s="5" t="s">
        <v>1878</v>
      </c>
      <c r="C930" s="4" t="s">
        <v>34</v>
      </c>
      <c r="D930" s="6">
        <v>25.85</v>
      </c>
      <c r="E930" s="6">
        <v>25.95</v>
      </c>
      <c r="F930" s="4"/>
      <c r="G930" s="7">
        <v>26.75</v>
      </c>
      <c r="H930" s="7">
        <v>25.01</v>
      </c>
      <c r="I930" s="7" t="e">
        <v>#N/A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5" t="s">
        <v>1879</v>
      </c>
      <c r="B931" s="5" t="s">
        <v>1880</v>
      </c>
      <c r="C931" s="4" t="s">
        <v>76</v>
      </c>
      <c r="D931" s="6">
        <v>0.0</v>
      </c>
      <c r="E931" s="6">
        <v>0.0</v>
      </c>
      <c r="F931" s="4"/>
      <c r="G931" s="7">
        <v>0.0</v>
      </c>
      <c r="H931" s="7">
        <v>0.0</v>
      </c>
      <c r="I931" s="7">
        <v>2450388.0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5" t="s">
        <v>1881</v>
      </c>
      <c r="B932" s="5" t="s">
        <v>1882</v>
      </c>
      <c r="C932" s="4" t="s">
        <v>34</v>
      </c>
      <c r="D932" s="6" t="e">
        <v>#N/A</v>
      </c>
      <c r="E932" s="6" t="e">
        <v>#N/A</v>
      </c>
      <c r="F932" s="4"/>
      <c r="G932" s="4"/>
      <c r="H932" s="4"/>
      <c r="I932" s="7" t="e">
        <v>#N/A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5" t="s">
        <v>1883</v>
      </c>
      <c r="B933" s="5" t="s">
        <v>1884</v>
      </c>
      <c r="C933" s="4" t="s">
        <v>17</v>
      </c>
      <c r="D933" s="6">
        <v>10.56</v>
      </c>
      <c r="E933" s="6">
        <v>10.49</v>
      </c>
      <c r="F933" s="7">
        <v>16.72</v>
      </c>
      <c r="G933" s="7">
        <v>10.96</v>
      </c>
      <c r="H933" s="7">
        <v>4.91</v>
      </c>
      <c r="I933" s="7">
        <v>6.7680772362E10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5" t="s">
        <v>1885</v>
      </c>
      <c r="B934" s="5" t="s">
        <v>1886</v>
      </c>
      <c r="C934" s="4" t="s">
        <v>17</v>
      </c>
      <c r="D934" s="6">
        <v>0.2</v>
      </c>
      <c r="E934" s="6">
        <v>0.2</v>
      </c>
      <c r="F934" s="4"/>
      <c r="G934" s="7">
        <v>0.2</v>
      </c>
      <c r="H934" s="7">
        <v>0.13</v>
      </c>
      <c r="I934" s="7">
        <v>2.1798152E7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5" t="s">
        <v>1887</v>
      </c>
      <c r="B935" s="5" t="s">
        <v>1888</v>
      </c>
      <c r="C935" s="4" t="s">
        <v>34</v>
      </c>
      <c r="D935" s="6" t="e">
        <v>#N/A</v>
      </c>
      <c r="E935" s="6" t="e">
        <v>#N/A</v>
      </c>
      <c r="F935" s="4"/>
      <c r="G935" s="4"/>
      <c r="H935" s="4"/>
      <c r="I935" s="7" t="e">
        <v>#N/A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5" t="s">
        <v>1889</v>
      </c>
      <c r="B936" s="5" t="s">
        <v>1890</v>
      </c>
      <c r="C936" s="4" t="s">
        <v>34</v>
      </c>
      <c r="D936" s="6">
        <v>34.0</v>
      </c>
      <c r="E936" s="6">
        <v>34.19</v>
      </c>
      <c r="F936" s="4"/>
      <c r="G936" s="7">
        <v>35.32</v>
      </c>
      <c r="H936" s="7">
        <v>24.31</v>
      </c>
      <c r="I936" s="7" t="e">
        <v>#N/A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5" t="s">
        <v>1891</v>
      </c>
      <c r="B937" s="5" t="s">
        <v>1892</v>
      </c>
      <c r="C937" s="4" t="s">
        <v>34</v>
      </c>
      <c r="D937" s="6" t="e">
        <v>#N/A</v>
      </c>
      <c r="E937" s="6" t="e">
        <v>#N/A</v>
      </c>
      <c r="F937" s="4"/>
      <c r="G937" s="4"/>
      <c r="H937" s="4"/>
      <c r="I937" s="7" t="e">
        <v>#N/A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5" t="s">
        <v>1893</v>
      </c>
      <c r="B938" s="5" t="s">
        <v>1894</v>
      </c>
      <c r="C938" s="4" t="s">
        <v>34</v>
      </c>
      <c r="D938" s="6">
        <v>68.62</v>
      </c>
      <c r="E938" s="6">
        <v>68.07</v>
      </c>
      <c r="F938" s="4"/>
      <c r="G938" s="7">
        <v>72.24</v>
      </c>
      <c r="H938" s="7">
        <v>47.16</v>
      </c>
      <c r="I938" s="7" t="e">
        <v>#N/A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5" t="s">
        <v>1895</v>
      </c>
      <c r="B939" s="5" t="s">
        <v>1896</v>
      </c>
      <c r="C939" s="4" t="s">
        <v>86</v>
      </c>
      <c r="D939" s="6">
        <v>0.76</v>
      </c>
      <c r="E939" s="6">
        <v>0.76</v>
      </c>
      <c r="F939" s="4"/>
      <c r="G939" s="7">
        <v>0.92</v>
      </c>
      <c r="H939" s="7">
        <v>0.21</v>
      </c>
      <c r="I939" s="7">
        <v>1.63716765E8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5" t="s">
        <v>1897</v>
      </c>
      <c r="B940" s="5" t="s">
        <v>1898</v>
      </c>
      <c r="C940" s="4" t="s">
        <v>1899</v>
      </c>
      <c r="D940" s="6">
        <v>0.46</v>
      </c>
      <c r="E940" s="6">
        <v>0.41</v>
      </c>
      <c r="F940" s="4"/>
      <c r="G940" s="7">
        <v>0.76</v>
      </c>
      <c r="H940" s="7">
        <v>0.4</v>
      </c>
      <c r="I940" s="7">
        <v>8.2106663E7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5" t="s">
        <v>1900</v>
      </c>
      <c r="B941" s="5" t="s">
        <v>1901</v>
      </c>
      <c r="C941" s="4" t="s">
        <v>17</v>
      </c>
      <c r="D941" s="6">
        <v>0.07</v>
      </c>
      <c r="E941" s="6">
        <v>0.06</v>
      </c>
      <c r="F941" s="4"/>
      <c r="G941" s="7">
        <v>0.07</v>
      </c>
      <c r="H941" s="7">
        <v>0.03</v>
      </c>
      <c r="I941" s="7">
        <v>1.4640274E7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5" t="s">
        <v>1902</v>
      </c>
      <c r="B942" s="5" t="s">
        <v>1903</v>
      </c>
      <c r="C942" s="4" t="s">
        <v>34</v>
      </c>
      <c r="D942" s="6" t="e">
        <v>#N/A</v>
      </c>
      <c r="E942" s="6" t="e">
        <v>#N/A</v>
      </c>
      <c r="F942" s="4"/>
      <c r="G942" s="4"/>
      <c r="H942" s="4"/>
      <c r="I942" s="7" t="e">
        <v>#N/A</v>
      </c>
      <c r="J942" s="7">
        <v>3.18</v>
      </c>
      <c r="K942" s="7">
        <v>3.17</v>
      </c>
      <c r="L942" s="7">
        <v>3.25</v>
      </c>
      <c r="M942" s="7">
        <v>2.54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5" t="s">
        <v>1904</v>
      </c>
      <c r="B943" s="5" t="s">
        <v>1905</v>
      </c>
      <c r="C943" s="4" t="s">
        <v>37</v>
      </c>
      <c r="D943" s="6">
        <v>0.61</v>
      </c>
      <c r="E943" s="6">
        <v>0.62</v>
      </c>
      <c r="F943" s="4"/>
      <c r="G943" s="7">
        <v>0.7</v>
      </c>
      <c r="H943" s="7">
        <v>0.14</v>
      </c>
      <c r="I943" s="7">
        <v>1.59656523E8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5" t="s">
        <v>1906</v>
      </c>
      <c r="B944" s="5" t="s">
        <v>1907</v>
      </c>
      <c r="C944" s="4" t="s">
        <v>548</v>
      </c>
      <c r="D944" s="6">
        <v>2.53</v>
      </c>
      <c r="E944" s="6">
        <v>2.53</v>
      </c>
      <c r="F944" s="7">
        <v>10.71</v>
      </c>
      <c r="G944" s="7">
        <v>3.79</v>
      </c>
      <c r="H944" s="7">
        <v>2.45</v>
      </c>
      <c r="I944" s="7">
        <v>1.049035E8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5" t="s">
        <v>1908</v>
      </c>
      <c r="B945" s="5" t="s">
        <v>1909</v>
      </c>
      <c r="C945" s="4" t="s">
        <v>34</v>
      </c>
      <c r="D945" s="6">
        <v>51.85</v>
      </c>
      <c r="E945" s="6">
        <v>51.68</v>
      </c>
      <c r="F945" s="4"/>
      <c r="G945" s="7">
        <v>56.0</v>
      </c>
      <c r="H945" s="7">
        <v>33.36</v>
      </c>
      <c r="I945" s="7" t="e">
        <v>#N/A</v>
      </c>
      <c r="J945" s="7">
        <v>3.67</v>
      </c>
      <c r="K945" s="7">
        <v>3.65</v>
      </c>
      <c r="L945" s="7">
        <v>3.84</v>
      </c>
      <c r="M945" s="7">
        <v>3.12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5" t="s">
        <v>1910</v>
      </c>
      <c r="B946" s="5" t="s">
        <v>1911</v>
      </c>
      <c r="C946" s="4" t="s">
        <v>548</v>
      </c>
      <c r="D946" s="6">
        <v>0.12</v>
      </c>
      <c r="E946" s="6">
        <v>0.12</v>
      </c>
      <c r="F946" s="4"/>
      <c r="G946" s="7">
        <v>0.2</v>
      </c>
      <c r="H946" s="7">
        <v>0.1</v>
      </c>
      <c r="I946" s="7">
        <v>8521500.0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5" t="s">
        <v>1912</v>
      </c>
      <c r="B947" s="5" t="s">
        <v>1913</v>
      </c>
      <c r="C947" s="4" t="s">
        <v>141</v>
      </c>
      <c r="D947" s="6">
        <v>5.09</v>
      </c>
      <c r="E947" s="6">
        <v>5.08</v>
      </c>
      <c r="F947" s="7">
        <v>36.86</v>
      </c>
      <c r="G947" s="7">
        <v>5.44</v>
      </c>
      <c r="H947" s="7">
        <v>3.95</v>
      </c>
      <c r="I947" s="7">
        <v>1.935667505E9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5" t="s">
        <v>1914</v>
      </c>
      <c r="B948" s="5" t="s">
        <v>1915</v>
      </c>
      <c r="C948" s="4" t="s">
        <v>60</v>
      </c>
      <c r="D948" s="6">
        <v>0.09</v>
      </c>
      <c r="E948" s="6">
        <v>0.09</v>
      </c>
      <c r="F948" s="4"/>
      <c r="G948" s="7">
        <v>0.15</v>
      </c>
      <c r="H948" s="7">
        <v>0.05</v>
      </c>
      <c r="I948" s="7">
        <v>4822409.0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5" t="s">
        <v>1916</v>
      </c>
      <c r="B949" s="5" t="s">
        <v>1917</v>
      </c>
      <c r="C949" s="4" t="s">
        <v>34</v>
      </c>
      <c r="D949" s="6">
        <v>28.8</v>
      </c>
      <c r="E949" s="6">
        <v>28.88</v>
      </c>
      <c r="F949" s="4"/>
      <c r="G949" s="7">
        <v>29.9</v>
      </c>
      <c r="H949" s="7">
        <v>24.98</v>
      </c>
      <c r="I949" s="7" t="e">
        <v>#N/A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5" t="s">
        <v>1918</v>
      </c>
      <c r="B950" s="5" t="s">
        <v>1919</v>
      </c>
      <c r="C950" s="4" t="s">
        <v>76</v>
      </c>
      <c r="D950" s="6">
        <v>0.01</v>
      </c>
      <c r="E950" s="6">
        <v>0.01</v>
      </c>
      <c r="F950" s="4"/>
      <c r="G950" s="7">
        <v>0.02</v>
      </c>
      <c r="H950" s="7">
        <v>0.01</v>
      </c>
      <c r="I950" s="7">
        <v>5033616.0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5" t="s">
        <v>1920</v>
      </c>
      <c r="B951" s="5" t="s">
        <v>1921</v>
      </c>
      <c r="C951" s="4" t="s">
        <v>37</v>
      </c>
      <c r="D951" s="6">
        <v>0.34</v>
      </c>
      <c r="E951" s="6">
        <v>0.32</v>
      </c>
      <c r="F951" s="4"/>
      <c r="G951" s="7">
        <v>0.34</v>
      </c>
      <c r="H951" s="7">
        <v>0.09</v>
      </c>
      <c r="I951" s="7">
        <v>3.85487524E8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5" t="s">
        <v>1922</v>
      </c>
      <c r="B952" s="5" t="s">
        <v>1923</v>
      </c>
      <c r="C952" s="4" t="s">
        <v>34</v>
      </c>
      <c r="D952" s="6" t="e">
        <v>#N/A</v>
      </c>
      <c r="E952" s="6" t="e">
        <v>#N/A</v>
      </c>
      <c r="F952" s="4"/>
      <c r="G952" s="4"/>
      <c r="H952" s="4"/>
      <c r="I952" s="7" t="e">
        <v>#N/A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5" t="s">
        <v>1924</v>
      </c>
      <c r="B953" s="5" t="s">
        <v>1925</v>
      </c>
      <c r="C953" s="4" t="s">
        <v>34</v>
      </c>
      <c r="D953" s="6">
        <v>26.63</v>
      </c>
      <c r="E953" s="6">
        <v>26.67</v>
      </c>
      <c r="F953" s="4"/>
      <c r="G953" s="7">
        <v>28.02</v>
      </c>
      <c r="H953" s="7">
        <v>22.59</v>
      </c>
      <c r="I953" s="7" t="e">
        <v>#N/A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5" t="s">
        <v>1926</v>
      </c>
      <c r="B954" s="5" t="s">
        <v>1927</v>
      </c>
      <c r="C954" s="4" t="s">
        <v>169</v>
      </c>
      <c r="D954" s="6">
        <v>1.67</v>
      </c>
      <c r="E954" s="6">
        <v>1.67</v>
      </c>
      <c r="F954" s="7">
        <v>52.82</v>
      </c>
      <c r="G954" s="7">
        <v>1.87</v>
      </c>
      <c r="H954" s="7">
        <v>1.65</v>
      </c>
      <c r="I954" s="7">
        <v>9.08341395E8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5" t="s">
        <v>1928</v>
      </c>
      <c r="B955" s="5" t="s">
        <v>1929</v>
      </c>
      <c r="C955" s="4" t="s">
        <v>86</v>
      </c>
      <c r="D955" s="6">
        <v>7.3</v>
      </c>
      <c r="E955" s="6">
        <v>7.25</v>
      </c>
      <c r="F955" s="7">
        <v>37.28</v>
      </c>
      <c r="G955" s="7">
        <v>7.63</v>
      </c>
      <c r="H955" s="7">
        <v>2.43</v>
      </c>
      <c r="I955" s="7">
        <v>8.338994617E9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5" t="s">
        <v>1930</v>
      </c>
      <c r="B956" s="5" t="s">
        <v>1931</v>
      </c>
      <c r="C956" s="4" t="s">
        <v>416</v>
      </c>
      <c r="D956" s="6">
        <v>30.82</v>
      </c>
      <c r="E956" s="6">
        <v>30.98</v>
      </c>
      <c r="F956" s="7">
        <v>36.53</v>
      </c>
      <c r="G956" s="7">
        <v>39.15</v>
      </c>
      <c r="H956" s="7">
        <v>25.01</v>
      </c>
      <c r="I956" s="7">
        <v>6.3020519635E10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5" t="s">
        <v>1932</v>
      </c>
      <c r="B957" s="5" t="s">
        <v>1933</v>
      </c>
      <c r="C957" s="4" t="s">
        <v>17</v>
      </c>
      <c r="D957" s="6">
        <v>0.07</v>
      </c>
      <c r="E957" s="6">
        <v>0.07</v>
      </c>
      <c r="F957" s="7">
        <v>14.78</v>
      </c>
      <c r="G957" s="7">
        <v>0.12</v>
      </c>
      <c r="H957" s="7">
        <v>0.02</v>
      </c>
      <c r="I957" s="7">
        <v>1.76832569E8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5" t="s">
        <v>1934</v>
      </c>
      <c r="B958" s="5" t="s">
        <v>1935</v>
      </c>
      <c r="C958" s="4" t="s">
        <v>17</v>
      </c>
      <c r="D958" s="6">
        <v>0.06</v>
      </c>
      <c r="E958" s="6">
        <v>0.06</v>
      </c>
      <c r="F958" s="4"/>
      <c r="G958" s="7">
        <v>0.18</v>
      </c>
      <c r="H958" s="7">
        <v>0.04</v>
      </c>
      <c r="I958" s="7">
        <v>1.2318797E7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5" t="s">
        <v>1936</v>
      </c>
      <c r="B959" s="5" t="s">
        <v>1937</v>
      </c>
      <c r="C959" s="4" t="s">
        <v>34</v>
      </c>
      <c r="D959" s="6">
        <v>13.45</v>
      </c>
      <c r="E959" s="6">
        <v>13.44</v>
      </c>
      <c r="F959" s="4"/>
      <c r="G959" s="7">
        <v>13.71</v>
      </c>
      <c r="H959" s="7">
        <v>6.43</v>
      </c>
      <c r="I959" s="7" t="e">
        <v>#N/A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5" t="s">
        <v>1938</v>
      </c>
      <c r="B960" s="5" t="s">
        <v>1939</v>
      </c>
      <c r="C960" s="4" t="s">
        <v>34</v>
      </c>
      <c r="D960" s="6" t="e">
        <v>#N/A</v>
      </c>
      <c r="E960" s="6" t="e">
        <v>#N/A</v>
      </c>
      <c r="F960" s="4"/>
      <c r="G960" s="4"/>
      <c r="H960" s="4"/>
      <c r="I960" s="7" t="e">
        <v>#N/A</v>
      </c>
      <c r="J960" s="7">
        <v>4.94</v>
      </c>
      <c r="K960" s="7">
        <v>4.93</v>
      </c>
      <c r="L960" s="7">
        <v>5.16</v>
      </c>
      <c r="M960" s="7">
        <v>4.29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5" t="s">
        <v>1940</v>
      </c>
      <c r="B961" s="5" t="s">
        <v>1941</v>
      </c>
      <c r="C961" s="4" t="s">
        <v>126</v>
      </c>
      <c r="D961" s="6">
        <v>7.21</v>
      </c>
      <c r="E961" s="6">
        <v>7.18</v>
      </c>
      <c r="F961" s="7">
        <v>40.0</v>
      </c>
      <c r="G961" s="7">
        <v>9.13</v>
      </c>
      <c r="H961" s="7">
        <v>6.34</v>
      </c>
      <c r="I961" s="7">
        <v>1.602787334E9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5" t="s">
        <v>1942</v>
      </c>
      <c r="B962" s="5" t="s">
        <v>1943</v>
      </c>
      <c r="C962" s="4" t="s">
        <v>34</v>
      </c>
      <c r="D962" s="6">
        <v>34.18</v>
      </c>
      <c r="E962" s="6">
        <v>34.39</v>
      </c>
      <c r="F962" s="4"/>
      <c r="G962" s="7">
        <v>36.8</v>
      </c>
      <c r="H962" s="7">
        <v>21.3</v>
      </c>
      <c r="I962" s="7" t="e">
        <v>#N/A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5" t="s">
        <v>1944</v>
      </c>
      <c r="B963" s="5" t="s">
        <v>1945</v>
      </c>
      <c r="C963" s="4" t="s">
        <v>954</v>
      </c>
      <c r="D963" s="6">
        <v>2.08</v>
      </c>
      <c r="E963" s="6">
        <v>2.06</v>
      </c>
      <c r="F963" s="4"/>
      <c r="G963" s="7">
        <v>2.25</v>
      </c>
      <c r="H963" s="7">
        <v>1.91</v>
      </c>
      <c r="I963" s="7">
        <v>2.668456E9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5" t="s">
        <v>1946</v>
      </c>
      <c r="B964" s="5" t="s">
        <v>1947</v>
      </c>
      <c r="C964" s="4" t="s">
        <v>121</v>
      </c>
      <c r="D964" s="6">
        <v>4.39</v>
      </c>
      <c r="E964" s="6">
        <v>4.45</v>
      </c>
      <c r="F964" s="7">
        <v>22.1</v>
      </c>
      <c r="G964" s="7">
        <v>4.62</v>
      </c>
      <c r="H964" s="7">
        <v>2.46</v>
      </c>
      <c r="I964" s="7">
        <v>7.45377638E8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5" t="s">
        <v>1948</v>
      </c>
      <c r="B965" s="5" t="s">
        <v>1949</v>
      </c>
      <c r="C965" s="4" t="s">
        <v>17</v>
      </c>
      <c r="D965" s="6">
        <v>0.05</v>
      </c>
      <c r="E965" s="6">
        <v>0.05</v>
      </c>
      <c r="F965" s="4"/>
      <c r="G965" s="7">
        <v>0.12</v>
      </c>
      <c r="H965" s="7">
        <v>0.01</v>
      </c>
      <c r="I965" s="7">
        <v>1.9634751E7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5" t="s">
        <v>1950</v>
      </c>
      <c r="B966" s="5" t="s">
        <v>1951</v>
      </c>
      <c r="C966" s="4" t="s">
        <v>121</v>
      </c>
      <c r="D966" s="6">
        <v>6.2</v>
      </c>
      <c r="E966" s="6">
        <v>6.29</v>
      </c>
      <c r="F966" s="7">
        <v>32.0</v>
      </c>
      <c r="G966" s="7">
        <v>6.98</v>
      </c>
      <c r="H966" s="7">
        <v>2.32</v>
      </c>
      <c r="I966" s="7">
        <v>1.125458065E9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5" t="s">
        <v>1952</v>
      </c>
      <c r="B967" s="5" t="s">
        <v>1953</v>
      </c>
      <c r="C967" s="4" t="s">
        <v>34</v>
      </c>
      <c r="D967" s="6">
        <v>29.09</v>
      </c>
      <c r="E967" s="6">
        <v>29.13</v>
      </c>
      <c r="F967" s="4"/>
      <c r="G967" s="7">
        <v>30.02</v>
      </c>
      <c r="H967" s="7">
        <v>26.04</v>
      </c>
      <c r="I967" s="7" t="e">
        <v>#N/A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5" t="s">
        <v>1954</v>
      </c>
      <c r="B968" s="5" t="s">
        <v>1955</v>
      </c>
      <c r="C968" s="4" t="s">
        <v>34</v>
      </c>
      <c r="D968" s="6" t="e">
        <v>#N/A</v>
      </c>
      <c r="E968" s="6" t="e">
        <v>#N/A</v>
      </c>
      <c r="F968" s="4"/>
      <c r="G968" s="4"/>
      <c r="H968" s="4"/>
      <c r="I968" s="7" t="e">
        <v>#N/A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5" t="s">
        <v>1956</v>
      </c>
      <c r="B969" s="5" t="s">
        <v>1957</v>
      </c>
      <c r="C969" s="4" t="s">
        <v>34</v>
      </c>
      <c r="D969" s="6">
        <v>24.08</v>
      </c>
      <c r="E969" s="6">
        <v>24.24</v>
      </c>
      <c r="F969" s="4"/>
      <c r="G969" s="7">
        <v>25.02</v>
      </c>
      <c r="H969" s="7">
        <v>23.69</v>
      </c>
      <c r="I969" s="7" t="e">
        <v>#N/A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5" t="s">
        <v>1958</v>
      </c>
      <c r="B970" s="5" t="s">
        <v>1959</v>
      </c>
      <c r="C970" s="4" t="s">
        <v>141</v>
      </c>
      <c r="D970" s="6">
        <v>2.28</v>
      </c>
      <c r="E970" s="6">
        <v>2.3</v>
      </c>
      <c r="F970" s="4"/>
      <c r="G970" s="7">
        <v>2.45</v>
      </c>
      <c r="H970" s="7">
        <v>2.09</v>
      </c>
      <c r="I970" s="7">
        <v>1.2288395E8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5" t="s">
        <v>1960</v>
      </c>
      <c r="B971" s="5" t="s">
        <v>1961</v>
      </c>
      <c r="C971" s="4" t="s">
        <v>416</v>
      </c>
      <c r="D971" s="6">
        <v>2.42</v>
      </c>
      <c r="E971" s="6">
        <v>2.44</v>
      </c>
      <c r="F971" s="4"/>
      <c r="G971" s="7">
        <v>2.68</v>
      </c>
      <c r="H971" s="7">
        <v>2.12</v>
      </c>
      <c r="I971" s="7">
        <v>1.825412833E9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5" t="s">
        <v>1962</v>
      </c>
      <c r="B972" s="5" t="s">
        <v>1963</v>
      </c>
      <c r="C972" s="4" t="s">
        <v>34</v>
      </c>
      <c r="D972" s="6">
        <v>23.41</v>
      </c>
      <c r="E972" s="6">
        <v>23.43</v>
      </c>
      <c r="F972" s="4"/>
      <c r="G972" s="7">
        <v>30.0</v>
      </c>
      <c r="H972" s="7">
        <v>20.73</v>
      </c>
      <c r="I972" s="7" t="e">
        <v>#N/A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5" t="s">
        <v>1964</v>
      </c>
      <c r="B973" s="5" t="s">
        <v>1965</v>
      </c>
      <c r="C973" s="4" t="s">
        <v>17</v>
      </c>
      <c r="D973" s="6">
        <v>0.04</v>
      </c>
      <c r="E973" s="6">
        <v>0.04</v>
      </c>
      <c r="F973" s="4"/>
      <c r="G973" s="7">
        <v>0.05</v>
      </c>
      <c r="H973" s="7">
        <v>0.02</v>
      </c>
      <c r="I973" s="7">
        <v>1.18614397E8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5" t="s">
        <v>1966</v>
      </c>
      <c r="B974" s="5" t="s">
        <v>1967</v>
      </c>
      <c r="C974" s="4" t="s">
        <v>1968</v>
      </c>
      <c r="D974" s="6">
        <v>5.46</v>
      </c>
      <c r="E974" s="6">
        <v>5.42</v>
      </c>
      <c r="F974" s="7">
        <v>27.68</v>
      </c>
      <c r="G974" s="7">
        <v>5.75</v>
      </c>
      <c r="H974" s="7">
        <v>4.21</v>
      </c>
      <c r="I974" s="7">
        <v>1.0459050493E10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5" t="s">
        <v>1969</v>
      </c>
      <c r="B975" s="5" t="s">
        <v>1970</v>
      </c>
      <c r="C975" s="4" t="s">
        <v>169</v>
      </c>
      <c r="D975" s="6">
        <v>1.76</v>
      </c>
      <c r="E975" s="6">
        <v>1.75</v>
      </c>
      <c r="F975" s="7">
        <v>7.61</v>
      </c>
      <c r="G975" s="7">
        <v>2.61</v>
      </c>
      <c r="H975" s="7">
        <v>1.43</v>
      </c>
      <c r="I975" s="7">
        <v>5.186448931E9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5" t="s">
        <v>1971</v>
      </c>
      <c r="B976" s="5" t="s">
        <v>1972</v>
      </c>
      <c r="C976" s="4" t="s">
        <v>17</v>
      </c>
      <c r="D976" s="6">
        <v>0.2</v>
      </c>
      <c r="E976" s="6">
        <v>0.2</v>
      </c>
      <c r="F976" s="4"/>
      <c r="G976" s="7">
        <v>0.24</v>
      </c>
      <c r="H976" s="7">
        <v>0.1</v>
      </c>
      <c r="I976" s="7">
        <v>7115432.0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5" t="s">
        <v>1973</v>
      </c>
      <c r="B977" s="5" t="s">
        <v>1974</v>
      </c>
      <c r="C977" s="4" t="s">
        <v>37</v>
      </c>
      <c r="D977" s="6">
        <v>0.12</v>
      </c>
      <c r="E977" s="6">
        <v>0.11</v>
      </c>
      <c r="F977" s="4"/>
      <c r="G977" s="7">
        <v>0.14</v>
      </c>
      <c r="H977" s="7">
        <v>0.04</v>
      </c>
      <c r="I977" s="7">
        <v>1.9520548E7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5" t="s">
        <v>1975</v>
      </c>
      <c r="B978" s="5" t="s">
        <v>1976</v>
      </c>
      <c r="C978" s="4" t="s">
        <v>34</v>
      </c>
      <c r="D978" s="6">
        <v>19.84</v>
      </c>
      <c r="E978" s="6">
        <v>19.55</v>
      </c>
      <c r="F978" s="4"/>
      <c r="G978" s="7">
        <v>22.45</v>
      </c>
      <c r="H978" s="7">
        <v>18.78</v>
      </c>
      <c r="I978" s="7" t="e">
        <v>#N/A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5" t="s">
        <v>1977</v>
      </c>
      <c r="B979" s="5" t="s">
        <v>1978</v>
      </c>
      <c r="C979" s="4" t="s">
        <v>17</v>
      </c>
      <c r="D979" s="6">
        <v>0.03</v>
      </c>
      <c r="E979" s="6">
        <v>0.02</v>
      </c>
      <c r="F979" s="4"/>
      <c r="G979" s="7">
        <v>0.03</v>
      </c>
      <c r="H979" s="7">
        <v>0.01</v>
      </c>
      <c r="I979" s="7">
        <v>2.2690476E7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5" t="s">
        <v>1979</v>
      </c>
      <c r="B980" s="5" t="s">
        <v>1980</v>
      </c>
      <c r="C980" s="4" t="s">
        <v>34</v>
      </c>
      <c r="D980" s="6">
        <v>32.99</v>
      </c>
      <c r="E980" s="6">
        <v>33.52</v>
      </c>
      <c r="F980" s="4"/>
      <c r="G980" s="7">
        <v>35.99</v>
      </c>
      <c r="H980" s="7">
        <v>28.47</v>
      </c>
      <c r="I980" s="7" t="e">
        <v>#N/A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5" t="s">
        <v>1981</v>
      </c>
      <c r="B981" s="5" t="s">
        <v>1982</v>
      </c>
      <c r="C981" s="4" t="s">
        <v>34</v>
      </c>
      <c r="D981" s="6" t="e">
        <v>#N/A</v>
      </c>
      <c r="E981" s="6" t="e">
        <v>#N/A</v>
      </c>
      <c r="F981" s="4"/>
      <c r="G981" s="4"/>
      <c r="H981" s="4"/>
      <c r="I981" s="7" t="e">
        <v>#N/A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5" t="s">
        <v>1983</v>
      </c>
      <c r="B982" s="5" t="s">
        <v>1984</v>
      </c>
      <c r="C982" s="4" t="s">
        <v>34</v>
      </c>
      <c r="D982" s="6">
        <v>24.56</v>
      </c>
      <c r="E982" s="6">
        <v>24.49</v>
      </c>
      <c r="F982" s="4"/>
      <c r="G982" s="7">
        <v>25.32</v>
      </c>
      <c r="H982" s="7">
        <v>23.96</v>
      </c>
      <c r="I982" s="7" t="e">
        <v>#N/A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5" t="s">
        <v>1985</v>
      </c>
      <c r="B983" s="5" t="s">
        <v>1986</v>
      </c>
      <c r="C983" s="4" t="s">
        <v>210</v>
      </c>
      <c r="D983" s="6">
        <v>0.28</v>
      </c>
      <c r="E983" s="6">
        <v>0.28</v>
      </c>
      <c r="F983" s="7">
        <v>6.99</v>
      </c>
      <c r="G983" s="7">
        <v>0.31</v>
      </c>
      <c r="H983" s="7">
        <v>0.17</v>
      </c>
      <c r="I983" s="7">
        <v>3.23951382E8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5" t="s">
        <v>1985</v>
      </c>
      <c r="B984" s="5" t="s">
        <v>1986</v>
      </c>
      <c r="C984" s="4" t="s">
        <v>210</v>
      </c>
      <c r="D984" s="6">
        <v>0.28</v>
      </c>
      <c r="E984" s="6">
        <v>0.28</v>
      </c>
      <c r="F984" s="7">
        <v>6.99</v>
      </c>
      <c r="G984" s="7">
        <v>0.31</v>
      </c>
      <c r="H984" s="7">
        <v>0.17</v>
      </c>
      <c r="I984" s="7">
        <v>3.23951382E8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5" t="s">
        <v>1987</v>
      </c>
      <c r="B985" s="5" t="s">
        <v>1988</v>
      </c>
      <c r="C985" s="4" t="s">
        <v>76</v>
      </c>
      <c r="D985" s="6">
        <v>0.04</v>
      </c>
      <c r="E985" s="6">
        <v>0.04</v>
      </c>
      <c r="F985" s="4"/>
      <c r="G985" s="7">
        <v>0.09</v>
      </c>
      <c r="H985" s="7">
        <v>0.03</v>
      </c>
      <c r="I985" s="7">
        <v>2.2911772E7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5" t="s">
        <v>1989</v>
      </c>
      <c r="B986" s="5" t="s">
        <v>1990</v>
      </c>
      <c r="C986" s="4" t="s">
        <v>17</v>
      </c>
      <c r="D986" s="6">
        <v>0.86</v>
      </c>
      <c r="E986" s="6">
        <v>0.85</v>
      </c>
      <c r="F986" s="4"/>
      <c r="G986" s="7">
        <v>0.91</v>
      </c>
      <c r="H986" s="7">
        <v>0.68</v>
      </c>
      <c r="I986" s="7">
        <v>2.50830671E8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5" t="s">
        <v>1991</v>
      </c>
      <c r="B987" s="5" t="s">
        <v>1992</v>
      </c>
      <c r="C987" s="4" t="s">
        <v>34</v>
      </c>
      <c r="D987" s="6" t="e">
        <v>#N/A</v>
      </c>
      <c r="E987" s="6" t="e">
        <v>#N/A</v>
      </c>
      <c r="F987" s="4"/>
      <c r="G987" s="4"/>
      <c r="H987" s="4"/>
      <c r="I987" s="7" t="e">
        <v>#N/A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5" t="s">
        <v>1993</v>
      </c>
      <c r="B988" s="5" t="s">
        <v>1994</v>
      </c>
      <c r="C988" s="4" t="s">
        <v>86</v>
      </c>
      <c r="D988" s="6">
        <v>0.02</v>
      </c>
      <c r="E988" s="6">
        <v>0.02</v>
      </c>
      <c r="F988" s="4"/>
      <c r="G988" s="7">
        <v>0.03</v>
      </c>
      <c r="H988" s="7">
        <v>0.01</v>
      </c>
      <c r="I988" s="7">
        <v>9895519.0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5" t="s">
        <v>1995</v>
      </c>
      <c r="B989" s="5" t="s">
        <v>1996</v>
      </c>
      <c r="C989" s="4" t="s">
        <v>86</v>
      </c>
      <c r="D989" s="6">
        <v>0.04</v>
      </c>
      <c r="E989" s="6">
        <v>0.04</v>
      </c>
      <c r="F989" s="4"/>
      <c r="G989" s="7">
        <v>0.04</v>
      </c>
      <c r="H989" s="7">
        <v>0.02</v>
      </c>
      <c r="I989" s="7">
        <v>3.8875364E7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5" t="s">
        <v>1997</v>
      </c>
      <c r="B990" s="5" t="s">
        <v>1998</v>
      </c>
      <c r="C990" s="4" t="s">
        <v>60</v>
      </c>
      <c r="D990" s="6">
        <v>0.25</v>
      </c>
      <c r="E990" s="6">
        <v>0.25</v>
      </c>
      <c r="F990" s="4"/>
      <c r="G990" s="7">
        <v>0.69</v>
      </c>
      <c r="H990" s="7">
        <v>0.22</v>
      </c>
      <c r="I990" s="7">
        <v>5.5649007E7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5" t="s">
        <v>1999</v>
      </c>
      <c r="B991" s="5" t="s">
        <v>2000</v>
      </c>
      <c r="C991" s="4" t="s">
        <v>34</v>
      </c>
      <c r="D991" s="6">
        <v>13.61</v>
      </c>
      <c r="E991" s="6">
        <v>13.53</v>
      </c>
      <c r="F991" s="4"/>
      <c r="G991" s="7">
        <v>13.79</v>
      </c>
      <c r="H991" s="7">
        <v>13.53</v>
      </c>
      <c r="I991" s="7" t="e">
        <v>#N/A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5" t="s">
        <v>2001</v>
      </c>
      <c r="B992" s="5" t="s">
        <v>2002</v>
      </c>
      <c r="C992" s="4" t="s">
        <v>37</v>
      </c>
      <c r="D992" s="6">
        <v>0.04</v>
      </c>
      <c r="E992" s="6">
        <v>0.04</v>
      </c>
      <c r="F992" s="4"/>
      <c r="G992" s="7">
        <v>0.08</v>
      </c>
      <c r="H992" s="7">
        <v>0.02</v>
      </c>
      <c r="I992" s="7">
        <v>641672.0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5" t="s">
        <v>2003</v>
      </c>
      <c r="B993" s="5" t="s">
        <v>2004</v>
      </c>
      <c r="C993" s="4" t="s">
        <v>961</v>
      </c>
      <c r="D993" s="6">
        <v>0.04</v>
      </c>
      <c r="E993" s="6">
        <v>0.04</v>
      </c>
      <c r="F993" s="4"/>
      <c r="G993" s="7">
        <v>0.05</v>
      </c>
      <c r="H993" s="7">
        <v>0.02</v>
      </c>
      <c r="I993" s="7">
        <v>4.369885E7</v>
      </c>
      <c r="J993" s="7">
        <v>62.1</v>
      </c>
      <c r="K993" s="7">
        <v>62.66</v>
      </c>
      <c r="L993" s="7">
        <v>68.38</v>
      </c>
      <c r="M993" s="7">
        <v>52.64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5" t="s">
        <v>2005</v>
      </c>
      <c r="B994" s="5" t="s">
        <v>2006</v>
      </c>
      <c r="C994" s="4" t="s">
        <v>17</v>
      </c>
      <c r="D994" s="6">
        <v>0.02</v>
      </c>
      <c r="E994" s="6">
        <v>0.02</v>
      </c>
      <c r="F994" s="4"/>
      <c r="G994" s="7">
        <v>0.03</v>
      </c>
      <c r="H994" s="7">
        <v>0.01</v>
      </c>
      <c r="I994" s="7">
        <v>9651880.0</v>
      </c>
      <c r="J994" s="7">
        <v>60.62</v>
      </c>
      <c r="K994" s="7">
        <v>61.28</v>
      </c>
      <c r="L994" s="7">
        <v>62.01</v>
      </c>
      <c r="M994" s="7">
        <v>46.59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5" t="s">
        <v>2007</v>
      </c>
      <c r="B995" s="5" t="s">
        <v>2008</v>
      </c>
      <c r="C995" s="4" t="s">
        <v>162</v>
      </c>
      <c r="D995" s="6">
        <v>0.04</v>
      </c>
      <c r="E995" s="6">
        <v>0.04</v>
      </c>
      <c r="F995" s="4"/>
      <c r="G995" s="7">
        <v>0.04</v>
      </c>
      <c r="H995" s="7">
        <v>0.04</v>
      </c>
      <c r="I995" s="7">
        <v>9329892.0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5" t="s">
        <v>2009</v>
      </c>
      <c r="B996" s="5" t="s">
        <v>2010</v>
      </c>
      <c r="C996" s="4" t="s">
        <v>14</v>
      </c>
      <c r="D996" s="6">
        <v>0.02</v>
      </c>
      <c r="E996" s="6">
        <v>0.02</v>
      </c>
      <c r="F996" s="4"/>
      <c r="G996" s="7">
        <v>0.02</v>
      </c>
      <c r="H996" s="7">
        <v>0.02</v>
      </c>
      <c r="I996" s="7">
        <v>3793220.0</v>
      </c>
      <c r="J996" s="7">
        <v>84.74</v>
      </c>
      <c r="K996" s="7">
        <v>84.66</v>
      </c>
      <c r="L996" s="7">
        <v>87.06</v>
      </c>
      <c r="M996" s="7">
        <v>69.13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5" t="s">
        <v>2011</v>
      </c>
      <c r="B997" s="5" t="s">
        <v>2012</v>
      </c>
      <c r="C997" s="4" t="s">
        <v>14</v>
      </c>
      <c r="D997" s="6">
        <v>0.08</v>
      </c>
      <c r="E997" s="6">
        <v>0.08</v>
      </c>
      <c r="F997" s="4"/>
      <c r="G997" s="7">
        <v>0.12</v>
      </c>
      <c r="H997" s="7">
        <v>0.06</v>
      </c>
      <c r="I997" s="7">
        <v>3.076053E7</v>
      </c>
      <c r="J997" s="7">
        <v>73.29</v>
      </c>
      <c r="K997" s="7">
        <v>72.96</v>
      </c>
      <c r="L997" s="7">
        <v>73.37</v>
      </c>
      <c r="M997" s="7">
        <v>53.47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5" t="s">
        <v>2013</v>
      </c>
      <c r="B998" s="5" t="s">
        <v>2014</v>
      </c>
      <c r="C998" s="4" t="s">
        <v>14</v>
      </c>
      <c r="D998" s="6">
        <v>7.4</v>
      </c>
      <c r="E998" s="6">
        <v>7.38</v>
      </c>
      <c r="F998" s="4"/>
      <c r="G998" s="7">
        <v>12.08</v>
      </c>
      <c r="H998" s="7">
        <v>6.34</v>
      </c>
      <c r="I998" s="7">
        <v>9.544424E8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5" t="s">
        <v>2015</v>
      </c>
      <c r="B999" s="5" t="s">
        <v>2016</v>
      </c>
      <c r="C999" s="4" t="s">
        <v>1470</v>
      </c>
      <c r="D999" s="6">
        <v>0.3</v>
      </c>
      <c r="E999" s="6">
        <v>0.3</v>
      </c>
      <c r="F999" s="4"/>
      <c r="G999" s="7">
        <v>0.69</v>
      </c>
      <c r="H999" s="7">
        <v>0.27</v>
      </c>
      <c r="I999" s="7">
        <v>5.719974E7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5" t="s">
        <v>2017</v>
      </c>
      <c r="B1000" s="5" t="s">
        <v>2018</v>
      </c>
      <c r="C1000" s="4" t="s">
        <v>26</v>
      </c>
      <c r="D1000" s="6">
        <v>0.08</v>
      </c>
      <c r="E1000" s="6">
        <v>0.08</v>
      </c>
      <c r="F1000" s="4"/>
      <c r="G1000" s="7">
        <v>0.09</v>
      </c>
      <c r="H1000" s="7">
        <v>0.05</v>
      </c>
      <c r="I1000" s="7">
        <v>3.2892076E7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5" t="s">
        <v>2017</v>
      </c>
      <c r="B1001" s="5" t="s">
        <v>2018</v>
      </c>
      <c r="C1001" s="4" t="s">
        <v>26</v>
      </c>
      <c r="D1001" s="6">
        <v>0.08</v>
      </c>
      <c r="E1001" s="6">
        <v>0.08</v>
      </c>
      <c r="F1001" s="4"/>
      <c r="G1001" s="7">
        <v>0.09</v>
      </c>
      <c r="H1001" s="7">
        <v>0.05</v>
      </c>
      <c r="I1001" s="7">
        <v>3.2892076E7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8" t="s">
        <v>2017</v>
      </c>
      <c r="B1002" s="8" t="s">
        <v>2018</v>
      </c>
      <c r="C1002" s="9" t="s">
        <v>26</v>
      </c>
      <c r="D1002" s="10">
        <v>0.08</v>
      </c>
      <c r="E1002" s="6">
        <v>0.08</v>
      </c>
      <c r="F1002" s="4"/>
      <c r="G1002" s="7">
        <v>0.09</v>
      </c>
      <c r="H1002" s="7">
        <v>0.05</v>
      </c>
      <c r="I1002" s="7">
        <v>3.2892076E7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5" t="s">
        <v>2019</v>
      </c>
      <c r="B1003" s="5" t="s">
        <v>2020</v>
      </c>
      <c r="C1003" s="4" t="s">
        <v>17</v>
      </c>
      <c r="D1003" s="6">
        <v>0.1</v>
      </c>
      <c r="E1003" s="6">
        <v>0.1</v>
      </c>
      <c r="F1003" s="7">
        <v>13.22</v>
      </c>
      <c r="G1003" s="7">
        <v>0.1</v>
      </c>
      <c r="H1003" s="7">
        <v>0.04</v>
      </c>
      <c r="I1003" s="7">
        <v>2.0720828E7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5" t="s">
        <v>2021</v>
      </c>
      <c r="B1004" s="5" t="s">
        <v>2022</v>
      </c>
      <c r="C1004" s="4" t="s">
        <v>68</v>
      </c>
      <c r="D1004" s="6">
        <v>0.14</v>
      </c>
      <c r="E1004" s="6">
        <v>0.14</v>
      </c>
      <c r="F1004" s="4"/>
      <c r="G1004" s="7">
        <v>0.24</v>
      </c>
      <c r="H1004" s="7">
        <v>0.09</v>
      </c>
      <c r="I1004" s="7">
        <v>4.336855E7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5" t="s">
        <v>2023</v>
      </c>
      <c r="B1005" s="5" t="s">
        <v>2024</v>
      </c>
      <c r="C1005" s="4" t="s">
        <v>169</v>
      </c>
      <c r="D1005" s="6">
        <v>1.42</v>
      </c>
      <c r="E1005" s="6">
        <v>1.44</v>
      </c>
      <c r="F1005" s="7">
        <v>10.21</v>
      </c>
      <c r="G1005" s="7">
        <v>1.48</v>
      </c>
      <c r="H1005" s="7">
        <v>1.24</v>
      </c>
      <c r="I1005" s="7">
        <v>2.85012122E8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5" t="s">
        <v>2025</v>
      </c>
      <c r="B1006" s="5" t="s">
        <v>2026</v>
      </c>
      <c r="C1006" s="4" t="s">
        <v>17</v>
      </c>
      <c r="D1006" s="6">
        <v>0.04</v>
      </c>
      <c r="E1006" s="6">
        <v>0.04</v>
      </c>
      <c r="F1006" s="7">
        <v>2.17</v>
      </c>
      <c r="G1006" s="7">
        <v>0.05</v>
      </c>
      <c r="H1006" s="7">
        <v>0.02</v>
      </c>
      <c r="I1006" s="7">
        <v>1.435519E7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5" t="s">
        <v>2027</v>
      </c>
      <c r="B1007" s="5" t="s">
        <v>2028</v>
      </c>
      <c r="C1007" s="4" t="s">
        <v>1666</v>
      </c>
      <c r="D1007" s="6">
        <v>2.51</v>
      </c>
      <c r="E1007" s="6">
        <v>2.54</v>
      </c>
      <c r="F1007" s="7">
        <v>15.35</v>
      </c>
      <c r="G1007" s="7">
        <v>2.79</v>
      </c>
      <c r="H1007" s="7">
        <v>2.11</v>
      </c>
      <c r="I1007" s="7">
        <v>6.65664798E8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5" t="s">
        <v>2029</v>
      </c>
      <c r="B1008" s="5" t="s">
        <v>2030</v>
      </c>
      <c r="C1008" s="4" t="s">
        <v>961</v>
      </c>
      <c r="D1008" s="6">
        <v>0.12</v>
      </c>
      <c r="E1008" s="6">
        <v>0.12</v>
      </c>
      <c r="F1008" s="7">
        <v>4.55</v>
      </c>
      <c r="G1008" s="7">
        <v>0.15</v>
      </c>
      <c r="H1008" s="7">
        <v>0.08</v>
      </c>
      <c r="I1008" s="7">
        <v>3.7214759E7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5" t="s">
        <v>2031</v>
      </c>
      <c r="B1009" s="5" t="s">
        <v>2032</v>
      </c>
      <c r="C1009" s="4" t="s">
        <v>34</v>
      </c>
      <c r="D1009" s="6">
        <v>20.36</v>
      </c>
      <c r="E1009" s="6">
        <v>20.4</v>
      </c>
      <c r="F1009" s="4"/>
      <c r="G1009" s="7">
        <v>22.2</v>
      </c>
      <c r="H1009" s="7">
        <v>19.83</v>
      </c>
      <c r="I1009" s="7" t="e">
        <v>#N/A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5" t="s">
        <v>2033</v>
      </c>
      <c r="B1010" s="5" t="s">
        <v>2034</v>
      </c>
      <c r="C1010" s="4" t="s">
        <v>34</v>
      </c>
      <c r="D1010" s="6">
        <v>14.86</v>
      </c>
      <c r="E1010" s="6">
        <v>14.76</v>
      </c>
      <c r="F1010" s="4"/>
      <c r="G1010" s="7">
        <v>15.84</v>
      </c>
      <c r="H1010" s="7">
        <v>9.94</v>
      </c>
      <c r="I1010" s="7" t="e">
        <v>#N/A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5" t="s">
        <v>2035</v>
      </c>
      <c r="B1011" s="5" t="s">
        <v>2036</v>
      </c>
      <c r="C1011" s="4" t="s">
        <v>34</v>
      </c>
      <c r="D1011" s="6">
        <v>65.27</v>
      </c>
      <c r="E1011" s="6">
        <v>64.85</v>
      </c>
      <c r="F1011" s="4"/>
      <c r="G1011" s="7">
        <v>68.51</v>
      </c>
      <c r="H1011" s="7">
        <v>42.07</v>
      </c>
      <c r="I1011" s="7" t="e">
        <v>#N/A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5" t="s">
        <v>2037</v>
      </c>
      <c r="B1012" s="5" t="s">
        <v>2038</v>
      </c>
      <c r="C1012" s="4" t="s">
        <v>1049</v>
      </c>
      <c r="D1012" s="6">
        <v>21.58</v>
      </c>
      <c r="E1012" s="6">
        <v>21.65</v>
      </c>
      <c r="F1012" s="7">
        <v>157.88</v>
      </c>
      <c r="G1012" s="7">
        <v>45.99</v>
      </c>
      <c r="H1012" s="7">
        <v>20.43</v>
      </c>
      <c r="I1012" s="7">
        <v>2.20378412E9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5" t="s">
        <v>2039</v>
      </c>
      <c r="B1013" s="5" t="s">
        <v>2040</v>
      </c>
      <c r="C1013" s="4" t="s">
        <v>34</v>
      </c>
      <c r="D1013" s="6">
        <v>12.83</v>
      </c>
      <c r="E1013" s="6">
        <v>12.99</v>
      </c>
      <c r="F1013" s="4"/>
      <c r="G1013" s="7">
        <v>13.0</v>
      </c>
      <c r="H1013" s="7">
        <v>10.26</v>
      </c>
      <c r="I1013" s="7" t="e">
        <v>#N/A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5" t="s">
        <v>2041</v>
      </c>
      <c r="B1014" s="5" t="s">
        <v>2042</v>
      </c>
      <c r="C1014" s="4" t="s">
        <v>2043</v>
      </c>
      <c r="D1014" s="6">
        <v>0.01</v>
      </c>
      <c r="E1014" s="6">
        <v>0.01</v>
      </c>
      <c r="F1014" s="4"/>
      <c r="G1014" s="7">
        <v>0.03</v>
      </c>
      <c r="H1014" s="7">
        <v>0.0</v>
      </c>
      <c r="I1014" s="7">
        <v>4724160.0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5" t="s">
        <v>2044</v>
      </c>
      <c r="B1015" s="5" t="s">
        <v>2045</v>
      </c>
      <c r="C1015" s="4" t="s">
        <v>76</v>
      </c>
      <c r="D1015" s="6">
        <v>0.01</v>
      </c>
      <c r="E1015" s="6">
        <v>0.01</v>
      </c>
      <c r="F1015" s="4"/>
      <c r="G1015" s="7">
        <v>0.01</v>
      </c>
      <c r="H1015" s="7">
        <v>0.01</v>
      </c>
      <c r="I1015" s="7">
        <v>4779672.0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5" t="s">
        <v>2046</v>
      </c>
      <c r="B1016" s="5" t="s">
        <v>2047</v>
      </c>
      <c r="C1016" s="4" t="s">
        <v>34</v>
      </c>
      <c r="D1016" s="6">
        <v>14.2</v>
      </c>
      <c r="E1016" s="6">
        <v>14.33</v>
      </c>
      <c r="F1016" s="4"/>
      <c r="G1016" s="7">
        <v>15.86</v>
      </c>
      <c r="H1016" s="7">
        <v>12.4</v>
      </c>
      <c r="I1016" s="7" t="e">
        <v>#N/A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5" t="s">
        <v>2048</v>
      </c>
      <c r="B1017" s="5" t="s">
        <v>2049</v>
      </c>
      <c r="C1017" s="4" t="s">
        <v>31</v>
      </c>
      <c r="D1017" s="6">
        <v>0.03</v>
      </c>
      <c r="E1017" s="6">
        <v>0.03</v>
      </c>
      <c r="F1017" s="4"/>
      <c r="G1017" s="7">
        <v>0.09</v>
      </c>
      <c r="H1017" s="7">
        <v>0.02</v>
      </c>
      <c r="I1017" s="7">
        <v>9634000.0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5" t="s">
        <v>2050</v>
      </c>
      <c r="B1018" s="5" t="s">
        <v>2051</v>
      </c>
      <c r="C1018" s="4" t="s">
        <v>17</v>
      </c>
      <c r="D1018" s="6">
        <v>0.21</v>
      </c>
      <c r="E1018" s="6">
        <v>0.18</v>
      </c>
      <c r="F1018" s="4"/>
      <c r="G1018" s="7">
        <v>0.25</v>
      </c>
      <c r="H1018" s="7">
        <v>0.04</v>
      </c>
      <c r="I1018" s="7">
        <v>8.2438822E7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5" t="s">
        <v>2052</v>
      </c>
      <c r="B1019" s="5" t="s">
        <v>2053</v>
      </c>
      <c r="C1019" s="4" t="s">
        <v>447</v>
      </c>
      <c r="D1019" s="6">
        <v>0.52</v>
      </c>
      <c r="E1019" s="6">
        <v>0.52</v>
      </c>
      <c r="F1019" s="4"/>
      <c r="G1019" s="7">
        <v>1.03</v>
      </c>
      <c r="H1019" s="7">
        <v>0.25</v>
      </c>
      <c r="I1019" s="7">
        <v>1.14261467E8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5" t="s">
        <v>2054</v>
      </c>
      <c r="B1020" s="5" t="s">
        <v>2055</v>
      </c>
      <c r="C1020" s="4" t="s">
        <v>17</v>
      </c>
      <c r="D1020" s="6">
        <v>0.6</v>
      </c>
      <c r="E1020" s="6">
        <v>0.57</v>
      </c>
      <c r="F1020" s="4"/>
      <c r="G1020" s="7">
        <v>0.63</v>
      </c>
      <c r="H1020" s="7">
        <v>0.17</v>
      </c>
      <c r="I1020" s="7">
        <v>2.1119764E8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5" t="s">
        <v>2056</v>
      </c>
      <c r="B1021" s="5" t="s">
        <v>2057</v>
      </c>
      <c r="C1021" s="4" t="s">
        <v>17</v>
      </c>
      <c r="D1021" s="6">
        <v>0.11</v>
      </c>
      <c r="E1021" s="6">
        <v>0.11</v>
      </c>
      <c r="F1021" s="4"/>
      <c r="G1021" s="7">
        <v>0.11</v>
      </c>
      <c r="H1021" s="7">
        <v>0.04</v>
      </c>
      <c r="I1021" s="7">
        <v>3.517664E7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5" t="s">
        <v>2058</v>
      </c>
      <c r="B1022" s="5" t="s">
        <v>2059</v>
      </c>
      <c r="C1022" s="4" t="s">
        <v>34</v>
      </c>
      <c r="D1022" s="6" t="e">
        <v>#N/A</v>
      </c>
      <c r="E1022" s="6" t="e">
        <v>#N/A</v>
      </c>
      <c r="F1022" s="4"/>
      <c r="G1022" s="4"/>
      <c r="H1022" s="4"/>
      <c r="I1022" s="7" t="e">
        <v>#N/A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5" t="s">
        <v>2060</v>
      </c>
      <c r="B1023" s="5" t="s">
        <v>2061</v>
      </c>
      <c r="C1023" s="4" t="s">
        <v>76</v>
      </c>
      <c r="D1023" s="6">
        <v>0.0</v>
      </c>
      <c r="E1023" s="6">
        <v>0.0</v>
      </c>
      <c r="F1023" s="4"/>
      <c r="G1023" s="7">
        <v>0.0</v>
      </c>
      <c r="H1023" s="7">
        <v>0.0</v>
      </c>
      <c r="I1023" s="7">
        <v>4312440.0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5" t="s">
        <v>2062</v>
      </c>
      <c r="B1024" s="5" t="s">
        <v>2063</v>
      </c>
      <c r="C1024" s="4" t="s">
        <v>169</v>
      </c>
      <c r="D1024" s="6">
        <v>0.03</v>
      </c>
      <c r="E1024" s="6">
        <v>0.03</v>
      </c>
      <c r="F1024" s="4"/>
      <c r="G1024" s="7">
        <v>0.93</v>
      </c>
      <c r="H1024" s="7">
        <v>0.02</v>
      </c>
      <c r="I1024" s="7">
        <v>601599.0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5" t="s">
        <v>2064</v>
      </c>
      <c r="B1025" s="5" t="s">
        <v>2065</v>
      </c>
      <c r="C1025" s="4" t="s">
        <v>37</v>
      </c>
      <c r="D1025" s="6">
        <v>1.44</v>
      </c>
      <c r="E1025" s="6">
        <v>1.39</v>
      </c>
      <c r="F1025" s="4"/>
      <c r="G1025" s="7">
        <v>1.48</v>
      </c>
      <c r="H1025" s="7">
        <v>0.4</v>
      </c>
      <c r="I1025" s="7">
        <v>2.55688858E8</v>
      </c>
      <c r="J1025" s="7">
        <v>0.002</v>
      </c>
      <c r="K1025" s="7">
        <v>0.002</v>
      </c>
      <c r="L1025" s="7">
        <v>0.002</v>
      </c>
      <c r="M1025" s="7">
        <v>0.002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5" t="s">
        <v>2066</v>
      </c>
      <c r="B1026" s="5" t="s">
        <v>2067</v>
      </c>
      <c r="C1026" s="4" t="s">
        <v>501</v>
      </c>
      <c r="D1026" s="6">
        <v>0.28</v>
      </c>
      <c r="E1026" s="6">
        <v>0.28</v>
      </c>
      <c r="F1026" s="4"/>
      <c r="G1026" s="7">
        <v>0.53</v>
      </c>
      <c r="H1026" s="7">
        <v>0.15</v>
      </c>
      <c r="I1026" s="7">
        <v>2.926454E7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5" t="s">
        <v>2068</v>
      </c>
      <c r="B1027" s="5" t="s">
        <v>2069</v>
      </c>
      <c r="C1027" s="4" t="s">
        <v>34</v>
      </c>
      <c r="D1027" s="6">
        <v>25.42</v>
      </c>
      <c r="E1027" s="6">
        <v>25.62</v>
      </c>
      <c r="F1027" s="4"/>
      <c r="G1027" s="7">
        <v>25.66</v>
      </c>
      <c r="H1027" s="7">
        <v>24.77</v>
      </c>
      <c r="I1027" s="7" t="e">
        <v>#N/A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5" t="s">
        <v>2070</v>
      </c>
      <c r="B1028" s="5" t="s">
        <v>2071</v>
      </c>
      <c r="C1028" s="4" t="s">
        <v>23</v>
      </c>
      <c r="D1028" s="6">
        <v>0.09</v>
      </c>
      <c r="E1028" s="6">
        <v>0.09</v>
      </c>
      <c r="F1028" s="7">
        <v>38.94</v>
      </c>
      <c r="G1028" s="7">
        <v>0.11</v>
      </c>
      <c r="H1028" s="7">
        <v>0.01</v>
      </c>
      <c r="I1028" s="7">
        <v>3.0930785E7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5" t="s">
        <v>2072</v>
      </c>
      <c r="B1029" s="5" t="s">
        <v>2073</v>
      </c>
      <c r="C1029" s="4" t="s">
        <v>472</v>
      </c>
      <c r="D1029" s="6">
        <v>0.72</v>
      </c>
      <c r="E1029" s="6">
        <v>0.73</v>
      </c>
      <c r="F1029" s="4"/>
      <c r="G1029" s="7">
        <v>1.07</v>
      </c>
      <c r="H1029" s="7">
        <v>0.68</v>
      </c>
      <c r="I1029" s="7">
        <v>3.93413415E8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5" t="s">
        <v>2074</v>
      </c>
      <c r="B1030" s="5" t="s">
        <v>2075</v>
      </c>
      <c r="C1030" s="4" t="s">
        <v>416</v>
      </c>
      <c r="D1030" s="6">
        <v>1.38</v>
      </c>
      <c r="E1030" s="6">
        <v>1.37</v>
      </c>
      <c r="F1030" s="7">
        <v>11.35</v>
      </c>
      <c r="G1030" s="7">
        <v>1.42</v>
      </c>
      <c r="H1030" s="7">
        <v>1.13</v>
      </c>
      <c r="I1030" s="7">
        <v>2.86065725E9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5" t="s">
        <v>2076</v>
      </c>
      <c r="B1031" s="5" t="s">
        <v>2077</v>
      </c>
      <c r="C1031" s="4" t="s">
        <v>76</v>
      </c>
      <c r="D1031" s="6">
        <v>0.01</v>
      </c>
      <c r="E1031" s="6">
        <v>0.01</v>
      </c>
      <c r="F1031" s="4"/>
      <c r="G1031" s="7">
        <v>0.02</v>
      </c>
      <c r="H1031" s="7">
        <v>0.01</v>
      </c>
      <c r="I1031" s="7">
        <v>2.9732169E7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5" t="s">
        <v>2078</v>
      </c>
      <c r="B1032" s="5" t="s">
        <v>2079</v>
      </c>
      <c r="C1032" s="4" t="s">
        <v>34</v>
      </c>
      <c r="D1032" s="6">
        <v>15.73</v>
      </c>
      <c r="E1032" s="6">
        <v>15.82</v>
      </c>
      <c r="F1032" s="4"/>
      <c r="G1032" s="7">
        <v>16.0</v>
      </c>
      <c r="H1032" s="7">
        <v>12.11</v>
      </c>
      <c r="I1032" s="7" t="e">
        <v>#N/A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5" t="s">
        <v>2080</v>
      </c>
      <c r="B1033" s="5" t="s">
        <v>2081</v>
      </c>
      <c r="C1033" s="4" t="s">
        <v>34</v>
      </c>
      <c r="D1033" s="6">
        <v>17.29</v>
      </c>
      <c r="E1033" s="6">
        <v>17.33</v>
      </c>
      <c r="F1033" s="4"/>
      <c r="G1033" s="7">
        <v>17.5</v>
      </c>
      <c r="H1033" s="7">
        <v>13.0</v>
      </c>
      <c r="I1033" s="7" t="e">
        <v>#N/A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5" t="s">
        <v>2082</v>
      </c>
      <c r="B1034" s="5" t="s">
        <v>2083</v>
      </c>
      <c r="C1034" s="4" t="s">
        <v>265</v>
      </c>
      <c r="D1034" s="6">
        <v>0.04</v>
      </c>
      <c r="E1034" s="6">
        <v>0.04</v>
      </c>
      <c r="F1034" s="4"/>
      <c r="G1034" s="7">
        <v>0.3</v>
      </c>
      <c r="H1034" s="7">
        <v>0.04</v>
      </c>
      <c r="I1034" s="7">
        <v>2.1914206E7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5" t="s">
        <v>2084</v>
      </c>
      <c r="B1035" s="5" t="s">
        <v>2085</v>
      </c>
      <c r="C1035" s="4" t="s">
        <v>135</v>
      </c>
      <c r="D1035" s="6">
        <v>0.01</v>
      </c>
      <c r="E1035" s="6">
        <v>0.01</v>
      </c>
      <c r="F1035" s="4"/>
      <c r="G1035" s="7">
        <v>0.01</v>
      </c>
      <c r="H1035" s="7">
        <v>0.01</v>
      </c>
      <c r="I1035" s="7">
        <v>4089090.0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5" t="s">
        <v>2086</v>
      </c>
      <c r="B1036" s="5" t="s">
        <v>2087</v>
      </c>
      <c r="C1036" s="4" t="s">
        <v>34</v>
      </c>
      <c r="D1036" s="6">
        <v>77.72</v>
      </c>
      <c r="E1036" s="6">
        <v>78.11</v>
      </c>
      <c r="F1036" s="4"/>
      <c r="G1036" s="7">
        <v>78.42</v>
      </c>
      <c r="H1036" s="7">
        <v>55.64</v>
      </c>
      <c r="I1036" s="7" t="e">
        <v>#N/A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5" t="s">
        <v>2088</v>
      </c>
      <c r="B1037" s="5" t="s">
        <v>2089</v>
      </c>
      <c r="C1037" s="4" t="s">
        <v>34</v>
      </c>
      <c r="D1037" s="6">
        <v>7.05</v>
      </c>
      <c r="E1037" s="6">
        <v>6.99</v>
      </c>
      <c r="F1037" s="4"/>
      <c r="G1037" s="7">
        <v>9.27</v>
      </c>
      <c r="H1037" s="7">
        <v>3.69</v>
      </c>
      <c r="I1037" s="7" t="e">
        <v>#N/A</v>
      </c>
      <c r="J1037" s="7">
        <v>2.6</v>
      </c>
      <c r="K1037" s="7">
        <v>2.59</v>
      </c>
      <c r="L1037" s="7">
        <v>2.69</v>
      </c>
      <c r="M1037" s="7">
        <v>2.0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5" t="s">
        <v>2090</v>
      </c>
      <c r="B1038" s="5" t="s">
        <v>2091</v>
      </c>
      <c r="C1038" s="4" t="s">
        <v>411</v>
      </c>
      <c r="D1038" s="6">
        <v>1.01</v>
      </c>
      <c r="E1038" s="6">
        <v>1.03</v>
      </c>
      <c r="F1038" s="4"/>
      <c r="G1038" s="7">
        <v>1.06</v>
      </c>
      <c r="H1038" s="7">
        <v>0.66</v>
      </c>
      <c r="I1038" s="7">
        <v>1.100344E9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5" t="s">
        <v>2092</v>
      </c>
      <c r="B1039" s="5" t="s">
        <v>2093</v>
      </c>
      <c r="C1039" s="4" t="s">
        <v>37</v>
      </c>
      <c r="D1039" s="6">
        <v>0.05</v>
      </c>
      <c r="E1039" s="6">
        <v>0.05</v>
      </c>
      <c r="F1039" s="4"/>
      <c r="G1039" s="7">
        <v>0.06</v>
      </c>
      <c r="H1039" s="7">
        <v>0.03</v>
      </c>
      <c r="I1039" s="7">
        <v>1.50766273E8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5" t="s">
        <v>2094</v>
      </c>
      <c r="B1040" s="5" t="s">
        <v>2095</v>
      </c>
      <c r="C1040" s="4" t="s">
        <v>34</v>
      </c>
      <c r="D1040" s="6">
        <v>0.94</v>
      </c>
      <c r="E1040" s="6">
        <v>0.92</v>
      </c>
      <c r="F1040" s="4"/>
      <c r="G1040" s="7">
        <v>1.07</v>
      </c>
      <c r="H1040" s="7">
        <v>0.88</v>
      </c>
      <c r="I1040" s="7" t="e">
        <v>#N/A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5" t="s">
        <v>2096</v>
      </c>
      <c r="B1041" s="5" t="s">
        <v>2097</v>
      </c>
      <c r="C1041" s="4" t="s">
        <v>76</v>
      </c>
      <c r="D1041" s="6">
        <v>0.01</v>
      </c>
      <c r="E1041" s="6">
        <v>0.01</v>
      </c>
      <c r="F1041" s="4"/>
      <c r="G1041" s="7">
        <v>0.01</v>
      </c>
      <c r="H1041" s="7">
        <v>0.01</v>
      </c>
      <c r="I1041" s="7">
        <v>4.7466731E7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5" t="s">
        <v>2098</v>
      </c>
      <c r="B1042" s="5" t="s">
        <v>2099</v>
      </c>
      <c r="C1042" s="4" t="s">
        <v>210</v>
      </c>
      <c r="D1042" s="6">
        <v>0.03</v>
      </c>
      <c r="E1042" s="6">
        <v>0.02</v>
      </c>
      <c r="F1042" s="4"/>
      <c r="G1042" s="7">
        <v>0.04</v>
      </c>
      <c r="H1042" s="7">
        <v>0.01</v>
      </c>
      <c r="I1042" s="7">
        <v>3.38645E7</v>
      </c>
      <c r="J1042" s="7">
        <v>6.92</v>
      </c>
      <c r="K1042" s="7">
        <v>6.91</v>
      </c>
      <c r="L1042" s="7">
        <v>7.02</v>
      </c>
      <c r="M1042" s="7">
        <v>5.92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5" t="s">
        <v>2098</v>
      </c>
      <c r="B1043" s="5" t="s">
        <v>2099</v>
      </c>
      <c r="C1043" s="4" t="s">
        <v>210</v>
      </c>
      <c r="D1043" s="6">
        <v>0.03</v>
      </c>
      <c r="E1043" s="6">
        <v>0.02</v>
      </c>
      <c r="F1043" s="4"/>
      <c r="G1043" s="7">
        <v>0.04</v>
      </c>
      <c r="H1043" s="7">
        <v>0.01</v>
      </c>
      <c r="I1043" s="7">
        <v>3.38645E7</v>
      </c>
      <c r="J1043" s="7">
        <v>6.92</v>
      </c>
      <c r="K1043" s="7">
        <v>6.91</v>
      </c>
      <c r="L1043" s="7">
        <v>7.02</v>
      </c>
      <c r="M1043" s="7">
        <v>5.92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5" t="s">
        <v>2100</v>
      </c>
      <c r="B1044" s="5" t="s">
        <v>2101</v>
      </c>
      <c r="C1044" s="4" t="s">
        <v>50</v>
      </c>
      <c r="D1044" s="6">
        <v>0.02</v>
      </c>
      <c r="E1044" s="6">
        <v>0.02</v>
      </c>
      <c r="F1044" s="4"/>
      <c r="G1044" s="7">
        <v>0.05</v>
      </c>
      <c r="H1044" s="7">
        <v>0.01</v>
      </c>
      <c r="I1044" s="7">
        <v>1.1648825E7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5" t="s">
        <v>2102</v>
      </c>
      <c r="B1045" s="5" t="s">
        <v>2103</v>
      </c>
      <c r="C1045" s="4" t="s">
        <v>506</v>
      </c>
      <c r="D1045" s="6">
        <v>1.63</v>
      </c>
      <c r="E1045" s="6">
        <v>1.62</v>
      </c>
      <c r="F1045" s="7">
        <v>10.81</v>
      </c>
      <c r="G1045" s="7">
        <v>2.11</v>
      </c>
      <c r="H1045" s="7">
        <v>1.53</v>
      </c>
      <c r="I1045" s="7">
        <v>6.8948999E7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5" t="s">
        <v>2104</v>
      </c>
      <c r="B1046" s="5" t="s">
        <v>2105</v>
      </c>
      <c r="C1046" s="4" t="s">
        <v>34</v>
      </c>
      <c r="D1046" s="6">
        <v>1.1</v>
      </c>
      <c r="E1046" s="6">
        <v>1.11</v>
      </c>
      <c r="F1046" s="4"/>
      <c r="G1046" s="7">
        <v>1.14</v>
      </c>
      <c r="H1046" s="7">
        <v>0.95</v>
      </c>
      <c r="I1046" s="7" t="e">
        <v>#N/A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5" t="s">
        <v>2106</v>
      </c>
      <c r="B1047" s="5" t="s">
        <v>2107</v>
      </c>
      <c r="C1047" s="4" t="s">
        <v>34</v>
      </c>
      <c r="D1047" s="6">
        <v>25.65</v>
      </c>
      <c r="E1047" s="6">
        <v>25.58</v>
      </c>
      <c r="F1047" s="4"/>
      <c r="G1047" s="7">
        <v>26.5</v>
      </c>
      <c r="H1047" s="7">
        <v>15.6</v>
      </c>
      <c r="I1047" s="7" t="e">
        <v>#N/A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5" t="s">
        <v>2108</v>
      </c>
      <c r="B1048" s="5" t="s">
        <v>2109</v>
      </c>
      <c r="C1048" s="4" t="s">
        <v>34</v>
      </c>
      <c r="D1048" s="6" t="e">
        <v>#N/A</v>
      </c>
      <c r="E1048" s="6" t="e">
        <v>#N/A</v>
      </c>
      <c r="F1048" s="4"/>
      <c r="G1048" s="4"/>
      <c r="H1048" s="4"/>
      <c r="I1048" s="7" t="e">
        <v>#N/A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5" t="s">
        <v>2110</v>
      </c>
      <c r="B1049" s="5" t="s">
        <v>2111</v>
      </c>
      <c r="C1049" s="4" t="s">
        <v>2112</v>
      </c>
      <c r="D1049" s="6">
        <v>5.55</v>
      </c>
      <c r="E1049" s="6">
        <v>5.5</v>
      </c>
      <c r="F1049" s="7">
        <v>5.78</v>
      </c>
      <c r="G1049" s="7">
        <v>6.19</v>
      </c>
      <c r="H1049" s="7">
        <v>3.43</v>
      </c>
      <c r="I1049" s="7">
        <v>1.512297351E9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5" t="s">
        <v>2113</v>
      </c>
      <c r="B1050" s="5" t="s">
        <v>2114</v>
      </c>
      <c r="C1050" s="4" t="s">
        <v>668</v>
      </c>
      <c r="D1050" s="6">
        <v>1.89</v>
      </c>
      <c r="E1050" s="6">
        <v>1.83</v>
      </c>
      <c r="F1050" s="7">
        <v>9.27</v>
      </c>
      <c r="G1050" s="7">
        <v>2.15</v>
      </c>
      <c r="H1050" s="7">
        <v>1.3</v>
      </c>
      <c r="I1050" s="7">
        <v>3.08510178E8</v>
      </c>
      <c r="J1050" s="7">
        <v>0.215</v>
      </c>
      <c r="K1050" s="7">
        <v>0.21</v>
      </c>
      <c r="L1050" s="7">
        <v>0.39</v>
      </c>
      <c r="M1050" s="7">
        <v>0.087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5" t="s">
        <v>2115</v>
      </c>
      <c r="B1051" s="5" t="s">
        <v>2116</v>
      </c>
      <c r="C1051" s="4" t="s">
        <v>162</v>
      </c>
      <c r="D1051" s="6">
        <v>0.91</v>
      </c>
      <c r="E1051" s="6">
        <v>0.91</v>
      </c>
      <c r="F1051" s="4"/>
      <c r="G1051" s="7">
        <v>1.64</v>
      </c>
      <c r="H1051" s="7">
        <v>0.66</v>
      </c>
      <c r="I1051" s="7">
        <v>6.57150148E8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5" t="s">
        <v>2117</v>
      </c>
      <c r="B1052" s="5" t="s">
        <v>2118</v>
      </c>
      <c r="C1052" s="4" t="s">
        <v>34</v>
      </c>
      <c r="D1052" s="6">
        <v>12.11</v>
      </c>
      <c r="E1052" s="6">
        <v>12.28</v>
      </c>
      <c r="F1052" s="4"/>
      <c r="G1052" s="7">
        <v>13.0</v>
      </c>
      <c r="H1052" s="7">
        <v>10.36</v>
      </c>
      <c r="I1052" s="7" t="e">
        <v>#N/A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5" t="s">
        <v>2119</v>
      </c>
      <c r="B1053" s="5" t="s">
        <v>2120</v>
      </c>
      <c r="C1053" s="4" t="s">
        <v>17</v>
      </c>
      <c r="D1053" s="6">
        <v>0.0</v>
      </c>
      <c r="E1053" s="6">
        <v>0.0</v>
      </c>
      <c r="F1053" s="4"/>
      <c r="G1053" s="7">
        <v>0.0</v>
      </c>
      <c r="H1053" s="7">
        <v>0.0</v>
      </c>
      <c r="I1053" s="7">
        <v>1632097.0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5" t="s">
        <v>2121</v>
      </c>
      <c r="B1054" s="5" t="s">
        <v>2122</v>
      </c>
      <c r="C1054" s="4" t="s">
        <v>169</v>
      </c>
      <c r="D1054" s="6">
        <v>3.13</v>
      </c>
      <c r="E1054" s="6">
        <v>3.19</v>
      </c>
      <c r="F1054" s="7">
        <v>6.71</v>
      </c>
      <c r="G1054" s="7">
        <v>3.56</v>
      </c>
      <c r="H1054" s="7">
        <v>2.49</v>
      </c>
      <c r="I1054" s="7">
        <v>7.16713999E8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5" t="s">
        <v>2123</v>
      </c>
      <c r="B1055" s="5" t="s">
        <v>2124</v>
      </c>
      <c r="C1055" s="4" t="s">
        <v>169</v>
      </c>
      <c r="D1055" s="6">
        <v>4.03</v>
      </c>
      <c r="E1055" s="6">
        <v>3.96</v>
      </c>
      <c r="F1055" s="7">
        <v>11.04</v>
      </c>
      <c r="G1055" s="7">
        <v>11.41</v>
      </c>
      <c r="H1055" s="7">
        <v>2.85</v>
      </c>
      <c r="I1055" s="7">
        <v>1.662840954E9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5" t="s">
        <v>2125</v>
      </c>
      <c r="B1056" s="5" t="s">
        <v>2126</v>
      </c>
      <c r="C1056" s="4" t="s">
        <v>274</v>
      </c>
      <c r="D1056" s="6">
        <v>0.04</v>
      </c>
      <c r="E1056" s="6">
        <v>0.04</v>
      </c>
      <c r="F1056" s="4"/>
      <c r="G1056" s="7">
        <v>0.05</v>
      </c>
      <c r="H1056" s="7">
        <v>0.01</v>
      </c>
      <c r="I1056" s="7">
        <v>3.4674568E7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5" t="s">
        <v>2127</v>
      </c>
      <c r="B1057" s="5" t="s">
        <v>2128</v>
      </c>
      <c r="C1057" s="4" t="s">
        <v>86</v>
      </c>
      <c r="D1057" s="6">
        <v>0.07</v>
      </c>
      <c r="E1057" s="6">
        <v>0.07</v>
      </c>
      <c r="F1057" s="4"/>
      <c r="G1057" s="7">
        <v>0.1</v>
      </c>
      <c r="H1057" s="7">
        <v>0.05</v>
      </c>
      <c r="I1057" s="7">
        <v>1.3881245E7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5" t="s">
        <v>2129</v>
      </c>
      <c r="B1058" s="5" t="s">
        <v>2130</v>
      </c>
      <c r="C1058" s="4" t="s">
        <v>182</v>
      </c>
      <c r="D1058" s="6">
        <v>0.04</v>
      </c>
      <c r="E1058" s="6">
        <v>0.04</v>
      </c>
      <c r="F1058" s="4"/>
      <c r="G1058" s="7">
        <v>0.06</v>
      </c>
      <c r="H1058" s="7">
        <v>0.03</v>
      </c>
      <c r="I1058" s="7">
        <v>6379977.0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5" t="s">
        <v>2131</v>
      </c>
      <c r="B1059" s="5" t="s">
        <v>2132</v>
      </c>
      <c r="C1059" s="4" t="s">
        <v>17</v>
      </c>
      <c r="D1059" s="6">
        <v>0.03</v>
      </c>
      <c r="E1059" s="6">
        <v>0.03</v>
      </c>
      <c r="F1059" s="4"/>
      <c r="G1059" s="7">
        <v>0.05</v>
      </c>
      <c r="H1059" s="7">
        <v>0.02</v>
      </c>
      <c r="I1059" s="7">
        <v>2.9520555E7</v>
      </c>
      <c r="J1059" s="7">
        <v>2.15</v>
      </c>
      <c r="K1059" s="7">
        <v>2.15</v>
      </c>
      <c r="L1059" s="7">
        <v>2.22</v>
      </c>
      <c r="M1059" s="7">
        <v>1.5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5" t="s">
        <v>2133</v>
      </c>
      <c r="B1060" s="5" t="s">
        <v>2134</v>
      </c>
      <c r="C1060" s="4" t="s">
        <v>239</v>
      </c>
      <c r="D1060" s="6">
        <v>0.91</v>
      </c>
      <c r="E1060" s="6">
        <v>0.91</v>
      </c>
      <c r="F1060" s="7">
        <v>16.82</v>
      </c>
      <c r="G1060" s="7">
        <v>1.0</v>
      </c>
      <c r="H1060" s="7">
        <v>0.36</v>
      </c>
      <c r="I1060" s="7">
        <v>9.4691599E7</v>
      </c>
      <c r="J1060" s="7">
        <v>0.205</v>
      </c>
      <c r="K1060" s="7">
        <v>0.215</v>
      </c>
      <c r="L1060" s="7">
        <v>0.315</v>
      </c>
      <c r="M1060" s="7">
        <v>0.14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5" t="s">
        <v>2135</v>
      </c>
      <c r="B1061" s="5" t="s">
        <v>2136</v>
      </c>
      <c r="C1061" s="4" t="s">
        <v>34</v>
      </c>
      <c r="D1061" s="6">
        <v>50.11</v>
      </c>
      <c r="E1061" s="6">
        <v>50.05</v>
      </c>
      <c r="F1061" s="4"/>
      <c r="G1061" s="7">
        <v>51.75</v>
      </c>
      <c r="H1061" s="7">
        <v>32.96</v>
      </c>
      <c r="I1061" s="7" t="e">
        <v>#N/A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5" t="s">
        <v>2137</v>
      </c>
      <c r="B1062" s="5" t="s">
        <v>2138</v>
      </c>
      <c r="C1062" s="4" t="s">
        <v>20</v>
      </c>
      <c r="D1062" s="6">
        <v>0.22</v>
      </c>
      <c r="E1062" s="6">
        <v>0.22</v>
      </c>
      <c r="F1062" s="4"/>
      <c r="G1062" s="7">
        <v>0.31</v>
      </c>
      <c r="H1062" s="7">
        <v>0.2</v>
      </c>
      <c r="I1062" s="7">
        <v>1.14714995E8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5" t="s">
        <v>2139</v>
      </c>
      <c r="B1063" s="5" t="s">
        <v>2140</v>
      </c>
      <c r="C1063" s="4" t="s">
        <v>17</v>
      </c>
      <c r="D1063" s="6">
        <v>0.04</v>
      </c>
      <c r="E1063" s="6">
        <v>0.04</v>
      </c>
      <c r="F1063" s="4"/>
      <c r="G1063" s="7">
        <v>0.04</v>
      </c>
      <c r="H1063" s="7">
        <v>0.01</v>
      </c>
      <c r="I1063" s="7">
        <v>3.0407067E7</v>
      </c>
      <c r="J1063" s="7">
        <v>0.007</v>
      </c>
      <c r="K1063" s="7">
        <v>0.007</v>
      </c>
      <c r="L1063" s="7">
        <v>0.007</v>
      </c>
      <c r="M1063" s="7">
        <v>0.007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5" t="s">
        <v>2141</v>
      </c>
      <c r="B1064" s="5" t="s">
        <v>2142</v>
      </c>
      <c r="C1064" s="4" t="s">
        <v>172</v>
      </c>
      <c r="D1064" s="6">
        <v>0.01</v>
      </c>
      <c r="E1064" s="6">
        <v>0.01</v>
      </c>
      <c r="F1064" s="7">
        <v>0.15</v>
      </c>
      <c r="G1064" s="7">
        <v>0.02</v>
      </c>
      <c r="H1064" s="7">
        <v>0.0</v>
      </c>
      <c r="I1064" s="7">
        <v>1076999.0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>
      <c r="A1065" s="5" t="s">
        <v>2143</v>
      </c>
      <c r="B1065" s="5" t="s">
        <v>2144</v>
      </c>
      <c r="C1065" s="4" t="s">
        <v>68</v>
      </c>
      <c r="D1065" s="6">
        <v>1.24</v>
      </c>
      <c r="E1065" s="6">
        <v>1.24</v>
      </c>
      <c r="F1065" s="7">
        <v>70.53</v>
      </c>
      <c r="G1065" s="7">
        <v>1.5</v>
      </c>
      <c r="H1065" s="7">
        <v>0.78</v>
      </c>
      <c r="I1065" s="7">
        <v>1.69760837E8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>
      <c r="A1066" s="5" t="s">
        <v>2145</v>
      </c>
      <c r="B1066" s="5" t="s">
        <v>2146</v>
      </c>
      <c r="C1066" s="4" t="s">
        <v>76</v>
      </c>
      <c r="D1066" s="6">
        <v>0.06</v>
      </c>
      <c r="E1066" s="6">
        <v>0.06</v>
      </c>
      <c r="F1066" s="4"/>
      <c r="G1066" s="7">
        <v>0.09</v>
      </c>
      <c r="H1066" s="7">
        <v>0.04</v>
      </c>
      <c r="I1066" s="7">
        <v>1.272214E7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>
      <c r="A1067" s="5" t="s">
        <v>2147</v>
      </c>
      <c r="B1067" s="5" t="s">
        <v>2148</v>
      </c>
      <c r="C1067" s="4" t="s">
        <v>34</v>
      </c>
      <c r="D1067" s="6">
        <v>33.03</v>
      </c>
      <c r="E1067" s="6">
        <v>33.05</v>
      </c>
      <c r="F1067" s="4"/>
      <c r="G1067" s="7">
        <v>34.0</v>
      </c>
      <c r="H1067" s="7">
        <v>25.2</v>
      </c>
      <c r="I1067" s="7" t="e">
        <v>#N/A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>
      <c r="A1068" s="5" t="s">
        <v>2149</v>
      </c>
      <c r="B1068" s="5" t="s">
        <v>2150</v>
      </c>
      <c r="C1068" s="4" t="s">
        <v>34</v>
      </c>
      <c r="D1068" s="6">
        <v>45.94</v>
      </c>
      <c r="E1068" s="6">
        <v>46.5</v>
      </c>
      <c r="F1068" s="4"/>
      <c r="G1068" s="7">
        <v>47.0</v>
      </c>
      <c r="H1068" s="7">
        <v>36.15</v>
      </c>
      <c r="I1068" s="7" t="e">
        <v>#N/A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>
      <c r="A1069" s="5" t="s">
        <v>2151</v>
      </c>
      <c r="B1069" s="5" t="s">
        <v>2152</v>
      </c>
      <c r="C1069" s="4" t="s">
        <v>447</v>
      </c>
      <c r="D1069" s="6">
        <v>0.05</v>
      </c>
      <c r="E1069" s="6">
        <v>0.05</v>
      </c>
      <c r="F1069" s="4"/>
      <c r="G1069" s="7">
        <v>0.07</v>
      </c>
      <c r="H1069" s="7">
        <v>0.02</v>
      </c>
      <c r="I1069" s="7">
        <v>1.040169E7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>
      <c r="A1070" s="5" t="s">
        <v>2153</v>
      </c>
      <c r="B1070" s="5" t="s">
        <v>2154</v>
      </c>
      <c r="C1070" s="4" t="s">
        <v>86</v>
      </c>
      <c r="D1070" s="6">
        <v>0.82</v>
      </c>
      <c r="E1070" s="6">
        <v>0.86</v>
      </c>
      <c r="F1070" s="4"/>
      <c r="G1070" s="7">
        <v>0.86</v>
      </c>
      <c r="H1070" s="7">
        <v>0.38</v>
      </c>
      <c r="I1070" s="7">
        <v>1.37455862E8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>
      <c r="A1071" s="5" t="s">
        <v>2155</v>
      </c>
      <c r="B1071" s="5" t="s">
        <v>2156</v>
      </c>
      <c r="C1071" s="4" t="s">
        <v>86</v>
      </c>
      <c r="D1071" s="6">
        <v>1.27</v>
      </c>
      <c r="E1071" s="6">
        <v>1.22</v>
      </c>
      <c r="F1071" s="4"/>
      <c r="G1071" s="7">
        <v>1.37</v>
      </c>
      <c r="H1071" s="7">
        <v>0.62</v>
      </c>
      <c r="I1071" s="7">
        <v>2.60882845E8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>
      <c r="A1072" s="5" t="s">
        <v>2157</v>
      </c>
      <c r="B1072" s="5" t="s">
        <v>2158</v>
      </c>
      <c r="C1072" s="4" t="s">
        <v>14</v>
      </c>
      <c r="D1072" s="6">
        <v>5.3</v>
      </c>
      <c r="E1072" s="6">
        <v>5.28</v>
      </c>
      <c r="F1072" s="7">
        <v>25.22</v>
      </c>
      <c r="G1072" s="7">
        <v>6.5</v>
      </c>
      <c r="H1072" s="7">
        <v>4.53</v>
      </c>
      <c r="I1072" s="7">
        <v>1.082406318E9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>
      <c r="A1073" s="5" t="s">
        <v>2159</v>
      </c>
      <c r="B1073" s="5" t="s">
        <v>2160</v>
      </c>
      <c r="C1073" s="4" t="s">
        <v>68</v>
      </c>
      <c r="D1073" s="6">
        <v>0.01</v>
      </c>
      <c r="E1073" s="6">
        <v>0.01</v>
      </c>
      <c r="F1073" s="4"/>
      <c r="G1073" s="7">
        <v>0.02</v>
      </c>
      <c r="H1073" s="7">
        <v>0.01</v>
      </c>
      <c r="I1073" s="7">
        <v>2960690.0</v>
      </c>
      <c r="J1073" s="7">
        <v>0.505</v>
      </c>
      <c r="K1073" s="4"/>
      <c r="L1073" s="7">
        <v>0.535</v>
      </c>
      <c r="M1073" s="7">
        <v>0.492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>
      <c r="A1074" s="5" t="s">
        <v>2161</v>
      </c>
      <c r="B1074" s="5" t="s">
        <v>2162</v>
      </c>
      <c r="C1074" s="4" t="s">
        <v>101</v>
      </c>
      <c r="D1074" s="6">
        <v>0.02</v>
      </c>
      <c r="E1074" s="6">
        <v>0.02</v>
      </c>
      <c r="F1074" s="4"/>
      <c r="G1074" s="7">
        <v>0.03</v>
      </c>
      <c r="H1074" s="7">
        <v>0.01</v>
      </c>
      <c r="I1074" s="7">
        <v>1.7523917E7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>
      <c r="A1075" s="5" t="s">
        <v>2163</v>
      </c>
      <c r="B1075" s="5" t="s">
        <v>2164</v>
      </c>
      <c r="C1075" s="4" t="s">
        <v>37</v>
      </c>
      <c r="D1075" s="6">
        <v>0.33</v>
      </c>
      <c r="E1075" s="6">
        <v>0.35</v>
      </c>
      <c r="F1075" s="4"/>
      <c r="G1075" s="7">
        <v>0.36</v>
      </c>
      <c r="H1075" s="7">
        <v>0.14</v>
      </c>
      <c r="I1075" s="7">
        <v>1.9313296E7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>
      <c r="A1076" s="5" t="s">
        <v>2165</v>
      </c>
      <c r="B1076" s="5" t="s">
        <v>2166</v>
      </c>
      <c r="C1076" s="4" t="s">
        <v>138</v>
      </c>
      <c r="D1076" s="6">
        <v>95.78</v>
      </c>
      <c r="E1076" s="6">
        <v>96.25</v>
      </c>
      <c r="F1076" s="7">
        <v>100.05</v>
      </c>
      <c r="G1076" s="7">
        <v>122.03</v>
      </c>
      <c r="H1076" s="7">
        <v>48.84</v>
      </c>
      <c r="I1076" s="7">
        <v>7.83229159E9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>
      <c r="A1077" s="5" t="s">
        <v>2167</v>
      </c>
      <c r="B1077" s="5" t="s">
        <v>2168</v>
      </c>
      <c r="C1077" s="4" t="s">
        <v>34</v>
      </c>
      <c r="D1077" s="6">
        <v>12.73</v>
      </c>
      <c r="E1077" s="6">
        <v>12.72</v>
      </c>
      <c r="F1077" s="4"/>
      <c r="G1077" s="7">
        <v>13.5</v>
      </c>
      <c r="H1077" s="7">
        <v>12.55</v>
      </c>
      <c r="I1077" s="7" t="e">
        <v>#N/A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>
      <c r="A1078" s="5" t="s">
        <v>2169</v>
      </c>
      <c r="B1078" s="5" t="s">
        <v>2170</v>
      </c>
      <c r="C1078" s="4" t="s">
        <v>239</v>
      </c>
      <c r="D1078" s="6">
        <v>0.72</v>
      </c>
      <c r="E1078" s="6">
        <v>0.7</v>
      </c>
      <c r="F1078" s="7">
        <v>10.37</v>
      </c>
      <c r="G1078" s="7">
        <v>0.78</v>
      </c>
      <c r="H1078" s="7">
        <v>0.43</v>
      </c>
      <c r="I1078" s="7">
        <v>3.60052574E8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>
      <c r="A1079" s="5" t="s">
        <v>2171</v>
      </c>
      <c r="B1079" s="5" t="s">
        <v>2172</v>
      </c>
      <c r="C1079" s="4" t="s">
        <v>34</v>
      </c>
      <c r="D1079" s="6">
        <v>34.81</v>
      </c>
      <c r="E1079" s="6">
        <v>34.89</v>
      </c>
      <c r="F1079" s="4"/>
      <c r="G1079" s="7">
        <v>34.95</v>
      </c>
      <c r="H1079" s="7">
        <v>23.83</v>
      </c>
      <c r="I1079" s="7" t="e">
        <v>#N/A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>
      <c r="A1080" s="5" t="s">
        <v>2173</v>
      </c>
      <c r="B1080" s="5" t="s">
        <v>2174</v>
      </c>
      <c r="C1080" s="4" t="s">
        <v>151</v>
      </c>
      <c r="D1080" s="6">
        <v>7.01</v>
      </c>
      <c r="E1080" s="6">
        <v>6.94</v>
      </c>
      <c r="F1080" s="7">
        <v>16.89</v>
      </c>
      <c r="G1080" s="7">
        <v>7.7</v>
      </c>
      <c r="H1080" s="7">
        <v>4.53</v>
      </c>
      <c r="I1080" s="7">
        <v>8.734502345E9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>
      <c r="A1081" s="5" t="s">
        <v>2175</v>
      </c>
      <c r="B1081" s="5" t="s">
        <v>2176</v>
      </c>
      <c r="C1081" s="4" t="s">
        <v>34</v>
      </c>
      <c r="D1081" s="6">
        <v>13.49</v>
      </c>
      <c r="E1081" s="6">
        <v>13.59</v>
      </c>
      <c r="F1081" s="4"/>
      <c r="G1081" s="7">
        <v>14.24</v>
      </c>
      <c r="H1081" s="7">
        <v>11.5</v>
      </c>
      <c r="I1081" s="7" t="e">
        <v>#N/A</v>
      </c>
      <c r="J1081" s="7">
        <v>0.002</v>
      </c>
      <c r="K1081" s="7">
        <v>0.002</v>
      </c>
      <c r="L1081" s="7">
        <v>0.003</v>
      </c>
      <c r="M1081" s="7">
        <v>0.001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>
      <c r="A1082" s="5" t="s">
        <v>2177</v>
      </c>
      <c r="B1082" s="5" t="s">
        <v>2178</v>
      </c>
      <c r="C1082" s="4" t="s">
        <v>37</v>
      </c>
      <c r="D1082" s="6">
        <v>0.48</v>
      </c>
      <c r="E1082" s="6">
        <v>0.49</v>
      </c>
      <c r="F1082" s="4"/>
      <c r="G1082" s="7">
        <v>0.7</v>
      </c>
      <c r="H1082" s="7">
        <v>0.11</v>
      </c>
      <c r="I1082" s="7">
        <v>3.2800454E7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>
      <c r="A1083" s="5" t="s">
        <v>2179</v>
      </c>
      <c r="B1083" s="5" t="s">
        <v>2180</v>
      </c>
      <c r="C1083" s="4" t="s">
        <v>17</v>
      </c>
      <c r="D1083" s="6">
        <v>0.04</v>
      </c>
      <c r="E1083" s="6">
        <v>0.03</v>
      </c>
      <c r="F1083" s="4"/>
      <c r="G1083" s="7">
        <v>0.05</v>
      </c>
      <c r="H1083" s="7">
        <v>0.01</v>
      </c>
      <c r="I1083" s="7">
        <v>2.1921146E7</v>
      </c>
      <c r="J1083" s="7">
        <v>0.056</v>
      </c>
      <c r="K1083" s="7">
        <v>0.056</v>
      </c>
      <c r="L1083" s="7">
        <v>0.28</v>
      </c>
      <c r="M1083" s="7">
        <v>0.05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>
      <c r="A1084" s="5" t="s">
        <v>2181</v>
      </c>
      <c r="B1084" s="5" t="s">
        <v>2182</v>
      </c>
      <c r="C1084" s="4" t="s">
        <v>23</v>
      </c>
      <c r="D1084" s="6">
        <v>0.01</v>
      </c>
      <c r="E1084" s="6">
        <v>0.01</v>
      </c>
      <c r="F1084" s="4"/>
      <c r="G1084" s="7">
        <v>0.01</v>
      </c>
      <c r="H1084" s="7">
        <v>0.01</v>
      </c>
      <c r="I1084" s="7">
        <v>2822976.0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>
      <c r="A1085" s="5" t="s">
        <v>2183</v>
      </c>
      <c r="B1085" s="5" t="s">
        <v>2184</v>
      </c>
      <c r="C1085" s="4" t="s">
        <v>159</v>
      </c>
      <c r="D1085" s="6">
        <v>0.01</v>
      </c>
      <c r="E1085" s="6">
        <v>0.01</v>
      </c>
      <c r="F1085" s="4"/>
      <c r="G1085" s="7">
        <v>0.03</v>
      </c>
      <c r="H1085" s="7">
        <v>0.01</v>
      </c>
      <c r="I1085" s="7">
        <v>3273230.0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>
      <c r="A1086" s="5" t="s">
        <v>2185</v>
      </c>
      <c r="B1086" s="5" t="s">
        <v>2186</v>
      </c>
      <c r="C1086" s="4" t="s">
        <v>34</v>
      </c>
      <c r="D1086" s="6" t="e">
        <v>#N/A</v>
      </c>
      <c r="E1086" s="6" t="e">
        <v>#N/A</v>
      </c>
      <c r="F1086" s="4"/>
      <c r="G1086" s="4"/>
      <c r="H1086" s="4"/>
      <c r="I1086" s="7" t="e">
        <v>#N/A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>
      <c r="A1087" s="5" t="s">
        <v>2187</v>
      </c>
      <c r="B1087" s="5" t="s">
        <v>2188</v>
      </c>
      <c r="C1087" s="4" t="s">
        <v>34</v>
      </c>
      <c r="D1087" s="6">
        <v>31.32</v>
      </c>
      <c r="E1087" s="6">
        <v>31.2</v>
      </c>
      <c r="F1087" s="4"/>
      <c r="G1087" s="7">
        <v>32.27</v>
      </c>
      <c r="H1087" s="7">
        <v>30.04</v>
      </c>
      <c r="I1087" s="7" t="e">
        <v>#N/A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>
      <c r="A1088" s="5" t="s">
        <v>2189</v>
      </c>
      <c r="B1088" s="5" t="s">
        <v>2190</v>
      </c>
      <c r="C1088" s="4" t="s">
        <v>1899</v>
      </c>
      <c r="D1088" s="6">
        <v>0.02</v>
      </c>
      <c r="E1088" s="6">
        <v>0.02</v>
      </c>
      <c r="F1088" s="4"/>
      <c r="G1088" s="7">
        <v>0.05</v>
      </c>
      <c r="H1088" s="7">
        <v>0.02</v>
      </c>
      <c r="I1088" s="7">
        <v>4.0358515E7</v>
      </c>
      <c r="J1088" s="7">
        <v>5.53</v>
      </c>
      <c r="K1088" s="7">
        <v>5.49</v>
      </c>
      <c r="L1088" s="7">
        <v>6.125</v>
      </c>
      <c r="M1088" s="7">
        <v>4.31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>
      <c r="A1089" s="5" t="s">
        <v>2191</v>
      </c>
      <c r="B1089" s="5" t="s">
        <v>2192</v>
      </c>
      <c r="C1089" s="4" t="s">
        <v>76</v>
      </c>
      <c r="D1089" s="6">
        <v>0.2</v>
      </c>
      <c r="E1089" s="6">
        <v>0.21</v>
      </c>
      <c r="F1089" s="7">
        <v>17.83</v>
      </c>
      <c r="G1089" s="7">
        <v>0.23</v>
      </c>
      <c r="H1089" s="7">
        <v>0.17</v>
      </c>
      <c r="I1089" s="7">
        <v>3.17767204E8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>
      <c r="A1090" s="5" t="s">
        <v>2193</v>
      </c>
      <c r="B1090" s="5" t="s">
        <v>2194</v>
      </c>
      <c r="C1090" s="4" t="s">
        <v>221</v>
      </c>
      <c r="D1090" s="6">
        <v>0.51</v>
      </c>
      <c r="E1090" s="6">
        <v>0.51</v>
      </c>
      <c r="F1090" s="4"/>
      <c r="G1090" s="7">
        <v>0.64</v>
      </c>
      <c r="H1090" s="7">
        <v>0.27</v>
      </c>
      <c r="I1090" s="7">
        <v>1.35503478E8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>
      <c r="A1091" s="5" t="s">
        <v>2195</v>
      </c>
      <c r="B1091" s="5" t="s">
        <v>2196</v>
      </c>
      <c r="C1091" s="4" t="s">
        <v>17</v>
      </c>
      <c r="D1091" s="6">
        <v>0.28</v>
      </c>
      <c r="E1091" s="6">
        <v>0.27</v>
      </c>
      <c r="F1091" s="4"/>
      <c r="G1091" s="7">
        <v>0.76</v>
      </c>
      <c r="H1091" s="7">
        <v>0.08</v>
      </c>
      <c r="I1091" s="7">
        <v>2.4384186E7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>
      <c r="A1092" s="5" t="s">
        <v>2197</v>
      </c>
      <c r="B1092" s="5" t="s">
        <v>2198</v>
      </c>
      <c r="C1092" s="4" t="s">
        <v>34</v>
      </c>
      <c r="D1092" s="6">
        <v>149.95</v>
      </c>
      <c r="E1092" s="6">
        <v>146.61</v>
      </c>
      <c r="F1092" s="4"/>
      <c r="G1092" s="7">
        <v>153.0</v>
      </c>
      <c r="H1092" s="7">
        <v>100.0</v>
      </c>
      <c r="I1092" s="7" t="e">
        <v>#N/A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>
      <c r="A1093" s="5" t="s">
        <v>2199</v>
      </c>
      <c r="B1093" s="5" t="s">
        <v>2200</v>
      </c>
      <c r="C1093" s="4" t="s">
        <v>34</v>
      </c>
      <c r="D1093" s="6">
        <v>28.49</v>
      </c>
      <c r="E1093" s="6">
        <v>28.91</v>
      </c>
      <c r="F1093" s="4"/>
      <c r="G1093" s="7">
        <v>29.12</v>
      </c>
      <c r="H1093" s="7">
        <v>25.35</v>
      </c>
      <c r="I1093" s="7" t="e">
        <v>#N/A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>
      <c r="A1094" s="5" t="s">
        <v>2201</v>
      </c>
      <c r="B1094" s="5" t="s">
        <v>2202</v>
      </c>
      <c r="C1094" s="4" t="s">
        <v>34</v>
      </c>
      <c r="D1094" s="6">
        <v>101.66</v>
      </c>
      <c r="E1094" s="6">
        <v>101.7</v>
      </c>
      <c r="F1094" s="4"/>
      <c r="G1094" s="7">
        <v>104.99</v>
      </c>
      <c r="H1094" s="7">
        <v>99.84</v>
      </c>
      <c r="I1094" s="7" t="e">
        <v>#N/A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>
      <c r="A1095" s="5" t="s">
        <v>2203</v>
      </c>
      <c r="B1095" s="5" t="s">
        <v>2204</v>
      </c>
      <c r="C1095" s="4" t="s">
        <v>2112</v>
      </c>
      <c r="D1095" s="6">
        <v>7.99</v>
      </c>
      <c r="E1095" s="6">
        <v>7.98</v>
      </c>
      <c r="F1095" s="7">
        <v>14.23</v>
      </c>
      <c r="G1095" s="7">
        <v>9.21</v>
      </c>
      <c r="H1095" s="7">
        <v>7.1</v>
      </c>
      <c r="I1095" s="7">
        <v>1.8898610628E10</v>
      </c>
      <c r="J1095" s="7">
        <v>2.39</v>
      </c>
      <c r="K1095" s="7">
        <v>2.39</v>
      </c>
      <c r="L1095" s="7">
        <v>3.9</v>
      </c>
      <c r="M1095" s="7">
        <v>2.26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>
      <c r="A1096" s="5" t="s">
        <v>2205</v>
      </c>
      <c r="B1096" s="5" t="s">
        <v>2206</v>
      </c>
      <c r="C1096" s="4" t="s">
        <v>169</v>
      </c>
      <c r="D1096" s="6">
        <v>0.03</v>
      </c>
      <c r="E1096" s="6">
        <v>0.03</v>
      </c>
      <c r="F1096" s="4"/>
      <c r="G1096" s="7">
        <v>0.05</v>
      </c>
      <c r="H1096" s="7">
        <v>0.02</v>
      </c>
      <c r="I1096" s="7">
        <v>3.164961E7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>
      <c r="A1097" s="5" t="s">
        <v>2207</v>
      </c>
      <c r="B1097" s="5" t="s">
        <v>2208</v>
      </c>
      <c r="C1097" s="4" t="s">
        <v>34</v>
      </c>
      <c r="D1097" s="6">
        <v>30.48</v>
      </c>
      <c r="E1097" s="6">
        <v>30.64</v>
      </c>
      <c r="F1097" s="4"/>
      <c r="G1097" s="7">
        <v>31.07</v>
      </c>
      <c r="H1097" s="7">
        <v>28.0</v>
      </c>
      <c r="I1097" s="7" t="e">
        <v>#N/A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>
      <c r="A1098" s="5" t="s">
        <v>2209</v>
      </c>
      <c r="B1098" s="5" t="s">
        <v>2210</v>
      </c>
      <c r="C1098" s="4" t="s">
        <v>169</v>
      </c>
      <c r="D1098" s="6">
        <v>0.44</v>
      </c>
      <c r="E1098" s="6">
        <v>0.44</v>
      </c>
      <c r="F1098" s="7">
        <v>15.19</v>
      </c>
      <c r="G1098" s="7">
        <v>0.46</v>
      </c>
      <c r="H1098" s="7">
        <v>0.41</v>
      </c>
      <c r="I1098" s="7">
        <v>4.515419E7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>
      <c r="A1099" s="5" t="s">
        <v>2211</v>
      </c>
      <c r="B1099" s="5" t="s">
        <v>2212</v>
      </c>
      <c r="C1099" s="4" t="s">
        <v>34</v>
      </c>
      <c r="D1099" s="6">
        <v>25.18</v>
      </c>
      <c r="E1099" s="6">
        <v>25.18</v>
      </c>
      <c r="F1099" s="4"/>
      <c r="G1099" s="7">
        <v>29.26</v>
      </c>
      <c r="H1099" s="7">
        <v>24.5</v>
      </c>
      <c r="I1099" s="7" t="e">
        <v>#N/A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>
      <c r="A1100" s="5" t="s">
        <v>2213</v>
      </c>
      <c r="B1100" s="5" t="s">
        <v>2214</v>
      </c>
      <c r="C1100" s="4" t="s">
        <v>23</v>
      </c>
      <c r="D1100" s="6">
        <v>0.03</v>
      </c>
      <c r="E1100" s="6">
        <v>0.03</v>
      </c>
      <c r="F1100" s="4"/>
      <c r="G1100" s="7">
        <v>0.06</v>
      </c>
      <c r="H1100" s="7">
        <v>0.01</v>
      </c>
      <c r="I1100" s="7">
        <v>1.0533068E7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>
      <c r="A1101" s="5" t="s">
        <v>2215</v>
      </c>
      <c r="B1101" s="5" t="s">
        <v>2216</v>
      </c>
      <c r="C1101" s="4" t="s">
        <v>182</v>
      </c>
      <c r="D1101" s="6">
        <v>0.05</v>
      </c>
      <c r="E1101" s="6">
        <v>0.05</v>
      </c>
      <c r="F1101" s="4"/>
      <c r="G1101" s="7">
        <v>0.1</v>
      </c>
      <c r="H1101" s="7">
        <v>0.01</v>
      </c>
      <c r="I1101" s="7">
        <v>2.5995652E7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>
      <c r="A1102" s="5" t="s">
        <v>2217</v>
      </c>
      <c r="B1102" s="5" t="s">
        <v>2218</v>
      </c>
      <c r="C1102" s="4" t="s">
        <v>14</v>
      </c>
      <c r="D1102" s="6">
        <v>0.02</v>
      </c>
      <c r="E1102" s="6">
        <v>0.02</v>
      </c>
      <c r="F1102" s="7">
        <v>55.17</v>
      </c>
      <c r="G1102" s="7">
        <v>0.03</v>
      </c>
      <c r="H1102" s="7">
        <v>0.02</v>
      </c>
      <c r="I1102" s="7">
        <v>2.048652E7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>
      <c r="A1103" s="5" t="s">
        <v>2219</v>
      </c>
      <c r="B1103" s="5" t="s">
        <v>2220</v>
      </c>
      <c r="C1103" s="4" t="s">
        <v>86</v>
      </c>
      <c r="D1103" s="6">
        <v>0.07</v>
      </c>
      <c r="E1103" s="6">
        <v>0.07</v>
      </c>
      <c r="F1103" s="4"/>
      <c r="G1103" s="7">
        <v>0.1</v>
      </c>
      <c r="H1103" s="7">
        <v>0.05</v>
      </c>
      <c r="I1103" s="7">
        <v>2.4073098E7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>
      <c r="A1104" s="5" t="s">
        <v>2221</v>
      </c>
      <c r="B1104" s="5" t="s">
        <v>2222</v>
      </c>
      <c r="C1104" s="4" t="s">
        <v>34</v>
      </c>
      <c r="D1104" s="6">
        <v>100.53</v>
      </c>
      <c r="E1104" s="6">
        <v>100.53</v>
      </c>
      <c r="F1104" s="4"/>
      <c r="G1104" s="7">
        <v>100.53</v>
      </c>
      <c r="H1104" s="7">
        <v>100.15</v>
      </c>
      <c r="I1104" s="7" t="e">
        <v>#N/A</v>
      </c>
      <c r="J1104" s="7">
        <v>0.003</v>
      </c>
      <c r="K1104" s="7">
        <v>0.003</v>
      </c>
      <c r="L1104" s="7">
        <v>0.005</v>
      </c>
      <c r="M1104" s="7">
        <v>0.002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>
      <c r="A1105" s="5" t="s">
        <v>2223</v>
      </c>
      <c r="B1105" s="5" t="s">
        <v>2224</v>
      </c>
      <c r="C1105" s="4" t="s">
        <v>76</v>
      </c>
      <c r="D1105" s="6">
        <v>0.01</v>
      </c>
      <c r="E1105" s="6">
        <v>0.01</v>
      </c>
      <c r="F1105" s="4"/>
      <c r="G1105" s="7">
        <v>0.01</v>
      </c>
      <c r="H1105" s="7">
        <v>0.01</v>
      </c>
      <c r="I1105" s="7">
        <v>3225660.0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>
      <c r="A1106" s="5" t="s">
        <v>2225</v>
      </c>
      <c r="B1106" s="5" t="s">
        <v>2226</v>
      </c>
      <c r="C1106" s="4" t="s">
        <v>34</v>
      </c>
      <c r="D1106" s="6">
        <v>95.43</v>
      </c>
      <c r="E1106" s="6">
        <v>95.33</v>
      </c>
      <c r="F1106" s="4"/>
      <c r="G1106" s="7">
        <v>97.54</v>
      </c>
      <c r="H1106" s="7">
        <v>93.98</v>
      </c>
      <c r="I1106" s="7" t="e">
        <v>#N/A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>
      <c r="A1107" s="5" t="s">
        <v>2227</v>
      </c>
      <c r="B1107" s="5" t="s">
        <v>2228</v>
      </c>
      <c r="C1107" s="4" t="s">
        <v>2229</v>
      </c>
      <c r="D1107" s="6">
        <v>0.02</v>
      </c>
      <c r="E1107" s="6">
        <v>0.02</v>
      </c>
      <c r="F1107" s="4"/>
      <c r="G1107" s="7">
        <v>0.04</v>
      </c>
      <c r="H1107" s="7">
        <v>0.01</v>
      </c>
      <c r="I1107" s="7">
        <v>1.78614E7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>
      <c r="A1108" s="5" t="s">
        <v>2230</v>
      </c>
      <c r="B1108" s="5" t="s">
        <v>2231</v>
      </c>
      <c r="C1108" s="4" t="s">
        <v>387</v>
      </c>
      <c r="D1108" s="6">
        <v>0.0</v>
      </c>
      <c r="E1108" s="6">
        <v>0.0</v>
      </c>
      <c r="F1108" s="4"/>
      <c r="G1108" s="7">
        <v>0.0</v>
      </c>
      <c r="H1108" s="7">
        <v>0.0</v>
      </c>
      <c r="I1108" s="7">
        <v>304510.0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>
      <c r="A1109" s="5" t="s">
        <v>2232</v>
      </c>
      <c r="B1109" s="5" t="s">
        <v>2233</v>
      </c>
      <c r="C1109" s="4" t="s">
        <v>14</v>
      </c>
      <c r="D1109" s="6">
        <v>0.01</v>
      </c>
      <c r="E1109" s="6">
        <v>0.01</v>
      </c>
      <c r="F1109" s="4"/>
      <c r="G1109" s="7">
        <v>0.02</v>
      </c>
      <c r="H1109" s="7">
        <v>0.01</v>
      </c>
      <c r="I1109" s="7">
        <v>7460980.0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>
      <c r="A1110" s="5" t="s">
        <v>2234</v>
      </c>
      <c r="B1110" s="5" t="s">
        <v>2235</v>
      </c>
      <c r="C1110" s="4" t="s">
        <v>17</v>
      </c>
      <c r="D1110" s="6">
        <v>0.04</v>
      </c>
      <c r="E1110" s="6">
        <v>0.04</v>
      </c>
      <c r="F1110" s="7">
        <v>0.26</v>
      </c>
      <c r="G1110" s="7">
        <v>0.09</v>
      </c>
      <c r="H1110" s="7">
        <v>0.03</v>
      </c>
      <c r="I1110" s="7">
        <v>2.5733202E7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>
      <c r="A1111" s="5" t="s">
        <v>2236</v>
      </c>
      <c r="B1111" s="5" t="s">
        <v>2237</v>
      </c>
      <c r="C1111" s="4" t="s">
        <v>23</v>
      </c>
      <c r="D1111" s="6">
        <v>0.05</v>
      </c>
      <c r="E1111" s="6">
        <v>0.05</v>
      </c>
      <c r="F1111" s="4"/>
      <c r="G1111" s="7">
        <v>0.13</v>
      </c>
      <c r="H1111" s="7">
        <v>0.05</v>
      </c>
      <c r="I1111" s="7">
        <v>2.3542596E7</v>
      </c>
      <c r="J1111" s="7">
        <v>6.27</v>
      </c>
      <c r="K1111" s="7">
        <v>6.28</v>
      </c>
      <c r="L1111" s="7">
        <v>7.39</v>
      </c>
      <c r="M1111" s="7">
        <v>5.81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>
      <c r="A1112" s="5" t="s">
        <v>2238</v>
      </c>
      <c r="B1112" s="5" t="s">
        <v>2239</v>
      </c>
      <c r="C1112" s="4" t="s">
        <v>162</v>
      </c>
      <c r="D1112" s="6">
        <v>2.51</v>
      </c>
      <c r="E1112" s="6">
        <v>2.54</v>
      </c>
      <c r="F1112" s="7">
        <v>166.67</v>
      </c>
      <c r="G1112" s="7">
        <v>3.15</v>
      </c>
      <c r="H1112" s="7">
        <v>1.91</v>
      </c>
      <c r="I1112" s="7">
        <v>9.36045762E8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>
      <c r="A1113" s="5" t="s">
        <v>2240</v>
      </c>
      <c r="B1113" s="5" t="s">
        <v>2241</v>
      </c>
      <c r="C1113" s="4" t="s">
        <v>1457</v>
      </c>
      <c r="D1113" s="6">
        <v>5.75</v>
      </c>
      <c r="E1113" s="6">
        <v>5.78</v>
      </c>
      <c r="F1113" s="7">
        <v>36.11</v>
      </c>
      <c r="G1113" s="7">
        <v>13.43</v>
      </c>
      <c r="H1113" s="7">
        <v>3.41</v>
      </c>
      <c r="I1113" s="7">
        <v>1.600432575E9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>
      <c r="A1114" s="5" t="s">
        <v>2242</v>
      </c>
      <c r="B1114" s="5" t="s">
        <v>2243</v>
      </c>
      <c r="C1114" s="4" t="s">
        <v>34</v>
      </c>
      <c r="D1114" s="6">
        <v>84.01</v>
      </c>
      <c r="E1114" s="6">
        <v>82.38</v>
      </c>
      <c r="F1114" s="4"/>
      <c r="G1114" s="7">
        <v>86.18</v>
      </c>
      <c r="H1114" s="7">
        <v>64.46</v>
      </c>
      <c r="I1114" s="7" t="e">
        <v>#N/A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>
      <c r="A1115" s="5" t="s">
        <v>2244</v>
      </c>
      <c r="B1115" s="5" t="s">
        <v>2245</v>
      </c>
      <c r="C1115" s="4" t="s">
        <v>1535</v>
      </c>
      <c r="D1115" s="6">
        <v>0.04</v>
      </c>
      <c r="E1115" s="6">
        <v>0.04</v>
      </c>
      <c r="F1115" s="4"/>
      <c r="G1115" s="7">
        <v>0.04</v>
      </c>
      <c r="H1115" s="7">
        <v>0.04</v>
      </c>
      <c r="I1115" s="7">
        <v>5128939.0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>
      <c r="A1116" s="5" t="s">
        <v>2246</v>
      </c>
      <c r="B1116" s="5" t="s">
        <v>2247</v>
      </c>
      <c r="C1116" s="4" t="s">
        <v>34</v>
      </c>
      <c r="D1116" s="6">
        <v>31.83</v>
      </c>
      <c r="E1116" s="6">
        <v>31.79</v>
      </c>
      <c r="F1116" s="4"/>
      <c r="G1116" s="7">
        <v>33.93</v>
      </c>
      <c r="H1116" s="7">
        <v>26.88</v>
      </c>
      <c r="I1116" s="7" t="e">
        <v>#N/A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>
      <c r="A1117" s="5" t="s">
        <v>2248</v>
      </c>
      <c r="B1117" s="5" t="s">
        <v>2249</v>
      </c>
      <c r="C1117" s="4" t="s">
        <v>34</v>
      </c>
      <c r="D1117" s="6">
        <v>101.61</v>
      </c>
      <c r="E1117" s="6">
        <v>101.57</v>
      </c>
      <c r="F1117" s="4"/>
      <c r="G1117" s="7">
        <v>104.01</v>
      </c>
      <c r="H1117" s="7">
        <v>83.21</v>
      </c>
      <c r="I1117" s="7" t="e">
        <v>#N/A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>
      <c r="A1118" s="5" t="s">
        <v>2250</v>
      </c>
      <c r="B1118" s="5" t="s">
        <v>2251</v>
      </c>
      <c r="C1118" s="4" t="s">
        <v>14</v>
      </c>
      <c r="D1118" s="6">
        <v>0.02</v>
      </c>
      <c r="E1118" s="6">
        <v>0.02</v>
      </c>
      <c r="F1118" s="4"/>
      <c r="G1118" s="7">
        <v>0.04</v>
      </c>
      <c r="H1118" s="7">
        <v>0.0</v>
      </c>
      <c r="I1118" s="7">
        <v>8305660.0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>
      <c r="A1119" s="5" t="s">
        <v>2252</v>
      </c>
      <c r="B1119" s="5" t="s">
        <v>2253</v>
      </c>
      <c r="C1119" s="4" t="s">
        <v>169</v>
      </c>
      <c r="D1119" s="6">
        <v>4.55</v>
      </c>
      <c r="E1119" s="6">
        <v>4.56</v>
      </c>
      <c r="F1119" s="7">
        <v>188.8</v>
      </c>
      <c r="G1119" s="7">
        <v>4.84</v>
      </c>
      <c r="H1119" s="7">
        <v>3.27</v>
      </c>
      <c r="I1119" s="7">
        <v>3.051803427E9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>
      <c r="A1120" s="5" t="s">
        <v>2254</v>
      </c>
      <c r="B1120" s="5" t="s">
        <v>2255</v>
      </c>
      <c r="C1120" s="4" t="s">
        <v>121</v>
      </c>
      <c r="D1120" s="6">
        <v>0.82</v>
      </c>
      <c r="E1120" s="6">
        <v>0.77</v>
      </c>
      <c r="F1120" s="4"/>
      <c r="G1120" s="7">
        <v>1.3</v>
      </c>
      <c r="H1120" s="7">
        <v>0.69</v>
      </c>
      <c r="I1120" s="7">
        <v>1.10094429E8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>
      <c r="A1121" s="5" t="s">
        <v>2256</v>
      </c>
      <c r="B1121" s="5" t="s">
        <v>2257</v>
      </c>
      <c r="C1121" s="4" t="s">
        <v>34</v>
      </c>
      <c r="D1121" s="6">
        <v>23.25</v>
      </c>
      <c r="E1121" s="6">
        <v>23.49</v>
      </c>
      <c r="F1121" s="4"/>
      <c r="G1121" s="7">
        <v>24.5</v>
      </c>
      <c r="H1121" s="7">
        <v>20.38</v>
      </c>
      <c r="I1121" s="7" t="e">
        <v>#N/A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>
      <c r="A1122" s="5" t="s">
        <v>2258</v>
      </c>
      <c r="B1122" s="5" t="s">
        <v>2259</v>
      </c>
      <c r="C1122" s="4" t="s">
        <v>169</v>
      </c>
      <c r="D1122" s="6">
        <v>9.76</v>
      </c>
      <c r="E1122" s="6">
        <v>9.74</v>
      </c>
      <c r="F1122" s="4"/>
      <c r="G1122" s="7">
        <v>11.63</v>
      </c>
      <c r="H1122" s="7">
        <v>8.44</v>
      </c>
      <c r="I1122" s="7">
        <v>1.136576E10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>
      <c r="A1123" s="5" t="s">
        <v>2260</v>
      </c>
      <c r="B1123" s="5" t="s">
        <v>2261</v>
      </c>
      <c r="C1123" s="4" t="s">
        <v>37</v>
      </c>
      <c r="D1123" s="6">
        <v>0.06</v>
      </c>
      <c r="E1123" s="6">
        <v>0.06</v>
      </c>
      <c r="F1123" s="4"/>
      <c r="G1123" s="7">
        <v>0.13</v>
      </c>
      <c r="H1123" s="7">
        <v>0.04</v>
      </c>
      <c r="I1123" s="7">
        <v>1.2402983E7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>
      <c r="A1124" s="5" t="s">
        <v>2262</v>
      </c>
      <c r="B1124" s="5" t="s">
        <v>2263</v>
      </c>
      <c r="C1124" s="4" t="s">
        <v>34</v>
      </c>
      <c r="D1124" s="6">
        <v>97.16</v>
      </c>
      <c r="E1124" s="6">
        <v>97.46</v>
      </c>
      <c r="F1124" s="4"/>
      <c r="G1124" s="7">
        <v>100.76</v>
      </c>
      <c r="H1124" s="7">
        <v>96.19</v>
      </c>
      <c r="I1124" s="7" t="e">
        <v>#N/A</v>
      </c>
      <c r="J1124" s="7">
        <v>0.004</v>
      </c>
      <c r="K1124" s="4"/>
      <c r="L1124" s="7">
        <v>0.02</v>
      </c>
      <c r="M1124" s="7">
        <v>0.004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>
      <c r="A1125" s="5" t="s">
        <v>2264</v>
      </c>
      <c r="B1125" s="5" t="s">
        <v>2265</v>
      </c>
      <c r="C1125" s="4" t="s">
        <v>1470</v>
      </c>
      <c r="D1125" s="6">
        <v>2.95</v>
      </c>
      <c r="E1125" s="6">
        <v>3.01</v>
      </c>
      <c r="F1125" s="7">
        <v>9.87</v>
      </c>
      <c r="G1125" s="7">
        <v>3.22</v>
      </c>
      <c r="H1125" s="7">
        <v>2.06</v>
      </c>
      <c r="I1125" s="7">
        <v>4.54610347E8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>
      <c r="A1126" s="5" t="s">
        <v>2266</v>
      </c>
      <c r="B1126" s="5" t="s">
        <v>2267</v>
      </c>
      <c r="C1126" s="4" t="s">
        <v>506</v>
      </c>
      <c r="D1126" s="6">
        <v>0.71</v>
      </c>
      <c r="E1126" s="6">
        <v>0.71</v>
      </c>
      <c r="F1126" s="7">
        <v>9.76</v>
      </c>
      <c r="G1126" s="7">
        <v>1.65</v>
      </c>
      <c r="H1126" s="7">
        <v>0.71</v>
      </c>
      <c r="I1126" s="7">
        <v>1.174355E7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>
      <c r="A1127" s="5" t="s">
        <v>2268</v>
      </c>
      <c r="B1127" s="5" t="s">
        <v>2269</v>
      </c>
      <c r="C1127" s="4" t="s">
        <v>37</v>
      </c>
      <c r="D1127" s="6">
        <v>8.21</v>
      </c>
      <c r="E1127" s="6">
        <v>8.2</v>
      </c>
      <c r="F1127" s="4"/>
      <c r="G1127" s="7">
        <v>8.36</v>
      </c>
      <c r="H1127" s="7">
        <v>3.09</v>
      </c>
      <c r="I1127" s="7">
        <v>6.217168666E9</v>
      </c>
      <c r="J1127" s="7">
        <v>17.56</v>
      </c>
      <c r="K1127" s="7">
        <v>17.57</v>
      </c>
      <c r="L1127" s="7">
        <v>19.65</v>
      </c>
      <c r="M1127" s="7">
        <v>14.41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>
      <c r="A1128" s="5" t="s">
        <v>2270</v>
      </c>
      <c r="B1128" s="5" t="s">
        <v>2271</v>
      </c>
      <c r="C1128" s="4" t="s">
        <v>34</v>
      </c>
      <c r="D1128" s="6">
        <v>35.9</v>
      </c>
      <c r="E1128" s="6">
        <v>35.65</v>
      </c>
      <c r="F1128" s="4"/>
      <c r="G1128" s="7">
        <v>37.1</v>
      </c>
      <c r="H1128" s="7">
        <v>29.68</v>
      </c>
      <c r="I1128" s="7" t="e">
        <v>#N/A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>
      <c r="A1129" s="5" t="s">
        <v>2272</v>
      </c>
      <c r="B1129" s="5" t="s">
        <v>2273</v>
      </c>
      <c r="C1129" s="4" t="s">
        <v>34</v>
      </c>
      <c r="D1129" s="6">
        <v>92.69</v>
      </c>
      <c r="E1129" s="6">
        <v>92.95</v>
      </c>
      <c r="F1129" s="4"/>
      <c r="G1129" s="7">
        <v>94.42</v>
      </c>
      <c r="H1129" s="7">
        <v>87.26</v>
      </c>
      <c r="I1129" s="7" t="e">
        <v>#N/A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>
      <c r="A1130" s="5" t="s">
        <v>2274</v>
      </c>
      <c r="B1130" s="5" t="s">
        <v>2275</v>
      </c>
      <c r="C1130" s="4" t="s">
        <v>34</v>
      </c>
      <c r="D1130" s="6">
        <v>16.66</v>
      </c>
      <c r="E1130" s="6">
        <v>16.55</v>
      </c>
      <c r="F1130" s="4"/>
      <c r="G1130" s="7">
        <v>16.72</v>
      </c>
      <c r="H1130" s="7">
        <v>12.95</v>
      </c>
      <c r="I1130" s="7" t="e">
        <v>#N/A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>
      <c r="A1131" s="5" t="s">
        <v>2276</v>
      </c>
      <c r="B1131" s="5" t="s">
        <v>2277</v>
      </c>
      <c r="C1131" s="4" t="s">
        <v>34</v>
      </c>
      <c r="D1131" s="6">
        <v>79.4</v>
      </c>
      <c r="E1131" s="6">
        <v>79.4</v>
      </c>
      <c r="F1131" s="4"/>
      <c r="G1131" s="7">
        <v>79.55</v>
      </c>
      <c r="H1131" s="7">
        <v>70.25</v>
      </c>
      <c r="I1131" s="7" t="e">
        <v>#N/A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>
      <c r="A1132" s="5" t="s">
        <v>2278</v>
      </c>
      <c r="B1132" s="5" t="s">
        <v>2279</v>
      </c>
      <c r="C1132" s="4" t="s">
        <v>34</v>
      </c>
      <c r="D1132" s="6">
        <v>94.76</v>
      </c>
      <c r="E1132" s="6">
        <v>95.01</v>
      </c>
      <c r="F1132" s="4"/>
      <c r="G1132" s="7">
        <v>96.39</v>
      </c>
      <c r="H1132" s="7">
        <v>88.3</v>
      </c>
      <c r="I1132" s="7" t="e">
        <v>#N/A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>
      <c r="A1133" s="5" t="s">
        <v>2280</v>
      </c>
      <c r="B1133" s="5" t="s">
        <v>2281</v>
      </c>
      <c r="C1133" s="4" t="s">
        <v>34</v>
      </c>
      <c r="D1133" s="6">
        <v>229.78</v>
      </c>
      <c r="E1133" s="6">
        <v>229.26</v>
      </c>
      <c r="F1133" s="4"/>
      <c r="G1133" s="7">
        <v>230.41</v>
      </c>
      <c r="H1133" s="7">
        <v>150.0</v>
      </c>
      <c r="I1133" s="7" t="e">
        <v>#N/A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>
      <c r="A1134" s="5" t="s">
        <v>2282</v>
      </c>
      <c r="B1134" s="5" t="s">
        <v>2283</v>
      </c>
      <c r="C1134" s="4" t="s">
        <v>34</v>
      </c>
      <c r="D1134" s="6">
        <v>62.72</v>
      </c>
      <c r="E1134" s="6">
        <v>62.84</v>
      </c>
      <c r="F1134" s="4"/>
      <c r="G1134" s="7">
        <v>63.24</v>
      </c>
      <c r="H1134" s="7">
        <v>44.18</v>
      </c>
      <c r="I1134" s="7" t="e">
        <v>#N/A</v>
      </c>
      <c r="J1134" s="7">
        <v>0.022</v>
      </c>
      <c r="K1134" s="7">
        <v>0.022</v>
      </c>
      <c r="L1134" s="7">
        <v>0.295</v>
      </c>
      <c r="M1134" s="7">
        <v>0.019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>
      <c r="A1135" s="5" t="s">
        <v>2284</v>
      </c>
      <c r="B1135" s="5" t="s">
        <v>2285</v>
      </c>
      <c r="C1135" s="4" t="s">
        <v>34</v>
      </c>
      <c r="D1135" s="6">
        <v>61.94</v>
      </c>
      <c r="E1135" s="6">
        <v>61.96</v>
      </c>
      <c r="F1135" s="4"/>
      <c r="G1135" s="7">
        <v>62.5</v>
      </c>
      <c r="H1135" s="7">
        <v>43.2</v>
      </c>
      <c r="I1135" s="7" t="e">
        <v>#N/A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>
      <c r="A1136" s="5" t="s">
        <v>2286</v>
      </c>
      <c r="B1136" s="5" t="s">
        <v>2287</v>
      </c>
      <c r="C1136" s="4" t="s">
        <v>34</v>
      </c>
      <c r="D1136" s="6" t="e">
        <v>#N/A</v>
      </c>
      <c r="E1136" s="6" t="e">
        <v>#N/A</v>
      </c>
      <c r="F1136" s="4"/>
      <c r="G1136" s="4"/>
      <c r="H1136" s="4"/>
      <c r="I1136" s="7" t="e">
        <v>#N/A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>
      <c r="A1137" s="5" t="s">
        <v>2288</v>
      </c>
      <c r="B1137" s="5" t="s">
        <v>2289</v>
      </c>
      <c r="C1137" s="4" t="s">
        <v>34</v>
      </c>
      <c r="D1137" s="6">
        <v>11.59</v>
      </c>
      <c r="E1137" s="6">
        <v>11.53</v>
      </c>
      <c r="F1137" s="4"/>
      <c r="G1137" s="7">
        <v>12.7</v>
      </c>
      <c r="H1137" s="7">
        <v>10.81</v>
      </c>
      <c r="I1137" s="7" t="e">
        <v>#N/A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>
      <c r="A1138" s="5" t="s">
        <v>2290</v>
      </c>
      <c r="B1138" s="5" t="s">
        <v>2291</v>
      </c>
      <c r="C1138" s="4" t="s">
        <v>172</v>
      </c>
      <c r="D1138" s="6">
        <v>0.4</v>
      </c>
      <c r="E1138" s="6">
        <v>0.39</v>
      </c>
      <c r="F1138" s="4"/>
      <c r="G1138" s="7">
        <v>0.69</v>
      </c>
      <c r="H1138" s="7">
        <v>0.32</v>
      </c>
      <c r="I1138" s="7">
        <v>5.59492E7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>
      <c r="A1139" s="5" t="s">
        <v>2292</v>
      </c>
      <c r="B1139" s="5" t="s">
        <v>2293</v>
      </c>
      <c r="C1139" s="4" t="s">
        <v>34</v>
      </c>
      <c r="D1139" s="6" t="e">
        <v>#N/A</v>
      </c>
      <c r="E1139" s="6" t="e">
        <v>#N/A</v>
      </c>
      <c r="F1139" s="4"/>
      <c r="G1139" s="4"/>
      <c r="H1139" s="4"/>
      <c r="I1139" s="7" t="e">
        <v>#N/A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>
      <c r="A1140" s="5" t="s">
        <v>2294</v>
      </c>
      <c r="B1140" s="5" t="s">
        <v>2295</v>
      </c>
      <c r="C1140" s="4" t="s">
        <v>34</v>
      </c>
      <c r="D1140" s="6">
        <v>49.42</v>
      </c>
      <c r="E1140" s="6">
        <v>49.81</v>
      </c>
      <c r="F1140" s="4"/>
      <c r="G1140" s="7">
        <v>53.24</v>
      </c>
      <c r="H1140" s="7">
        <v>41.55</v>
      </c>
      <c r="I1140" s="7">
        <v>1.719252544E10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>
      <c r="A1141" s="5" t="s">
        <v>2296</v>
      </c>
      <c r="B1141" s="5" t="s">
        <v>2297</v>
      </c>
      <c r="C1141" s="4" t="s">
        <v>34</v>
      </c>
      <c r="D1141" s="6">
        <v>120.85</v>
      </c>
      <c r="E1141" s="6">
        <v>119.95</v>
      </c>
      <c r="F1141" s="4"/>
      <c r="G1141" s="7">
        <v>129.25</v>
      </c>
      <c r="H1141" s="7">
        <v>98.0</v>
      </c>
      <c r="I1141" s="7" t="e">
        <v>#N/A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>
      <c r="A1142" s="5" t="s">
        <v>2298</v>
      </c>
      <c r="B1142" s="5" t="s">
        <v>2299</v>
      </c>
      <c r="C1142" s="4" t="s">
        <v>34</v>
      </c>
      <c r="D1142" s="6">
        <v>180.61</v>
      </c>
      <c r="E1142" s="6">
        <v>181.77</v>
      </c>
      <c r="F1142" s="4"/>
      <c r="G1142" s="7">
        <v>194.66</v>
      </c>
      <c r="H1142" s="7">
        <v>147.06</v>
      </c>
      <c r="I1142" s="7" t="e">
        <v>#N/A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>
      <c r="A1143" s="5" t="s">
        <v>2300</v>
      </c>
      <c r="B1143" s="5" t="s">
        <v>2301</v>
      </c>
      <c r="C1143" s="4" t="s">
        <v>50</v>
      </c>
      <c r="D1143" s="6">
        <v>0.96</v>
      </c>
      <c r="E1143" s="6">
        <v>0.97</v>
      </c>
      <c r="F1143" s="4"/>
      <c r="G1143" s="7">
        <v>1.15</v>
      </c>
      <c r="H1143" s="7">
        <v>0.51</v>
      </c>
      <c r="I1143" s="7">
        <v>2.19807E8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>
      <c r="A1144" s="5" t="s">
        <v>2302</v>
      </c>
      <c r="B1144" s="5" t="s">
        <v>2303</v>
      </c>
      <c r="C1144" s="4" t="s">
        <v>34</v>
      </c>
      <c r="D1144" s="6">
        <v>155.76</v>
      </c>
      <c r="E1144" s="6">
        <v>152.5</v>
      </c>
      <c r="F1144" s="4"/>
      <c r="G1144" s="7">
        <v>160.0</v>
      </c>
      <c r="H1144" s="7">
        <v>84.51</v>
      </c>
      <c r="I1144" s="7">
        <v>7.395617088E9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>
      <c r="A1145" s="5" t="s">
        <v>2304</v>
      </c>
      <c r="B1145" s="5" t="s">
        <v>2305</v>
      </c>
      <c r="C1145" s="4" t="s">
        <v>23</v>
      </c>
      <c r="D1145" s="6">
        <v>0.44</v>
      </c>
      <c r="E1145" s="6">
        <v>0.43</v>
      </c>
      <c r="F1145" s="4"/>
      <c r="G1145" s="7">
        <v>0.63</v>
      </c>
      <c r="H1145" s="7">
        <v>0.12</v>
      </c>
      <c r="I1145" s="7">
        <v>1.17037751E8</v>
      </c>
      <c r="J1145" s="7">
        <v>9.98</v>
      </c>
      <c r="K1145" s="7">
        <v>9.82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>
      <c r="A1146" s="5" t="s">
        <v>2306</v>
      </c>
      <c r="B1146" s="5" t="s">
        <v>2307</v>
      </c>
      <c r="C1146" s="4" t="s">
        <v>34</v>
      </c>
      <c r="D1146" s="6">
        <v>125.04</v>
      </c>
      <c r="E1146" s="6">
        <v>126.0</v>
      </c>
      <c r="F1146" s="4"/>
      <c r="G1146" s="7">
        <v>130.0</v>
      </c>
      <c r="H1146" s="7">
        <v>121.38</v>
      </c>
      <c r="I1146" s="7" t="e">
        <v>#N/A</v>
      </c>
      <c r="J1146" s="7">
        <v>11.34</v>
      </c>
      <c r="K1146" s="7">
        <v>11.42</v>
      </c>
      <c r="L1146" s="7">
        <v>11.61</v>
      </c>
      <c r="M1146" s="7">
        <v>9.83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>
      <c r="A1147" s="5" t="s">
        <v>2308</v>
      </c>
      <c r="B1147" s="5" t="s">
        <v>2309</v>
      </c>
      <c r="C1147" s="4" t="s">
        <v>34</v>
      </c>
      <c r="D1147" s="6">
        <v>32.69</v>
      </c>
      <c r="E1147" s="6">
        <v>32.48</v>
      </c>
      <c r="F1147" s="4"/>
      <c r="G1147" s="7">
        <v>34.22</v>
      </c>
      <c r="H1147" s="7">
        <v>27.49</v>
      </c>
      <c r="I1147" s="7" t="e">
        <v>#N/A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>
      <c r="A1148" s="5" t="s">
        <v>2310</v>
      </c>
      <c r="B1148" s="5" t="s">
        <v>2311</v>
      </c>
      <c r="C1148" s="4" t="s">
        <v>17</v>
      </c>
      <c r="D1148" s="6">
        <v>0.64</v>
      </c>
      <c r="E1148" s="6">
        <v>0.58</v>
      </c>
      <c r="F1148" s="4"/>
      <c r="G1148" s="7">
        <v>0.72</v>
      </c>
      <c r="H1148" s="7">
        <v>0.17</v>
      </c>
      <c r="I1148" s="7">
        <v>4.7837566E7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>
      <c r="A1149" s="5" t="s">
        <v>2312</v>
      </c>
      <c r="B1149" s="5" t="s">
        <v>2313</v>
      </c>
      <c r="C1149" s="4" t="s">
        <v>37</v>
      </c>
      <c r="D1149" s="6">
        <v>5.87</v>
      </c>
      <c r="E1149" s="6">
        <v>5.79</v>
      </c>
      <c r="F1149" s="7">
        <v>13.39</v>
      </c>
      <c r="G1149" s="7">
        <v>9.48</v>
      </c>
      <c r="H1149" s="7">
        <v>3.14</v>
      </c>
      <c r="I1149" s="7">
        <v>2.522361843E9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>
      <c r="A1150" s="5" t="s">
        <v>2314</v>
      </c>
      <c r="B1150" s="5" t="s">
        <v>2315</v>
      </c>
      <c r="C1150" s="4" t="s">
        <v>17</v>
      </c>
      <c r="D1150" s="6">
        <v>0.06</v>
      </c>
      <c r="E1150" s="6">
        <v>0.06</v>
      </c>
      <c r="F1150" s="4"/>
      <c r="G1150" s="7">
        <v>0.11</v>
      </c>
      <c r="H1150" s="7">
        <v>0.05</v>
      </c>
      <c r="I1150" s="7">
        <v>5.9919508E7</v>
      </c>
      <c r="J1150" s="7">
        <v>2.96</v>
      </c>
      <c r="K1150" s="7">
        <v>3.11</v>
      </c>
      <c r="L1150" s="7">
        <v>3.33</v>
      </c>
      <c r="M1150" s="7">
        <v>2.8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>
      <c r="A1151" s="5" t="s">
        <v>2316</v>
      </c>
      <c r="B1151" s="5" t="s">
        <v>2317</v>
      </c>
      <c r="C1151" s="4" t="s">
        <v>159</v>
      </c>
      <c r="D1151" s="6">
        <v>0.73</v>
      </c>
      <c r="E1151" s="6">
        <v>0.71</v>
      </c>
      <c r="F1151" s="4"/>
      <c r="G1151" s="7">
        <v>0.74</v>
      </c>
      <c r="H1151" s="7">
        <v>0.43</v>
      </c>
      <c r="I1151" s="7">
        <v>2.98509709E8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>
      <c r="A1152" s="5" t="s">
        <v>2318</v>
      </c>
      <c r="B1152" s="5" t="s">
        <v>2319</v>
      </c>
      <c r="C1152" s="4" t="s">
        <v>172</v>
      </c>
      <c r="D1152" s="6">
        <v>0.04</v>
      </c>
      <c r="E1152" s="6">
        <v>0.04</v>
      </c>
      <c r="F1152" s="4"/>
      <c r="G1152" s="7">
        <v>0.1</v>
      </c>
      <c r="H1152" s="7">
        <v>0.03</v>
      </c>
      <c r="I1152" s="7">
        <v>8206029.0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>
      <c r="A1153" s="5" t="s">
        <v>2320</v>
      </c>
      <c r="B1153" s="5" t="s">
        <v>2321</v>
      </c>
      <c r="C1153" s="4" t="s">
        <v>394</v>
      </c>
      <c r="D1153" s="6">
        <v>3.46</v>
      </c>
      <c r="E1153" s="6">
        <v>3.44</v>
      </c>
      <c r="F1153" s="7">
        <v>33.84</v>
      </c>
      <c r="G1153" s="7">
        <v>3.85</v>
      </c>
      <c r="H1153" s="7">
        <v>2.27</v>
      </c>
      <c r="I1153" s="7">
        <v>1.770972647E9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>
      <c r="A1154" s="5" t="s">
        <v>2322</v>
      </c>
      <c r="B1154" s="5" t="s">
        <v>2323</v>
      </c>
      <c r="C1154" s="4" t="s">
        <v>60</v>
      </c>
      <c r="D1154" s="6">
        <v>0.4</v>
      </c>
      <c r="E1154" s="6">
        <v>0.4</v>
      </c>
      <c r="F1154" s="4"/>
      <c r="G1154" s="7">
        <v>0.45</v>
      </c>
      <c r="H1154" s="7">
        <v>0.22</v>
      </c>
      <c r="I1154" s="7">
        <v>2.1620276E7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>
      <c r="A1155" s="5" t="s">
        <v>2324</v>
      </c>
      <c r="B1155" s="5" t="s">
        <v>2325</v>
      </c>
      <c r="C1155" s="4" t="s">
        <v>17</v>
      </c>
      <c r="D1155" s="6">
        <v>0.01</v>
      </c>
      <c r="E1155" s="6">
        <v>0.01</v>
      </c>
      <c r="F1155" s="4"/>
      <c r="G1155" s="7">
        <v>0.02</v>
      </c>
      <c r="H1155" s="7">
        <v>0.01</v>
      </c>
      <c r="I1155" s="7">
        <v>4707140.0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>
      <c r="A1156" s="5" t="s">
        <v>2326</v>
      </c>
      <c r="B1156" s="5" t="s">
        <v>2327</v>
      </c>
      <c r="C1156" s="4" t="s">
        <v>34</v>
      </c>
      <c r="D1156" s="6" t="e">
        <v>#N/A</v>
      </c>
      <c r="E1156" s="6" t="e">
        <v>#N/A</v>
      </c>
      <c r="F1156" s="4"/>
      <c r="G1156" s="4"/>
      <c r="H1156" s="4"/>
      <c r="I1156" s="7" t="e">
        <v>#N/A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>
      <c r="A1157" s="5" t="s">
        <v>2328</v>
      </c>
      <c r="B1157" s="5" t="s">
        <v>2329</v>
      </c>
      <c r="C1157" s="4" t="s">
        <v>23</v>
      </c>
      <c r="D1157" s="6">
        <v>0.43</v>
      </c>
      <c r="E1157" s="6">
        <v>0.42</v>
      </c>
      <c r="F1157" s="4"/>
      <c r="G1157" s="7">
        <v>0.46</v>
      </c>
      <c r="H1157" s="7">
        <v>0.22</v>
      </c>
      <c r="I1157" s="7">
        <v>4.20832256E8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>
      <c r="A1158" s="5" t="s">
        <v>2330</v>
      </c>
      <c r="B1158" s="5" t="s">
        <v>2331</v>
      </c>
      <c r="C1158" s="4" t="s">
        <v>34</v>
      </c>
      <c r="D1158" s="6" t="e">
        <v>#N/A</v>
      </c>
      <c r="E1158" s="6" t="e">
        <v>#N/A</v>
      </c>
      <c r="F1158" s="4"/>
      <c r="G1158" s="4"/>
      <c r="H1158" s="4"/>
      <c r="I1158" s="7" t="e">
        <v>#N/A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>
      <c r="A1159" s="5" t="s">
        <v>2332</v>
      </c>
      <c r="B1159" s="5" t="s">
        <v>2333</v>
      </c>
      <c r="C1159" s="4" t="s">
        <v>60</v>
      </c>
      <c r="D1159" s="6">
        <v>1.64</v>
      </c>
      <c r="E1159" s="6">
        <v>1.53</v>
      </c>
      <c r="F1159" s="4"/>
      <c r="G1159" s="7">
        <v>1.86</v>
      </c>
      <c r="H1159" s="7">
        <v>1.12</v>
      </c>
      <c r="I1159" s="7">
        <v>5.24748341E8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>
      <c r="A1160" s="5" t="s">
        <v>2334</v>
      </c>
      <c r="B1160" s="5" t="s">
        <v>2335</v>
      </c>
      <c r="C1160" s="4" t="s">
        <v>23</v>
      </c>
      <c r="D1160" s="6">
        <v>0.39</v>
      </c>
      <c r="E1160" s="6">
        <v>0.37</v>
      </c>
      <c r="F1160" s="4"/>
      <c r="G1160" s="7">
        <v>1.6</v>
      </c>
      <c r="H1160" s="7">
        <v>0.25</v>
      </c>
      <c r="I1160" s="7">
        <v>1.22003149E8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>
      <c r="A1161" s="5" t="s">
        <v>2336</v>
      </c>
      <c r="B1161" s="5" t="s">
        <v>2337</v>
      </c>
      <c r="C1161" s="4" t="s">
        <v>141</v>
      </c>
      <c r="D1161" s="6">
        <v>5.2</v>
      </c>
      <c r="E1161" s="6">
        <v>5.17</v>
      </c>
      <c r="F1161" s="7">
        <v>16.7</v>
      </c>
      <c r="G1161" s="7">
        <v>6.24</v>
      </c>
      <c r="H1161" s="7">
        <v>4.5</v>
      </c>
      <c r="I1161" s="7">
        <v>2.119433082E9</v>
      </c>
      <c r="J1161" s="7">
        <v>3.15</v>
      </c>
      <c r="K1161" s="7">
        <v>3.22</v>
      </c>
      <c r="L1161" s="7">
        <v>3.27</v>
      </c>
      <c r="M1161" s="7">
        <v>2.7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>
      <c r="A1162" s="5" t="s">
        <v>2338</v>
      </c>
      <c r="B1162" s="5" t="s">
        <v>2339</v>
      </c>
      <c r="C1162" s="4" t="s">
        <v>34</v>
      </c>
      <c r="D1162" s="6">
        <v>19.48</v>
      </c>
      <c r="E1162" s="6">
        <v>19.68</v>
      </c>
      <c r="F1162" s="4"/>
      <c r="G1162" s="7">
        <v>20.16</v>
      </c>
      <c r="H1162" s="7">
        <v>18.02</v>
      </c>
      <c r="I1162" s="7" t="e">
        <v>#N/A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>
      <c r="A1163" s="5" t="s">
        <v>2340</v>
      </c>
      <c r="B1163" s="5" t="s">
        <v>2341</v>
      </c>
      <c r="C1163" s="4" t="s">
        <v>17</v>
      </c>
      <c r="D1163" s="6">
        <v>0.13</v>
      </c>
      <c r="E1163" s="6">
        <v>0.13</v>
      </c>
      <c r="F1163" s="4"/>
      <c r="G1163" s="7">
        <v>0.23</v>
      </c>
      <c r="H1163" s="7">
        <v>0.09</v>
      </c>
      <c r="I1163" s="7">
        <v>1.0040309E7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>
      <c r="A1164" s="5" t="s">
        <v>2342</v>
      </c>
      <c r="B1164" s="5" t="s">
        <v>2343</v>
      </c>
      <c r="C1164" s="4" t="s">
        <v>34</v>
      </c>
      <c r="D1164" s="6" t="e">
        <v>#N/A</v>
      </c>
      <c r="E1164" s="6" t="e">
        <v>#N/A</v>
      </c>
      <c r="F1164" s="4"/>
      <c r="G1164" s="4"/>
      <c r="H1164" s="4"/>
      <c r="I1164" s="7" t="e">
        <v>#N/A</v>
      </c>
      <c r="J1164" s="7">
        <v>3.84</v>
      </c>
      <c r="K1164" s="7">
        <v>4.23</v>
      </c>
      <c r="L1164" s="7">
        <v>4.78</v>
      </c>
      <c r="M1164" s="7">
        <v>3.25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>
      <c r="A1165" s="5" t="s">
        <v>2344</v>
      </c>
      <c r="B1165" s="5" t="s">
        <v>2345</v>
      </c>
      <c r="C1165" s="4" t="s">
        <v>37</v>
      </c>
      <c r="D1165" s="6">
        <v>0.02</v>
      </c>
      <c r="E1165" s="6">
        <v>0.02</v>
      </c>
      <c r="F1165" s="4"/>
      <c r="G1165" s="7">
        <v>0.03</v>
      </c>
      <c r="H1165" s="7">
        <v>0.01</v>
      </c>
      <c r="I1165" s="7">
        <v>8630350.0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>
      <c r="A1166" s="5" t="s">
        <v>2346</v>
      </c>
      <c r="B1166" s="5" t="s">
        <v>2347</v>
      </c>
      <c r="C1166" s="4" t="s">
        <v>126</v>
      </c>
      <c r="D1166" s="6">
        <v>2.52</v>
      </c>
      <c r="E1166" s="6">
        <v>2.49</v>
      </c>
      <c r="F1166" s="7">
        <v>10.52</v>
      </c>
      <c r="G1166" s="7">
        <v>3.9</v>
      </c>
      <c r="H1166" s="7">
        <v>2.27</v>
      </c>
      <c r="I1166" s="7">
        <v>9.36632332E8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>
      <c r="A1167" s="5" t="s">
        <v>2348</v>
      </c>
      <c r="B1167" s="5" t="s">
        <v>2349</v>
      </c>
      <c r="C1167" s="4" t="s">
        <v>34</v>
      </c>
      <c r="D1167" s="6" t="e">
        <v>#N/A</v>
      </c>
      <c r="E1167" s="6" t="e">
        <v>#N/A</v>
      </c>
      <c r="F1167" s="4"/>
      <c r="G1167" s="4"/>
      <c r="H1167" s="4"/>
      <c r="I1167" s="7" t="e">
        <v>#N/A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>
      <c r="A1168" s="5" t="s">
        <v>2350</v>
      </c>
      <c r="B1168" s="5" t="s">
        <v>2351</v>
      </c>
      <c r="C1168" s="4" t="s">
        <v>37</v>
      </c>
      <c r="D1168" s="6">
        <v>0.2</v>
      </c>
      <c r="E1168" s="6">
        <v>0.19</v>
      </c>
      <c r="F1168" s="4"/>
      <c r="G1168" s="7">
        <v>0.28</v>
      </c>
      <c r="H1168" s="7">
        <v>0.09</v>
      </c>
      <c r="I1168" s="7">
        <v>5.20849607E8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>
      <c r="A1169" s="5" t="s">
        <v>2352</v>
      </c>
      <c r="B1169" s="5" t="s">
        <v>2353</v>
      </c>
      <c r="C1169" s="4" t="s">
        <v>169</v>
      </c>
      <c r="D1169" s="6">
        <v>0.12</v>
      </c>
      <c r="E1169" s="6">
        <v>0.12</v>
      </c>
      <c r="F1169" s="7">
        <v>85.11</v>
      </c>
      <c r="G1169" s="7">
        <v>0.16</v>
      </c>
      <c r="H1169" s="7">
        <v>0.1</v>
      </c>
      <c r="I1169" s="7">
        <v>1.70663E7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>
      <c r="A1170" s="5" t="s">
        <v>2354</v>
      </c>
      <c r="B1170" s="5" t="s">
        <v>2355</v>
      </c>
      <c r="C1170" s="4" t="s">
        <v>14</v>
      </c>
      <c r="D1170" s="6">
        <v>0.13</v>
      </c>
      <c r="E1170" s="6">
        <v>0.13</v>
      </c>
      <c r="F1170" s="4"/>
      <c r="G1170" s="7">
        <v>0.2</v>
      </c>
      <c r="H1170" s="7">
        <v>0.09</v>
      </c>
      <c r="I1170" s="7">
        <v>8.250572E7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>
      <c r="A1171" s="5" t="s">
        <v>2356</v>
      </c>
      <c r="B1171" s="5" t="s">
        <v>2357</v>
      </c>
      <c r="C1171" s="4" t="s">
        <v>86</v>
      </c>
      <c r="D1171" s="6">
        <v>0.04</v>
      </c>
      <c r="E1171" s="6">
        <v>0.04</v>
      </c>
      <c r="F1171" s="4"/>
      <c r="G1171" s="7">
        <v>0.07</v>
      </c>
      <c r="H1171" s="7">
        <v>0.01</v>
      </c>
      <c r="I1171" s="7">
        <v>5.9987531E7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>
      <c r="A1172" s="5" t="s">
        <v>2358</v>
      </c>
      <c r="B1172" s="5" t="s">
        <v>2359</v>
      </c>
      <c r="C1172" s="4" t="s">
        <v>34</v>
      </c>
      <c r="D1172" s="6">
        <v>187.91</v>
      </c>
      <c r="E1172" s="6">
        <v>188.06</v>
      </c>
      <c r="F1172" s="4"/>
      <c r="G1172" s="7">
        <v>192.48</v>
      </c>
      <c r="H1172" s="7">
        <v>137.3</v>
      </c>
      <c r="I1172" s="7">
        <v>5.143217561E9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>
      <c r="A1173" s="5" t="s">
        <v>2360</v>
      </c>
      <c r="B1173" s="5" t="s">
        <v>2361</v>
      </c>
      <c r="C1173" s="4" t="s">
        <v>14</v>
      </c>
      <c r="D1173" s="6">
        <v>0.0</v>
      </c>
      <c r="E1173" s="6">
        <v>0.0</v>
      </c>
      <c r="F1173" s="4"/>
      <c r="G1173" s="7">
        <v>0.0</v>
      </c>
      <c r="H1173" s="7">
        <v>0.0</v>
      </c>
      <c r="I1173" s="7">
        <v>1.361229E7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>
      <c r="A1174" s="5" t="s">
        <v>2362</v>
      </c>
      <c r="B1174" s="5" t="s">
        <v>2363</v>
      </c>
      <c r="C1174" s="4" t="s">
        <v>34</v>
      </c>
      <c r="D1174" s="6">
        <v>35.18</v>
      </c>
      <c r="E1174" s="6">
        <v>35.11</v>
      </c>
      <c r="F1174" s="4"/>
      <c r="G1174" s="7">
        <v>36.63</v>
      </c>
      <c r="H1174" s="7">
        <v>28.85</v>
      </c>
      <c r="I1174" s="7" t="e">
        <v>#N/A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>
      <c r="A1175" s="5" t="s">
        <v>2364</v>
      </c>
      <c r="B1175" s="5" t="s">
        <v>2365</v>
      </c>
      <c r="C1175" s="4" t="s">
        <v>76</v>
      </c>
      <c r="D1175" s="6">
        <v>0.01</v>
      </c>
      <c r="E1175" s="6">
        <v>0.01</v>
      </c>
      <c r="F1175" s="4"/>
      <c r="G1175" s="7">
        <v>0.01</v>
      </c>
      <c r="H1175" s="7">
        <v>0.0</v>
      </c>
      <c r="I1175" s="7">
        <v>5971030.0</v>
      </c>
      <c r="J1175" s="7">
        <v>50.04</v>
      </c>
      <c r="K1175" s="7">
        <v>50.2</v>
      </c>
      <c r="L1175" s="7">
        <v>50.23</v>
      </c>
      <c r="M1175" s="7">
        <v>49.99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>
      <c r="A1176" s="5" t="s">
        <v>2366</v>
      </c>
      <c r="B1176" s="5" t="s">
        <v>2367</v>
      </c>
      <c r="C1176" s="4" t="s">
        <v>169</v>
      </c>
      <c r="D1176" s="6">
        <v>2.0</v>
      </c>
      <c r="E1176" s="6">
        <v>2.0</v>
      </c>
      <c r="F1176" s="7">
        <v>57.6</v>
      </c>
      <c r="G1176" s="7">
        <v>2.0</v>
      </c>
      <c r="H1176" s="7">
        <v>1.68</v>
      </c>
      <c r="I1176" s="7">
        <v>1.087351E7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>
      <c r="A1177" s="5" t="s">
        <v>2368</v>
      </c>
      <c r="B1177" s="5" t="s">
        <v>2369</v>
      </c>
      <c r="C1177" s="4" t="s">
        <v>60</v>
      </c>
      <c r="D1177" s="6">
        <v>0.04</v>
      </c>
      <c r="E1177" s="6">
        <v>0.03</v>
      </c>
      <c r="F1177" s="4"/>
      <c r="G1177" s="7">
        <v>0.06</v>
      </c>
      <c r="H1177" s="7">
        <v>0.03</v>
      </c>
      <c r="I1177" s="7">
        <v>8.3162588E7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>
      <c r="A1178" s="5" t="s">
        <v>2370</v>
      </c>
      <c r="B1178" s="5" t="s">
        <v>2371</v>
      </c>
      <c r="C1178" s="4" t="s">
        <v>20</v>
      </c>
      <c r="D1178" s="6">
        <v>4.38</v>
      </c>
      <c r="E1178" s="6">
        <v>4.4</v>
      </c>
      <c r="F1178" s="7">
        <v>17.41</v>
      </c>
      <c r="G1178" s="7">
        <v>4.55</v>
      </c>
      <c r="H1178" s="7">
        <v>2.75</v>
      </c>
      <c r="I1178" s="7">
        <v>4.54866077E8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>
      <c r="A1179" s="5" t="s">
        <v>2372</v>
      </c>
      <c r="B1179" s="5" t="s">
        <v>2373</v>
      </c>
      <c r="C1179" s="4" t="s">
        <v>159</v>
      </c>
      <c r="D1179" s="6">
        <v>3.59</v>
      </c>
      <c r="E1179" s="6">
        <v>3.52</v>
      </c>
      <c r="F1179" s="7">
        <v>13.95</v>
      </c>
      <c r="G1179" s="7">
        <v>5.66</v>
      </c>
      <c r="H1179" s="7">
        <v>3.23</v>
      </c>
      <c r="I1179" s="7">
        <v>9.38715331E8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>
      <c r="A1180" s="5" t="s">
        <v>2374</v>
      </c>
      <c r="B1180" s="5" t="s">
        <v>2375</v>
      </c>
      <c r="C1180" s="4" t="s">
        <v>17</v>
      </c>
      <c r="D1180" s="6">
        <v>0.06</v>
      </c>
      <c r="E1180" s="6">
        <v>0.05</v>
      </c>
      <c r="F1180" s="4"/>
      <c r="G1180" s="7">
        <v>0.11</v>
      </c>
      <c r="H1180" s="7">
        <v>0.03</v>
      </c>
      <c r="I1180" s="7">
        <v>2.7658047E7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>
      <c r="A1181" s="5" t="s">
        <v>2376</v>
      </c>
      <c r="B1181" s="5" t="s">
        <v>2377</v>
      </c>
      <c r="C1181" s="4" t="s">
        <v>37</v>
      </c>
      <c r="D1181" s="6">
        <v>5.79</v>
      </c>
      <c r="E1181" s="6">
        <v>5.6</v>
      </c>
      <c r="F1181" s="4"/>
      <c r="G1181" s="7">
        <v>9.21</v>
      </c>
      <c r="H1181" s="7">
        <v>2.07</v>
      </c>
      <c r="I1181" s="7">
        <v>1.385777763E9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>
      <c r="A1182" s="5" t="s">
        <v>2378</v>
      </c>
      <c r="B1182" s="5" t="s">
        <v>2379</v>
      </c>
      <c r="C1182" s="4" t="s">
        <v>17</v>
      </c>
      <c r="D1182" s="6">
        <v>0.21</v>
      </c>
      <c r="E1182" s="6">
        <v>0.17</v>
      </c>
      <c r="F1182" s="4"/>
      <c r="G1182" s="7">
        <v>0.35</v>
      </c>
      <c r="H1182" s="7">
        <v>0.08</v>
      </c>
      <c r="I1182" s="7">
        <v>4.943257E7</v>
      </c>
      <c r="J1182" s="7">
        <v>0.042</v>
      </c>
      <c r="K1182" s="7">
        <v>0.042</v>
      </c>
      <c r="L1182" s="7">
        <v>0.045</v>
      </c>
      <c r="M1182" s="7">
        <v>0.042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>
      <c r="A1183" s="5" t="s">
        <v>2380</v>
      </c>
      <c r="B1183" s="5" t="s">
        <v>2381</v>
      </c>
      <c r="C1183" s="4" t="s">
        <v>210</v>
      </c>
      <c r="D1183" s="6">
        <v>0.02</v>
      </c>
      <c r="E1183" s="6">
        <v>0.02</v>
      </c>
      <c r="F1183" s="7">
        <v>4.01</v>
      </c>
      <c r="G1183" s="7">
        <v>0.06</v>
      </c>
      <c r="H1183" s="7">
        <v>0.02</v>
      </c>
      <c r="I1183" s="7">
        <v>2.2968524E7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>
      <c r="A1184" s="5" t="s">
        <v>2380</v>
      </c>
      <c r="B1184" s="5" t="s">
        <v>2381</v>
      </c>
      <c r="C1184" s="4" t="s">
        <v>210</v>
      </c>
      <c r="D1184" s="6">
        <v>0.02</v>
      </c>
      <c r="E1184" s="6">
        <v>0.02</v>
      </c>
      <c r="F1184" s="7">
        <v>4.01</v>
      </c>
      <c r="G1184" s="7">
        <v>0.06</v>
      </c>
      <c r="H1184" s="7">
        <v>0.02</v>
      </c>
      <c r="I1184" s="7">
        <v>2.2968524E7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>
      <c r="A1185" s="5" t="s">
        <v>2382</v>
      </c>
      <c r="B1185" s="5" t="s">
        <v>2383</v>
      </c>
      <c r="C1185" s="4" t="s">
        <v>31</v>
      </c>
      <c r="D1185" s="6">
        <v>8.49</v>
      </c>
      <c r="E1185" s="6">
        <v>8.49</v>
      </c>
      <c r="F1185" s="7">
        <v>18.09</v>
      </c>
      <c r="G1185" s="7">
        <v>10.38</v>
      </c>
      <c r="H1185" s="7">
        <v>6.95</v>
      </c>
      <c r="I1185" s="7">
        <v>1.585842812E9</v>
      </c>
      <c r="J1185" s="7">
        <v>4.73</v>
      </c>
      <c r="K1185" s="7">
        <v>4.88</v>
      </c>
      <c r="L1185" s="7">
        <v>5.39</v>
      </c>
      <c r="M1185" s="7">
        <v>3.91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>
      <c r="A1186" s="5" t="s">
        <v>2384</v>
      </c>
      <c r="B1186" s="5" t="s">
        <v>2385</v>
      </c>
      <c r="C1186" s="4" t="s">
        <v>14</v>
      </c>
      <c r="D1186" s="6">
        <v>0.34</v>
      </c>
      <c r="E1186" s="6">
        <v>0.35</v>
      </c>
      <c r="F1186" s="7">
        <v>4.5</v>
      </c>
      <c r="G1186" s="7">
        <v>0.51</v>
      </c>
      <c r="H1186" s="7">
        <v>0.27</v>
      </c>
      <c r="I1186" s="7">
        <v>6.1401212E7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>
      <c r="A1187" s="5" t="s">
        <v>2386</v>
      </c>
      <c r="B1187" s="5" t="s">
        <v>2387</v>
      </c>
      <c r="C1187" s="4" t="s">
        <v>14</v>
      </c>
      <c r="D1187" s="6">
        <v>0.02</v>
      </c>
      <c r="E1187" s="6">
        <v>0.02</v>
      </c>
      <c r="F1187" s="4"/>
      <c r="G1187" s="7">
        <v>0.05</v>
      </c>
      <c r="H1187" s="7">
        <v>0.02</v>
      </c>
      <c r="I1187" s="7">
        <v>5744580.0</v>
      </c>
      <c r="J1187" s="7">
        <v>0.003</v>
      </c>
      <c r="K1187" s="7">
        <v>0.003</v>
      </c>
      <c r="L1187" s="7">
        <v>0.003</v>
      </c>
      <c r="M1187" s="7">
        <v>0.001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>
      <c r="A1188" s="5" t="s">
        <v>2388</v>
      </c>
      <c r="B1188" s="5" t="s">
        <v>2389</v>
      </c>
      <c r="C1188" s="4" t="s">
        <v>1470</v>
      </c>
      <c r="D1188" s="6">
        <v>0.02</v>
      </c>
      <c r="E1188" s="6">
        <v>0.02</v>
      </c>
      <c r="F1188" s="4"/>
      <c r="G1188" s="7">
        <v>0.03</v>
      </c>
      <c r="H1188" s="7">
        <v>0.0</v>
      </c>
      <c r="I1188" s="7">
        <v>2.9679874E7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>
      <c r="A1189" s="5" t="s">
        <v>2390</v>
      </c>
      <c r="B1189" s="5" t="s">
        <v>2391</v>
      </c>
      <c r="C1189" s="4" t="s">
        <v>34</v>
      </c>
      <c r="D1189" s="6">
        <v>100.85</v>
      </c>
      <c r="E1189" s="6">
        <v>100.82</v>
      </c>
      <c r="F1189" s="4"/>
      <c r="G1189" s="7">
        <v>100.96</v>
      </c>
      <c r="H1189" s="7">
        <v>100.48</v>
      </c>
      <c r="I1189" s="7" t="e">
        <v>#N/A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>
      <c r="A1190" s="5" t="s">
        <v>2392</v>
      </c>
      <c r="B1190" s="5" t="s">
        <v>2393</v>
      </c>
      <c r="C1190" s="4" t="s">
        <v>34</v>
      </c>
      <c r="D1190" s="6" t="e">
        <v>#N/A</v>
      </c>
      <c r="E1190" s="6" t="e">
        <v>#N/A</v>
      </c>
      <c r="F1190" s="4"/>
      <c r="G1190" s="4"/>
      <c r="H1190" s="4"/>
      <c r="I1190" s="7" t="e">
        <v>#N/A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>
      <c r="A1191" s="5" t="s">
        <v>2394</v>
      </c>
      <c r="B1191" s="5" t="s">
        <v>2395</v>
      </c>
      <c r="C1191" s="4" t="s">
        <v>34</v>
      </c>
      <c r="D1191" s="6">
        <v>5.81</v>
      </c>
      <c r="E1191" s="6">
        <v>5.77</v>
      </c>
      <c r="F1191" s="4"/>
      <c r="G1191" s="7">
        <v>5.91</v>
      </c>
      <c r="H1191" s="7">
        <v>4.13</v>
      </c>
      <c r="I1191" s="7" t="e">
        <v>#N/A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>
      <c r="A1192" s="5" t="s">
        <v>2396</v>
      </c>
      <c r="B1192" s="5" t="s">
        <v>2397</v>
      </c>
      <c r="C1192" s="4" t="s">
        <v>34</v>
      </c>
      <c r="D1192" s="6">
        <v>33.15</v>
      </c>
      <c r="E1192" s="6">
        <v>33.15</v>
      </c>
      <c r="F1192" s="4"/>
      <c r="G1192" s="7">
        <v>35.15</v>
      </c>
      <c r="H1192" s="7">
        <v>25.74</v>
      </c>
      <c r="I1192" s="7" t="e">
        <v>#N/A</v>
      </c>
      <c r="J1192" s="7">
        <v>0.14</v>
      </c>
      <c r="K1192" s="7">
        <v>0.14</v>
      </c>
      <c r="L1192" s="7">
        <v>0.14</v>
      </c>
      <c r="M1192" s="7">
        <v>0.053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>
      <c r="A1193" s="5" t="s">
        <v>2398</v>
      </c>
      <c r="B1193" s="5" t="s">
        <v>2399</v>
      </c>
      <c r="C1193" s="4" t="s">
        <v>17</v>
      </c>
      <c r="D1193" s="6">
        <v>0.05</v>
      </c>
      <c r="E1193" s="6">
        <v>0.05</v>
      </c>
      <c r="F1193" s="4"/>
      <c r="G1193" s="7">
        <v>0.09</v>
      </c>
      <c r="H1193" s="7">
        <v>0.03</v>
      </c>
      <c r="I1193" s="7">
        <v>1.194427E7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>
      <c r="A1194" s="5" t="s">
        <v>2400</v>
      </c>
      <c r="B1194" s="5" t="s">
        <v>2401</v>
      </c>
      <c r="C1194" s="4" t="s">
        <v>182</v>
      </c>
      <c r="D1194" s="6">
        <v>0.55</v>
      </c>
      <c r="E1194" s="6">
        <v>0.55</v>
      </c>
      <c r="F1194" s="4"/>
      <c r="G1194" s="7">
        <v>0.58</v>
      </c>
      <c r="H1194" s="7">
        <v>0.49</v>
      </c>
      <c r="I1194" s="7">
        <v>1.04596967E8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>
      <c r="A1195" s="5" t="s">
        <v>2402</v>
      </c>
      <c r="B1195" s="5" t="s">
        <v>2403</v>
      </c>
      <c r="C1195" s="4" t="s">
        <v>34</v>
      </c>
      <c r="D1195" s="6">
        <v>142.44</v>
      </c>
      <c r="E1195" s="6">
        <v>142.35</v>
      </c>
      <c r="F1195" s="4"/>
      <c r="G1195" s="7">
        <v>146.18</v>
      </c>
      <c r="H1195" s="7">
        <v>120.55</v>
      </c>
      <c r="I1195" s="7" t="e">
        <v>#N/A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>
      <c r="A1196" s="5" t="s">
        <v>2404</v>
      </c>
      <c r="B1196" s="5" t="s">
        <v>2405</v>
      </c>
      <c r="C1196" s="4" t="s">
        <v>37</v>
      </c>
      <c r="D1196" s="6">
        <v>0.03</v>
      </c>
      <c r="E1196" s="6">
        <v>0.03</v>
      </c>
      <c r="F1196" s="4"/>
      <c r="G1196" s="7">
        <v>0.05</v>
      </c>
      <c r="H1196" s="7">
        <v>0.03</v>
      </c>
      <c r="I1196" s="7">
        <v>8939708.0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>
      <c r="A1197" s="5" t="s">
        <v>2406</v>
      </c>
      <c r="B1197" s="5" t="s">
        <v>2407</v>
      </c>
      <c r="C1197" s="4" t="s">
        <v>17</v>
      </c>
      <c r="D1197" s="6">
        <v>0.16</v>
      </c>
      <c r="E1197" s="6">
        <v>0.14</v>
      </c>
      <c r="F1197" s="7">
        <v>1107.14</v>
      </c>
      <c r="G1197" s="7">
        <v>0.17</v>
      </c>
      <c r="H1197" s="7">
        <v>0.02</v>
      </c>
      <c r="I1197" s="7">
        <v>3.17926702E8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>
      <c r="A1198" s="5" t="s">
        <v>2408</v>
      </c>
      <c r="B1198" s="5" t="s">
        <v>2409</v>
      </c>
      <c r="C1198" s="4" t="s">
        <v>34</v>
      </c>
      <c r="D1198" s="6">
        <v>68.31</v>
      </c>
      <c r="E1198" s="6">
        <v>68.45</v>
      </c>
      <c r="F1198" s="4"/>
      <c r="G1198" s="7">
        <v>70.08</v>
      </c>
      <c r="H1198" s="7">
        <v>53.52</v>
      </c>
      <c r="I1198" s="7" t="e">
        <v>#N/A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>
      <c r="A1199" s="5" t="s">
        <v>2410</v>
      </c>
      <c r="B1199" s="5" t="s">
        <v>2411</v>
      </c>
      <c r="C1199" s="4" t="s">
        <v>23</v>
      </c>
      <c r="D1199" s="6">
        <v>0.09</v>
      </c>
      <c r="E1199" s="6">
        <v>0.09</v>
      </c>
      <c r="F1199" s="4"/>
      <c r="G1199" s="7">
        <v>0.28</v>
      </c>
      <c r="H1199" s="7">
        <v>0.08</v>
      </c>
      <c r="I1199" s="7">
        <v>8230696.0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>
      <c r="A1200" s="5" t="s">
        <v>2412</v>
      </c>
      <c r="B1200" s="5" t="s">
        <v>2413</v>
      </c>
      <c r="C1200" s="4" t="s">
        <v>76</v>
      </c>
      <c r="D1200" s="6">
        <v>0.17</v>
      </c>
      <c r="E1200" s="6">
        <v>0.16</v>
      </c>
      <c r="F1200" s="4"/>
      <c r="G1200" s="7">
        <v>0.26</v>
      </c>
      <c r="H1200" s="7">
        <v>0.05</v>
      </c>
      <c r="I1200" s="7">
        <v>2.72592452E8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>
      <c r="A1201" s="5" t="s">
        <v>2414</v>
      </c>
      <c r="B1201" s="5" t="s">
        <v>2415</v>
      </c>
      <c r="C1201" s="4" t="s">
        <v>34</v>
      </c>
      <c r="D1201" s="6">
        <v>68.35</v>
      </c>
      <c r="E1201" s="6">
        <v>68.45</v>
      </c>
      <c r="F1201" s="4"/>
      <c r="G1201" s="7">
        <v>69.74</v>
      </c>
      <c r="H1201" s="7">
        <v>52.79</v>
      </c>
      <c r="I1201" s="7" t="e">
        <v>#N/A</v>
      </c>
      <c r="J1201" s="7">
        <v>9.15</v>
      </c>
      <c r="K1201" s="7">
        <v>9.18</v>
      </c>
      <c r="L1201" s="7">
        <v>11.46</v>
      </c>
      <c r="M1201" s="7">
        <v>8.93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>
      <c r="A1202" s="5" t="s">
        <v>2416</v>
      </c>
      <c r="B1202" s="5" t="s">
        <v>2417</v>
      </c>
      <c r="C1202" s="4" t="s">
        <v>23</v>
      </c>
      <c r="D1202" s="6">
        <v>0.13</v>
      </c>
      <c r="E1202" s="6">
        <v>0.12</v>
      </c>
      <c r="F1202" s="4"/>
      <c r="G1202" s="7">
        <v>0.18</v>
      </c>
      <c r="H1202" s="7">
        <v>0.06</v>
      </c>
      <c r="I1202" s="7">
        <v>9394228.0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>
      <c r="A1203" s="5" t="s">
        <v>2418</v>
      </c>
      <c r="B1203" s="5" t="s">
        <v>2419</v>
      </c>
      <c r="C1203" s="4" t="s">
        <v>34</v>
      </c>
      <c r="D1203" s="6">
        <v>96.05</v>
      </c>
      <c r="E1203" s="6">
        <v>96.3</v>
      </c>
      <c r="F1203" s="4"/>
      <c r="G1203" s="7">
        <v>104.23</v>
      </c>
      <c r="H1203" s="7">
        <v>91.3</v>
      </c>
      <c r="I1203" s="7" t="e">
        <v>#N/A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>
      <c r="A1204" s="5" t="s">
        <v>2420</v>
      </c>
      <c r="B1204" s="5" t="s">
        <v>2421</v>
      </c>
      <c r="C1204" s="4" t="s">
        <v>34</v>
      </c>
      <c r="D1204" s="6">
        <v>143.92</v>
      </c>
      <c r="E1204" s="6">
        <v>144.75</v>
      </c>
      <c r="F1204" s="4"/>
      <c r="G1204" s="7">
        <v>153.2</v>
      </c>
      <c r="H1204" s="7">
        <v>125.86</v>
      </c>
      <c r="I1204" s="7" t="e">
        <v>#N/A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>
      <c r="A1205" s="5" t="s">
        <v>2422</v>
      </c>
      <c r="B1205" s="5" t="s">
        <v>2423</v>
      </c>
      <c r="C1205" s="4" t="s">
        <v>447</v>
      </c>
      <c r="D1205" s="6">
        <v>0.44</v>
      </c>
      <c r="E1205" s="6">
        <v>0.43</v>
      </c>
      <c r="F1205" s="4"/>
      <c r="G1205" s="7">
        <v>1.05</v>
      </c>
      <c r="H1205" s="7">
        <v>0.15</v>
      </c>
      <c r="I1205" s="7">
        <v>9.7863951E7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>
      <c r="A1206" s="5" t="s">
        <v>2424</v>
      </c>
      <c r="B1206" s="5" t="s">
        <v>2425</v>
      </c>
      <c r="C1206" s="4" t="s">
        <v>34</v>
      </c>
      <c r="D1206" s="6">
        <v>99.81</v>
      </c>
      <c r="E1206" s="6">
        <v>99.79</v>
      </c>
      <c r="F1206" s="4"/>
      <c r="G1206" s="7">
        <v>103.0</v>
      </c>
      <c r="H1206" s="7">
        <v>99.38</v>
      </c>
      <c r="I1206" s="7" t="e">
        <v>#N/A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>
      <c r="A1207" s="5" t="s">
        <v>2426</v>
      </c>
      <c r="B1207" s="5" t="s">
        <v>2427</v>
      </c>
      <c r="C1207" s="4" t="s">
        <v>34</v>
      </c>
      <c r="D1207" s="6">
        <v>58.26</v>
      </c>
      <c r="E1207" s="6">
        <v>57.06</v>
      </c>
      <c r="F1207" s="4"/>
      <c r="G1207" s="7">
        <v>63.14</v>
      </c>
      <c r="H1207" s="7">
        <v>45.65</v>
      </c>
      <c r="I1207" s="7" t="e">
        <v>#N/A</v>
      </c>
      <c r="J1207" s="7">
        <v>0.004</v>
      </c>
      <c r="K1207" s="7">
        <v>0.0045</v>
      </c>
      <c r="L1207" s="7">
        <v>0.007</v>
      </c>
      <c r="M1207" s="7">
        <v>0.0025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>
      <c r="A1208" s="5" t="s">
        <v>2428</v>
      </c>
      <c r="B1208" s="5" t="s">
        <v>2429</v>
      </c>
      <c r="C1208" s="4" t="s">
        <v>34</v>
      </c>
      <c r="D1208" s="6">
        <v>49.82</v>
      </c>
      <c r="E1208" s="6">
        <v>49.82</v>
      </c>
      <c r="F1208" s="4"/>
      <c r="G1208" s="7">
        <v>53.0</v>
      </c>
      <c r="H1208" s="7">
        <v>49.7</v>
      </c>
      <c r="I1208" s="7" t="e">
        <v>#N/A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>
      <c r="A1209" s="5" t="s">
        <v>2430</v>
      </c>
      <c r="B1209" s="5" t="s">
        <v>2431</v>
      </c>
      <c r="C1209" s="4" t="s">
        <v>312</v>
      </c>
      <c r="D1209" s="6">
        <v>0.07</v>
      </c>
      <c r="E1209" s="6">
        <v>0.07</v>
      </c>
      <c r="F1209" s="4"/>
      <c r="G1209" s="7">
        <v>0.13</v>
      </c>
      <c r="H1209" s="7">
        <v>0.03</v>
      </c>
      <c r="I1209" s="7">
        <v>5.7848723E7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>
      <c r="A1210" s="5" t="s">
        <v>2432</v>
      </c>
      <c r="B1210" s="5" t="s">
        <v>2433</v>
      </c>
      <c r="C1210" s="4" t="s">
        <v>68</v>
      </c>
      <c r="D1210" s="6">
        <v>0.29</v>
      </c>
      <c r="E1210" s="6">
        <v>0.29</v>
      </c>
      <c r="F1210" s="4"/>
      <c r="G1210" s="7">
        <v>0.3</v>
      </c>
      <c r="H1210" s="7">
        <v>0.14</v>
      </c>
      <c r="I1210" s="7">
        <v>7.5367575E7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>
      <c r="A1211" s="5" t="s">
        <v>2434</v>
      </c>
      <c r="B1211" s="5" t="s">
        <v>2435</v>
      </c>
      <c r="C1211" s="4" t="s">
        <v>578</v>
      </c>
      <c r="D1211" s="6">
        <v>0.14</v>
      </c>
      <c r="E1211" s="6">
        <v>0.14</v>
      </c>
      <c r="F1211" s="4"/>
      <c r="G1211" s="7">
        <v>0.56</v>
      </c>
      <c r="H1211" s="7">
        <v>0.11</v>
      </c>
      <c r="I1211" s="7">
        <v>1.5167992E7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>
      <c r="A1212" s="5" t="s">
        <v>2436</v>
      </c>
      <c r="B1212" s="5" t="s">
        <v>2437</v>
      </c>
      <c r="C1212" s="4" t="s">
        <v>17</v>
      </c>
      <c r="D1212" s="6">
        <v>0.07</v>
      </c>
      <c r="E1212" s="6">
        <v>0.08</v>
      </c>
      <c r="F1212" s="4"/>
      <c r="G1212" s="7">
        <v>0.12</v>
      </c>
      <c r="H1212" s="7">
        <v>0.03</v>
      </c>
      <c r="I1212" s="7">
        <v>1.8998738E7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>
      <c r="A1213" s="5" t="s">
        <v>2438</v>
      </c>
      <c r="B1213" s="5" t="s">
        <v>2439</v>
      </c>
      <c r="C1213" s="4" t="s">
        <v>668</v>
      </c>
      <c r="D1213" s="6">
        <v>0.01</v>
      </c>
      <c r="E1213" s="6">
        <v>0.01</v>
      </c>
      <c r="F1213" s="4"/>
      <c r="G1213" s="7">
        <v>0.02</v>
      </c>
      <c r="H1213" s="7">
        <v>0.0</v>
      </c>
      <c r="I1213" s="7">
        <v>9327330.0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>
      <c r="A1214" s="5" t="s">
        <v>2440</v>
      </c>
      <c r="B1214" s="5" t="s">
        <v>2441</v>
      </c>
      <c r="C1214" s="4" t="s">
        <v>2442</v>
      </c>
      <c r="D1214" s="6">
        <v>96.25</v>
      </c>
      <c r="E1214" s="6">
        <v>96.22</v>
      </c>
      <c r="F1214" s="7">
        <v>22.83</v>
      </c>
      <c r="G1214" s="7">
        <v>121.0</v>
      </c>
      <c r="H1214" s="7">
        <v>83.32</v>
      </c>
      <c r="I1214" s="7">
        <v>1.05233975E10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>
      <c r="A1215" s="5" t="s">
        <v>2443</v>
      </c>
      <c r="B1215" s="5" t="s">
        <v>2444</v>
      </c>
      <c r="C1215" s="4" t="s">
        <v>182</v>
      </c>
      <c r="D1215" s="6">
        <v>0.04</v>
      </c>
      <c r="E1215" s="6">
        <v>0.04</v>
      </c>
      <c r="F1215" s="4"/>
      <c r="G1215" s="7">
        <v>0.06</v>
      </c>
      <c r="H1215" s="7">
        <v>0.02</v>
      </c>
      <c r="I1215" s="7">
        <v>1.2384872E7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>
      <c r="A1216" s="5" t="s">
        <v>2445</v>
      </c>
      <c r="B1216" s="5" t="s">
        <v>2446</v>
      </c>
      <c r="C1216" s="4" t="s">
        <v>411</v>
      </c>
      <c r="D1216" s="6">
        <v>1.8</v>
      </c>
      <c r="E1216" s="6">
        <v>1.73</v>
      </c>
      <c r="F1216" s="7">
        <v>25.36</v>
      </c>
      <c r="G1216" s="7">
        <v>2.22</v>
      </c>
      <c r="H1216" s="7">
        <v>1.35</v>
      </c>
      <c r="I1216" s="7">
        <v>2.012077746E9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>
      <c r="A1217" s="5" t="s">
        <v>2447</v>
      </c>
      <c r="B1217" s="5" t="s">
        <v>2448</v>
      </c>
      <c r="C1217" s="4" t="s">
        <v>34</v>
      </c>
      <c r="D1217" s="6">
        <v>50.04</v>
      </c>
      <c r="E1217" s="6">
        <v>49.83</v>
      </c>
      <c r="F1217" s="4"/>
      <c r="G1217" s="7">
        <v>57.0</v>
      </c>
      <c r="H1217" s="7">
        <v>49.15</v>
      </c>
      <c r="I1217" s="7" t="e">
        <v>#N/A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>
      <c r="A1218" s="5" t="s">
        <v>2449</v>
      </c>
      <c r="B1218" s="5" t="s">
        <v>2450</v>
      </c>
      <c r="C1218" s="4" t="s">
        <v>34</v>
      </c>
      <c r="D1218" s="6">
        <v>69.9</v>
      </c>
      <c r="E1218" s="6">
        <v>69.9</v>
      </c>
      <c r="F1218" s="4"/>
      <c r="G1218" s="7">
        <v>73.34</v>
      </c>
      <c r="H1218" s="7">
        <v>68.77</v>
      </c>
      <c r="I1218" s="7" t="e">
        <v>#N/A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>
      <c r="A1219" s="5" t="s">
        <v>2451</v>
      </c>
      <c r="B1219" s="5" t="s">
        <v>2452</v>
      </c>
      <c r="C1219" s="4" t="s">
        <v>34</v>
      </c>
      <c r="D1219" s="6" t="e">
        <v>#N/A</v>
      </c>
      <c r="E1219" s="6" t="e">
        <v>#N/A</v>
      </c>
      <c r="F1219" s="4"/>
      <c r="G1219" s="4"/>
      <c r="H1219" s="4"/>
      <c r="I1219" s="7" t="e">
        <v>#N/A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>
      <c r="A1220" s="5" t="s">
        <v>2453</v>
      </c>
      <c r="B1220" s="5" t="s">
        <v>2454</v>
      </c>
      <c r="C1220" s="4" t="s">
        <v>76</v>
      </c>
      <c r="D1220" s="6">
        <v>0.03</v>
      </c>
      <c r="E1220" s="6">
        <v>0.03</v>
      </c>
      <c r="F1220" s="4"/>
      <c r="G1220" s="7">
        <v>0.05</v>
      </c>
      <c r="H1220" s="7">
        <v>0.03</v>
      </c>
      <c r="I1220" s="7">
        <v>5.885366E7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>
      <c r="A1221" s="5" t="s">
        <v>2455</v>
      </c>
      <c r="B1221" s="5" t="s">
        <v>2456</v>
      </c>
      <c r="C1221" s="4" t="s">
        <v>34</v>
      </c>
      <c r="D1221" s="6">
        <v>59.58</v>
      </c>
      <c r="E1221" s="6">
        <v>59.64</v>
      </c>
      <c r="F1221" s="4"/>
      <c r="G1221" s="7">
        <v>61.0</v>
      </c>
      <c r="H1221" s="7">
        <v>50.03</v>
      </c>
      <c r="I1221" s="7" t="e">
        <v>#N/A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>
      <c r="A1222" s="5" t="s">
        <v>2457</v>
      </c>
      <c r="B1222" s="5" t="s">
        <v>2458</v>
      </c>
      <c r="C1222" s="4" t="s">
        <v>34</v>
      </c>
      <c r="D1222" s="6">
        <v>49.81</v>
      </c>
      <c r="E1222" s="6">
        <v>49.81</v>
      </c>
      <c r="F1222" s="4"/>
      <c r="G1222" s="7">
        <v>53.6</v>
      </c>
      <c r="H1222" s="7">
        <v>47.94</v>
      </c>
      <c r="I1222" s="7" t="e">
        <v>#N/A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>
      <c r="A1223" s="5" t="s">
        <v>2459</v>
      </c>
      <c r="B1223" s="5" t="s">
        <v>2460</v>
      </c>
      <c r="C1223" s="4" t="s">
        <v>34</v>
      </c>
      <c r="D1223" s="6">
        <v>58.22</v>
      </c>
      <c r="E1223" s="6">
        <v>58.22</v>
      </c>
      <c r="F1223" s="4"/>
      <c r="G1223" s="7">
        <v>61.0</v>
      </c>
      <c r="H1223" s="7">
        <v>46.0</v>
      </c>
      <c r="I1223" s="7" t="e">
        <v>#N/A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>
      <c r="A1224" s="5" t="s">
        <v>2461</v>
      </c>
      <c r="B1224" s="5" t="s">
        <v>2462</v>
      </c>
      <c r="C1224" s="4" t="s">
        <v>34</v>
      </c>
      <c r="D1224" s="6" t="e">
        <v>#N/A</v>
      </c>
      <c r="E1224" s="6" t="e">
        <v>#N/A</v>
      </c>
      <c r="F1224" s="4"/>
      <c r="G1224" s="4"/>
      <c r="H1224" s="4"/>
      <c r="I1224" s="7" t="e">
        <v>#N/A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>
      <c r="A1225" s="5" t="s">
        <v>2463</v>
      </c>
      <c r="B1225" s="5" t="s">
        <v>2464</v>
      </c>
      <c r="C1225" s="4" t="s">
        <v>961</v>
      </c>
      <c r="D1225" s="6">
        <v>30.79</v>
      </c>
      <c r="E1225" s="6">
        <v>30.88</v>
      </c>
      <c r="F1225" s="7">
        <v>43.06</v>
      </c>
      <c r="G1225" s="7">
        <v>55.18</v>
      </c>
      <c r="H1225" s="7">
        <v>24.41</v>
      </c>
      <c r="I1225" s="7">
        <v>1.205506621E10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>
      <c r="A1226" s="5" t="s">
        <v>2465</v>
      </c>
      <c r="B1226" s="5" t="s">
        <v>2466</v>
      </c>
      <c r="C1226" s="4" t="s">
        <v>257</v>
      </c>
      <c r="D1226" s="6">
        <v>11.39</v>
      </c>
      <c r="E1226" s="6">
        <v>11.51</v>
      </c>
      <c r="F1226" s="7">
        <v>17.82</v>
      </c>
      <c r="G1226" s="7">
        <v>14.16</v>
      </c>
      <c r="H1226" s="7">
        <v>9.38</v>
      </c>
      <c r="I1226" s="7">
        <v>7.21754138E8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>
      <c r="A1227" s="5" t="s">
        <v>2467</v>
      </c>
      <c r="B1227" s="5" t="s">
        <v>2468</v>
      </c>
      <c r="C1227" s="4" t="s">
        <v>17</v>
      </c>
      <c r="D1227" s="6">
        <v>0.56</v>
      </c>
      <c r="E1227" s="6">
        <v>0.53</v>
      </c>
      <c r="F1227" s="4"/>
      <c r="G1227" s="7">
        <v>1.01</v>
      </c>
      <c r="H1227" s="7">
        <v>0.19</v>
      </c>
      <c r="I1227" s="7">
        <v>5.6846153E7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>
      <c r="A1228" s="5" t="s">
        <v>2469</v>
      </c>
      <c r="B1228" s="5" t="s">
        <v>2470</v>
      </c>
      <c r="C1228" s="4" t="s">
        <v>37</v>
      </c>
      <c r="D1228" s="6">
        <v>0.28</v>
      </c>
      <c r="E1228" s="6">
        <v>0.28</v>
      </c>
      <c r="F1228" s="7">
        <v>13.53</v>
      </c>
      <c r="G1228" s="7">
        <v>0.28</v>
      </c>
      <c r="H1228" s="7">
        <v>0.13</v>
      </c>
      <c r="I1228" s="7">
        <v>5.30955161E8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>
      <c r="A1229" s="5" t="s">
        <v>2471</v>
      </c>
      <c r="B1229" s="5" t="s">
        <v>2472</v>
      </c>
      <c r="C1229" s="4" t="s">
        <v>34</v>
      </c>
      <c r="D1229" s="6">
        <v>19.03</v>
      </c>
      <c r="E1229" s="6">
        <v>19.09</v>
      </c>
      <c r="F1229" s="4"/>
      <c r="G1229" s="7">
        <v>19.7</v>
      </c>
      <c r="H1229" s="7">
        <v>14.7</v>
      </c>
      <c r="I1229" s="7" t="e">
        <v>#N/A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>
      <c r="A1230" s="5" t="s">
        <v>2473</v>
      </c>
      <c r="B1230" s="5" t="s">
        <v>2474</v>
      </c>
      <c r="C1230" s="4" t="s">
        <v>210</v>
      </c>
      <c r="D1230" s="6">
        <v>0.04</v>
      </c>
      <c r="E1230" s="6">
        <v>0.03</v>
      </c>
      <c r="F1230" s="4"/>
      <c r="G1230" s="7">
        <v>0.05</v>
      </c>
      <c r="H1230" s="7">
        <v>0.02</v>
      </c>
      <c r="I1230" s="7">
        <v>7811520.0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>
      <c r="A1231" s="5" t="s">
        <v>2473</v>
      </c>
      <c r="B1231" s="5" t="s">
        <v>2474</v>
      </c>
      <c r="C1231" s="4" t="s">
        <v>210</v>
      </c>
      <c r="D1231" s="6">
        <v>0.04</v>
      </c>
      <c r="E1231" s="6">
        <v>0.03</v>
      </c>
      <c r="F1231" s="4"/>
      <c r="G1231" s="7">
        <v>0.05</v>
      </c>
      <c r="H1231" s="7">
        <v>0.02</v>
      </c>
      <c r="I1231" s="7">
        <v>7811520.0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>
      <c r="A1232" s="5" t="s">
        <v>2475</v>
      </c>
      <c r="B1232" s="5" t="s">
        <v>2476</v>
      </c>
      <c r="C1232" s="4" t="s">
        <v>954</v>
      </c>
      <c r="D1232" s="6">
        <v>0.06</v>
      </c>
      <c r="E1232" s="6">
        <v>0.06</v>
      </c>
      <c r="F1232" s="4"/>
      <c r="G1232" s="7">
        <v>0.32</v>
      </c>
      <c r="H1232" s="7">
        <v>0.05</v>
      </c>
      <c r="I1232" s="7">
        <v>4782653.0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>
      <c r="A1233" s="5" t="s">
        <v>2477</v>
      </c>
      <c r="B1233" s="5" t="s">
        <v>2478</v>
      </c>
      <c r="C1233" s="4" t="s">
        <v>34</v>
      </c>
      <c r="D1233" s="6" t="e">
        <v>#N/A</v>
      </c>
      <c r="E1233" s="6" t="e">
        <v>#N/A</v>
      </c>
      <c r="F1233" s="4"/>
      <c r="G1233" s="4"/>
      <c r="H1233" s="4"/>
      <c r="I1233" s="7" t="e">
        <v>#N/A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>
      <c r="A1234" s="5" t="s">
        <v>2479</v>
      </c>
      <c r="B1234" s="5" t="s">
        <v>2480</v>
      </c>
      <c r="C1234" s="4" t="s">
        <v>34</v>
      </c>
      <c r="D1234" s="6" t="e">
        <v>#N/A</v>
      </c>
      <c r="E1234" s="6" t="e">
        <v>#N/A</v>
      </c>
      <c r="F1234" s="4"/>
      <c r="G1234" s="4"/>
      <c r="H1234" s="4"/>
      <c r="I1234" s="7" t="e">
        <v>#N/A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>
      <c r="A1235" s="5" t="s">
        <v>2481</v>
      </c>
      <c r="B1235" s="5" t="s">
        <v>2482</v>
      </c>
      <c r="C1235" s="4" t="s">
        <v>76</v>
      </c>
      <c r="D1235" s="6">
        <v>0.03</v>
      </c>
      <c r="E1235" s="6">
        <v>0.03</v>
      </c>
      <c r="F1235" s="4"/>
      <c r="G1235" s="7">
        <v>0.04</v>
      </c>
      <c r="H1235" s="7">
        <v>0.03</v>
      </c>
      <c r="I1235" s="7">
        <v>3.201797E7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>
      <c r="A1236" s="5" t="s">
        <v>2483</v>
      </c>
      <c r="B1236" s="5" t="s">
        <v>2484</v>
      </c>
      <c r="C1236" s="4" t="s">
        <v>34</v>
      </c>
      <c r="D1236" s="6" t="e">
        <v>#N/A</v>
      </c>
      <c r="E1236" s="6" t="e">
        <v>#N/A</v>
      </c>
      <c r="F1236" s="4"/>
      <c r="G1236" s="4"/>
      <c r="H1236" s="4"/>
      <c r="I1236" s="7" t="e">
        <v>#N/A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>
      <c r="A1237" s="5" t="s">
        <v>2485</v>
      </c>
      <c r="B1237" s="5" t="s">
        <v>2486</v>
      </c>
      <c r="C1237" s="4" t="s">
        <v>34</v>
      </c>
      <c r="D1237" s="6" t="e">
        <v>#N/A</v>
      </c>
      <c r="E1237" s="6" t="e">
        <v>#N/A</v>
      </c>
      <c r="F1237" s="4"/>
      <c r="G1237" s="4"/>
      <c r="H1237" s="4"/>
      <c r="I1237" s="7" t="e">
        <v>#N/A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>
      <c r="A1238" s="5" t="s">
        <v>2487</v>
      </c>
      <c r="B1238" s="5" t="s">
        <v>2488</v>
      </c>
      <c r="C1238" s="4" t="s">
        <v>195</v>
      </c>
      <c r="D1238" s="6">
        <v>5.44</v>
      </c>
      <c r="E1238" s="6">
        <v>5.43</v>
      </c>
      <c r="F1238" s="7">
        <v>22.04</v>
      </c>
      <c r="G1238" s="7">
        <v>5.55</v>
      </c>
      <c r="H1238" s="7">
        <v>4.18</v>
      </c>
      <c r="I1238" s="7">
        <v>1.60856776E8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>
      <c r="A1239" s="5" t="s">
        <v>2489</v>
      </c>
      <c r="B1239" s="5" t="s">
        <v>2490</v>
      </c>
      <c r="C1239" s="4" t="s">
        <v>34</v>
      </c>
      <c r="D1239" s="6" t="e">
        <v>#N/A</v>
      </c>
      <c r="E1239" s="6" t="e">
        <v>#N/A</v>
      </c>
      <c r="F1239" s="4"/>
      <c r="G1239" s="4"/>
      <c r="H1239" s="4"/>
      <c r="I1239" s="7" t="e">
        <v>#N/A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>
      <c r="A1240" s="5" t="s">
        <v>2491</v>
      </c>
      <c r="B1240" s="5" t="s">
        <v>2492</v>
      </c>
      <c r="C1240" s="4" t="s">
        <v>86</v>
      </c>
      <c r="D1240" s="6">
        <v>0.04</v>
      </c>
      <c r="E1240" s="6">
        <v>0.04</v>
      </c>
      <c r="F1240" s="4"/>
      <c r="G1240" s="7">
        <v>0.05</v>
      </c>
      <c r="H1240" s="7">
        <v>0.01</v>
      </c>
      <c r="I1240" s="7">
        <v>1.21478567E8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>
      <c r="A1241" s="5" t="s">
        <v>2493</v>
      </c>
      <c r="B1241" s="5" t="s">
        <v>2494</v>
      </c>
      <c r="C1241" s="4" t="s">
        <v>86</v>
      </c>
      <c r="D1241" s="6">
        <v>0.05</v>
      </c>
      <c r="E1241" s="6">
        <v>0.05</v>
      </c>
      <c r="F1241" s="4"/>
      <c r="G1241" s="7">
        <v>0.1</v>
      </c>
      <c r="H1241" s="7">
        <v>0.01</v>
      </c>
      <c r="I1241" s="7">
        <v>2.3701246E7</v>
      </c>
      <c r="J1241" s="7">
        <v>0.004</v>
      </c>
      <c r="K1241" s="7">
        <v>0.004</v>
      </c>
      <c r="L1241" s="7">
        <v>0.005</v>
      </c>
      <c r="M1241" s="7">
        <v>0.002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>
      <c r="A1242" s="5" t="s">
        <v>2495</v>
      </c>
      <c r="B1242" s="5" t="s">
        <v>2496</v>
      </c>
      <c r="C1242" s="4" t="s">
        <v>169</v>
      </c>
      <c r="D1242" s="6">
        <v>0.08</v>
      </c>
      <c r="E1242" s="6">
        <v>0.08</v>
      </c>
      <c r="F1242" s="7">
        <v>55.94</v>
      </c>
      <c r="G1242" s="7">
        <v>0.1</v>
      </c>
      <c r="H1242" s="7">
        <v>0.05</v>
      </c>
      <c r="I1242" s="7">
        <v>1.928682E7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>
      <c r="A1243" s="5" t="s">
        <v>2497</v>
      </c>
      <c r="B1243" s="5" t="s">
        <v>2498</v>
      </c>
      <c r="C1243" s="4" t="s">
        <v>76</v>
      </c>
      <c r="D1243" s="6">
        <v>1.56</v>
      </c>
      <c r="E1243" s="6">
        <v>1.54</v>
      </c>
      <c r="F1243" s="7">
        <v>5.91</v>
      </c>
      <c r="G1243" s="7">
        <v>2.17</v>
      </c>
      <c r="H1243" s="7">
        <v>1.2</v>
      </c>
      <c r="I1243" s="7">
        <v>1.129096502E9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>
      <c r="A1244" s="5" t="s">
        <v>2499</v>
      </c>
      <c r="B1244" s="5" t="s">
        <v>2500</v>
      </c>
      <c r="C1244" s="4" t="s">
        <v>169</v>
      </c>
      <c r="D1244" s="6">
        <v>1.34</v>
      </c>
      <c r="E1244" s="6">
        <v>1.34</v>
      </c>
      <c r="F1244" s="7">
        <v>15.83</v>
      </c>
      <c r="G1244" s="7">
        <v>1.38</v>
      </c>
      <c r="H1244" s="7">
        <v>1.18</v>
      </c>
      <c r="I1244" s="7">
        <v>4.248362E7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>
      <c r="A1245" s="5" t="s">
        <v>2501</v>
      </c>
      <c r="B1245" s="5" t="s">
        <v>2502</v>
      </c>
      <c r="C1245" s="4" t="s">
        <v>86</v>
      </c>
      <c r="D1245" s="6">
        <v>0.31</v>
      </c>
      <c r="E1245" s="6">
        <v>0.29</v>
      </c>
      <c r="F1245" s="4"/>
      <c r="G1245" s="7">
        <v>0.37</v>
      </c>
      <c r="H1245" s="7">
        <v>0.15</v>
      </c>
      <c r="I1245" s="7">
        <v>1.81135691E8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>
      <c r="A1246" s="5" t="s">
        <v>2503</v>
      </c>
      <c r="B1246" s="5" t="s">
        <v>2504</v>
      </c>
      <c r="C1246" s="4" t="s">
        <v>169</v>
      </c>
      <c r="D1246" s="6">
        <v>0.05</v>
      </c>
      <c r="E1246" s="6">
        <v>0.05</v>
      </c>
      <c r="F1246" s="4"/>
      <c r="G1246" s="7">
        <v>0.05</v>
      </c>
      <c r="H1246" s="7">
        <v>0.05</v>
      </c>
      <c r="I1246" s="7">
        <v>9744880.0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>
      <c r="A1247" s="5" t="s">
        <v>2505</v>
      </c>
      <c r="B1247" s="5" t="s">
        <v>2506</v>
      </c>
      <c r="C1247" s="4" t="s">
        <v>17</v>
      </c>
      <c r="D1247" s="6">
        <v>1.02</v>
      </c>
      <c r="E1247" s="6">
        <v>0.98</v>
      </c>
      <c r="F1247" s="4"/>
      <c r="G1247" s="7">
        <v>1.32</v>
      </c>
      <c r="H1247" s="7">
        <v>0.22</v>
      </c>
      <c r="I1247" s="7">
        <v>4.4273476E7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>
      <c r="A1248" s="5" t="s">
        <v>2507</v>
      </c>
      <c r="B1248" s="5" t="s">
        <v>2508</v>
      </c>
      <c r="C1248" s="4" t="s">
        <v>86</v>
      </c>
      <c r="D1248" s="6">
        <v>5.77</v>
      </c>
      <c r="E1248" s="6">
        <v>5.63</v>
      </c>
      <c r="F1248" s="7">
        <v>52.26</v>
      </c>
      <c r="G1248" s="7">
        <v>5.83</v>
      </c>
      <c r="H1248" s="7">
        <v>1.22</v>
      </c>
      <c r="I1248" s="7">
        <v>1.527539985E9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>
      <c r="A1249" s="5" t="s">
        <v>2509</v>
      </c>
      <c r="B1249" s="5" t="s">
        <v>2510</v>
      </c>
      <c r="C1249" s="4" t="s">
        <v>76</v>
      </c>
      <c r="D1249" s="6">
        <v>0.06</v>
      </c>
      <c r="E1249" s="6">
        <v>0.06</v>
      </c>
      <c r="F1249" s="4"/>
      <c r="G1249" s="7">
        <v>6.18</v>
      </c>
      <c r="H1249" s="7">
        <v>0.03</v>
      </c>
      <c r="I1249" s="7">
        <v>1897460.0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>
      <c r="A1250" s="5" t="s">
        <v>2511</v>
      </c>
      <c r="B1250" s="5" t="s">
        <v>2512</v>
      </c>
      <c r="C1250" s="4" t="s">
        <v>17</v>
      </c>
      <c r="D1250" s="6">
        <v>0.09</v>
      </c>
      <c r="E1250" s="6">
        <v>0.09</v>
      </c>
      <c r="F1250" s="4"/>
      <c r="G1250" s="7">
        <v>0.13</v>
      </c>
      <c r="H1250" s="7">
        <v>0.03</v>
      </c>
      <c r="I1250" s="7">
        <v>9782820.0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>
      <c r="A1251" s="5" t="s">
        <v>2513</v>
      </c>
      <c r="B1251" s="5" t="s">
        <v>2514</v>
      </c>
      <c r="C1251" s="4" t="s">
        <v>17</v>
      </c>
      <c r="D1251" s="6">
        <v>0.05</v>
      </c>
      <c r="E1251" s="6">
        <v>0.05</v>
      </c>
      <c r="F1251" s="4"/>
      <c r="G1251" s="7">
        <v>0.05</v>
      </c>
      <c r="H1251" s="7">
        <v>0.0</v>
      </c>
      <c r="I1251" s="7">
        <v>6.7159369E7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>
      <c r="A1252" s="5" t="s">
        <v>2515</v>
      </c>
      <c r="B1252" s="5" t="s">
        <v>2516</v>
      </c>
      <c r="C1252" s="4" t="s">
        <v>17</v>
      </c>
      <c r="D1252" s="6">
        <v>0.2</v>
      </c>
      <c r="E1252" s="6">
        <v>0.21</v>
      </c>
      <c r="F1252" s="4"/>
      <c r="G1252" s="7">
        <v>0.22</v>
      </c>
      <c r="H1252" s="7">
        <v>0.08</v>
      </c>
      <c r="I1252" s="7">
        <v>1.50506942E8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>
      <c r="A1253" s="5" t="s">
        <v>2517</v>
      </c>
      <c r="B1253" s="5" t="s">
        <v>2518</v>
      </c>
      <c r="C1253" s="4" t="s">
        <v>151</v>
      </c>
      <c r="D1253" s="6">
        <v>3.71</v>
      </c>
      <c r="E1253" s="6">
        <v>3.67</v>
      </c>
      <c r="F1253" s="4"/>
      <c r="G1253" s="7">
        <v>6.27</v>
      </c>
      <c r="H1253" s="7">
        <v>2.88</v>
      </c>
      <c r="I1253" s="7">
        <v>3.66492576E8</v>
      </c>
      <c r="J1253" s="7">
        <v>0.004</v>
      </c>
      <c r="K1253" s="7">
        <v>0.005</v>
      </c>
      <c r="L1253" s="7">
        <v>0.012</v>
      </c>
      <c r="M1253" s="7">
        <v>0.002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>
      <c r="A1254" s="5" t="s">
        <v>2519</v>
      </c>
      <c r="B1254" s="5" t="s">
        <v>2520</v>
      </c>
      <c r="C1254" s="4" t="s">
        <v>1838</v>
      </c>
      <c r="D1254" s="6">
        <v>2.29</v>
      </c>
      <c r="E1254" s="6">
        <v>2.29</v>
      </c>
      <c r="F1254" s="7">
        <v>12.29</v>
      </c>
      <c r="G1254" s="7">
        <v>2.41</v>
      </c>
      <c r="H1254" s="7">
        <v>2.0</v>
      </c>
      <c r="I1254" s="7">
        <v>7.38602389E8</v>
      </c>
      <c r="J1254" s="7">
        <v>0.003</v>
      </c>
      <c r="K1254" s="7">
        <v>0.003</v>
      </c>
      <c r="L1254" s="7">
        <v>0.15</v>
      </c>
      <c r="M1254" s="7">
        <v>0.003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>
      <c r="A1255" s="5" t="s">
        <v>2521</v>
      </c>
      <c r="B1255" s="5" t="s">
        <v>2522</v>
      </c>
      <c r="C1255" s="4" t="s">
        <v>76</v>
      </c>
      <c r="D1255" s="6">
        <v>0.07</v>
      </c>
      <c r="E1255" s="6">
        <v>0.07</v>
      </c>
      <c r="F1255" s="4"/>
      <c r="G1255" s="7">
        <v>0.11</v>
      </c>
      <c r="H1255" s="7">
        <v>0.04</v>
      </c>
      <c r="I1255" s="7">
        <v>9.6997993E7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>
      <c r="A1256" s="5" t="s">
        <v>2523</v>
      </c>
      <c r="B1256" s="5" t="s">
        <v>2524</v>
      </c>
      <c r="C1256" s="4" t="s">
        <v>86</v>
      </c>
      <c r="D1256" s="6">
        <v>0.04</v>
      </c>
      <c r="E1256" s="6">
        <v>0.05</v>
      </c>
      <c r="F1256" s="4"/>
      <c r="G1256" s="7">
        <v>0.08</v>
      </c>
      <c r="H1256" s="7">
        <v>0.02</v>
      </c>
      <c r="I1256" s="7">
        <v>4795653.0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>
      <c r="A1257" s="5" t="s">
        <v>2525</v>
      </c>
      <c r="B1257" s="5" t="s">
        <v>2526</v>
      </c>
      <c r="C1257" s="4" t="s">
        <v>312</v>
      </c>
      <c r="D1257" s="6">
        <v>0.19</v>
      </c>
      <c r="E1257" s="6">
        <v>0.18</v>
      </c>
      <c r="F1257" s="4"/>
      <c r="G1257" s="7">
        <v>3.18</v>
      </c>
      <c r="H1257" s="7">
        <v>0.01</v>
      </c>
      <c r="I1257" s="7">
        <v>2.7228101E7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>
      <c r="A1258" s="5" t="s">
        <v>2527</v>
      </c>
      <c r="B1258" s="5" t="s">
        <v>2528</v>
      </c>
      <c r="C1258" s="4" t="s">
        <v>1052</v>
      </c>
      <c r="D1258" s="6">
        <v>4.34</v>
      </c>
      <c r="E1258" s="6">
        <v>4.25</v>
      </c>
      <c r="F1258" s="7">
        <v>21.71</v>
      </c>
      <c r="G1258" s="7">
        <v>5.22</v>
      </c>
      <c r="H1258" s="7">
        <v>2.19</v>
      </c>
      <c r="I1258" s="7">
        <v>1.178721473E9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>
      <c r="A1259" s="5" t="s">
        <v>2529</v>
      </c>
      <c r="B1259" s="5" t="s">
        <v>2530</v>
      </c>
      <c r="C1259" s="4" t="s">
        <v>1470</v>
      </c>
      <c r="D1259" s="6">
        <v>0.01</v>
      </c>
      <c r="E1259" s="6">
        <v>0.01</v>
      </c>
      <c r="F1259" s="4"/>
      <c r="G1259" s="7">
        <v>0.01</v>
      </c>
      <c r="H1259" s="7">
        <v>0.0</v>
      </c>
      <c r="I1259" s="7">
        <v>9215790.0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>
      <c r="A1260" s="5" t="s">
        <v>2531</v>
      </c>
      <c r="B1260" s="5" t="s">
        <v>2532</v>
      </c>
      <c r="C1260" s="4" t="s">
        <v>37</v>
      </c>
      <c r="D1260" s="6">
        <v>0.18</v>
      </c>
      <c r="E1260" s="6">
        <v>0.18</v>
      </c>
      <c r="F1260" s="4"/>
      <c r="G1260" s="7">
        <v>0.22</v>
      </c>
      <c r="H1260" s="7">
        <v>0.07</v>
      </c>
      <c r="I1260" s="7">
        <v>1.6013801E7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>
      <c r="A1261" s="5" t="s">
        <v>2533</v>
      </c>
      <c r="B1261" s="5" t="s">
        <v>2534</v>
      </c>
      <c r="C1261" s="4" t="s">
        <v>397</v>
      </c>
      <c r="D1261" s="6">
        <v>0.24</v>
      </c>
      <c r="E1261" s="6">
        <v>0.24</v>
      </c>
      <c r="F1261" s="4"/>
      <c r="G1261" s="7">
        <v>0.4</v>
      </c>
      <c r="H1261" s="7">
        <v>0.21</v>
      </c>
      <c r="I1261" s="7">
        <v>2.028252E8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>
      <c r="A1262" s="5" t="s">
        <v>2535</v>
      </c>
      <c r="B1262" s="5" t="s">
        <v>2536</v>
      </c>
      <c r="C1262" s="4" t="s">
        <v>2537</v>
      </c>
      <c r="D1262" s="6">
        <v>0.6</v>
      </c>
      <c r="E1262" s="6">
        <v>0.59</v>
      </c>
      <c r="F1262" s="7">
        <v>14.92</v>
      </c>
      <c r="G1262" s="7">
        <v>0.66</v>
      </c>
      <c r="H1262" s="7">
        <v>0.36</v>
      </c>
      <c r="I1262" s="7">
        <v>3.3167683E7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>
      <c r="A1263" s="5" t="s">
        <v>2538</v>
      </c>
      <c r="B1263" s="5" t="s">
        <v>2539</v>
      </c>
      <c r="C1263" s="4" t="s">
        <v>86</v>
      </c>
      <c r="D1263" s="6">
        <v>0.04</v>
      </c>
      <c r="E1263" s="6">
        <v>0.04</v>
      </c>
      <c r="F1263" s="4"/>
      <c r="G1263" s="7">
        <v>0.1</v>
      </c>
      <c r="H1263" s="7">
        <v>0.01</v>
      </c>
      <c r="I1263" s="7">
        <v>4.6338423E7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>
      <c r="A1264" s="5" t="s">
        <v>2540</v>
      </c>
      <c r="B1264" s="5" t="s">
        <v>2541</v>
      </c>
      <c r="C1264" s="4" t="s">
        <v>86</v>
      </c>
      <c r="D1264" s="6">
        <v>0.11</v>
      </c>
      <c r="E1264" s="6">
        <v>0.11</v>
      </c>
      <c r="F1264" s="4"/>
      <c r="G1264" s="7">
        <v>0.19</v>
      </c>
      <c r="H1264" s="7">
        <v>0.07</v>
      </c>
      <c r="I1264" s="7">
        <v>9515080.0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>
      <c r="A1265" s="5" t="s">
        <v>2542</v>
      </c>
      <c r="B1265" s="5" t="s">
        <v>2543</v>
      </c>
      <c r="C1265" s="4" t="s">
        <v>37</v>
      </c>
      <c r="D1265" s="6">
        <v>0.07</v>
      </c>
      <c r="E1265" s="6">
        <v>0.07</v>
      </c>
      <c r="F1265" s="4"/>
      <c r="G1265" s="7">
        <v>0.18</v>
      </c>
      <c r="H1265" s="7">
        <v>0.06</v>
      </c>
      <c r="I1265" s="7">
        <v>8779628.0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>
      <c r="A1266" s="5" t="s">
        <v>2544</v>
      </c>
      <c r="B1266" s="5" t="s">
        <v>2545</v>
      </c>
      <c r="C1266" s="4" t="s">
        <v>14</v>
      </c>
      <c r="D1266" s="6">
        <v>0.0</v>
      </c>
      <c r="E1266" s="6">
        <v>0.0</v>
      </c>
      <c r="F1266" s="4"/>
      <c r="G1266" s="7">
        <v>0.0</v>
      </c>
      <c r="H1266" s="7">
        <v>0.0</v>
      </c>
      <c r="I1266" s="7">
        <v>1504786.0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>
      <c r="A1267" s="5" t="s">
        <v>2546</v>
      </c>
      <c r="B1267" s="5" t="s">
        <v>2547</v>
      </c>
      <c r="C1267" s="4" t="s">
        <v>14</v>
      </c>
      <c r="D1267" s="6">
        <v>0.02</v>
      </c>
      <c r="E1267" s="6">
        <v>0.02</v>
      </c>
      <c r="F1267" s="4"/>
      <c r="G1267" s="7">
        <v>0.04</v>
      </c>
      <c r="H1267" s="7">
        <v>0.02</v>
      </c>
      <c r="I1267" s="7">
        <v>5446692.0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>
      <c r="A1268" s="5" t="s">
        <v>2548</v>
      </c>
      <c r="B1268" s="5" t="s">
        <v>2549</v>
      </c>
      <c r="C1268" s="4" t="s">
        <v>37</v>
      </c>
      <c r="D1268" s="6">
        <v>0.04</v>
      </c>
      <c r="E1268" s="6">
        <v>0.04</v>
      </c>
      <c r="F1268" s="4"/>
      <c r="G1268" s="7">
        <v>0.09</v>
      </c>
      <c r="H1268" s="7">
        <v>0.03</v>
      </c>
      <c r="I1268" s="7">
        <v>1.0305602E7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>
      <c r="A1269" s="5" t="s">
        <v>2550</v>
      </c>
      <c r="B1269" s="5" t="s">
        <v>2551</v>
      </c>
      <c r="C1269" s="4" t="s">
        <v>17</v>
      </c>
      <c r="D1269" s="6">
        <v>0.01</v>
      </c>
      <c r="E1269" s="6">
        <v>0.01</v>
      </c>
      <c r="F1269" s="4"/>
      <c r="G1269" s="7">
        <v>0.01</v>
      </c>
      <c r="H1269" s="7">
        <v>0.01</v>
      </c>
      <c r="I1269" s="7">
        <v>2936400.0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>
      <c r="A1270" s="5" t="s">
        <v>2552</v>
      </c>
      <c r="B1270" s="5" t="s">
        <v>2553</v>
      </c>
      <c r="C1270" s="4" t="s">
        <v>1666</v>
      </c>
      <c r="D1270" s="6">
        <v>14.06</v>
      </c>
      <c r="E1270" s="6">
        <v>13.97</v>
      </c>
      <c r="F1270" s="7">
        <v>12.63</v>
      </c>
      <c r="G1270" s="7">
        <v>14.45</v>
      </c>
      <c r="H1270" s="7">
        <v>9.05</v>
      </c>
      <c r="I1270" s="7">
        <v>1.6636622E8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>
      <c r="A1271" s="5" t="s">
        <v>2554</v>
      </c>
      <c r="B1271" s="5" t="s">
        <v>2555</v>
      </c>
      <c r="C1271" s="4" t="s">
        <v>265</v>
      </c>
      <c r="D1271" s="6">
        <v>0.06</v>
      </c>
      <c r="E1271" s="6">
        <v>0.06</v>
      </c>
      <c r="F1271" s="4"/>
      <c r="G1271" s="7">
        <v>0.08</v>
      </c>
      <c r="H1271" s="7">
        <v>0.03</v>
      </c>
      <c r="I1271" s="7">
        <v>1.47514285E8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>
      <c r="A1272" s="5" t="s">
        <v>2556</v>
      </c>
      <c r="B1272" s="5" t="s">
        <v>2557</v>
      </c>
      <c r="C1272" s="4" t="s">
        <v>159</v>
      </c>
      <c r="D1272" s="6">
        <v>8.4</v>
      </c>
      <c r="E1272" s="6">
        <v>8.2</v>
      </c>
      <c r="F1272" s="7">
        <v>110.56</v>
      </c>
      <c r="G1272" s="7">
        <v>13.6</v>
      </c>
      <c r="H1272" s="7">
        <v>7.76</v>
      </c>
      <c r="I1272" s="7">
        <v>3.80309562E8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>
      <c r="A1273" s="5" t="s">
        <v>2558</v>
      </c>
      <c r="B1273" s="5" t="s">
        <v>2559</v>
      </c>
      <c r="C1273" s="4" t="s">
        <v>169</v>
      </c>
      <c r="D1273" s="6">
        <v>0.01</v>
      </c>
      <c r="E1273" s="6">
        <v>0.01</v>
      </c>
      <c r="F1273" s="4"/>
      <c r="G1273" s="7">
        <v>0.02</v>
      </c>
      <c r="H1273" s="7">
        <v>0.0</v>
      </c>
      <c r="I1273" s="7">
        <v>5.7486717E7</v>
      </c>
      <c r="J1273" s="7">
        <v>2.13</v>
      </c>
      <c r="K1273" s="7">
        <v>2.13</v>
      </c>
      <c r="L1273" s="7">
        <v>2.24</v>
      </c>
      <c r="M1273" s="7">
        <v>1.815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>
      <c r="A1274" s="5" t="s">
        <v>2560</v>
      </c>
      <c r="B1274" s="5" t="s">
        <v>2561</v>
      </c>
      <c r="C1274" s="4" t="s">
        <v>17</v>
      </c>
      <c r="D1274" s="6">
        <v>0.04</v>
      </c>
      <c r="E1274" s="6">
        <v>0.04</v>
      </c>
      <c r="F1274" s="4"/>
      <c r="G1274" s="7">
        <v>0.06</v>
      </c>
      <c r="H1274" s="7">
        <v>0.03</v>
      </c>
      <c r="I1274" s="7">
        <v>2.7202306E7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>
      <c r="A1275" s="5" t="s">
        <v>2562</v>
      </c>
      <c r="B1275" s="5" t="s">
        <v>2563</v>
      </c>
      <c r="C1275" s="4" t="s">
        <v>86</v>
      </c>
      <c r="D1275" s="6">
        <v>0.01</v>
      </c>
      <c r="E1275" s="6">
        <v>0.01</v>
      </c>
      <c r="F1275" s="4"/>
      <c r="G1275" s="7">
        <v>0.02</v>
      </c>
      <c r="H1275" s="7">
        <v>0.01</v>
      </c>
      <c r="I1275" s="7">
        <v>1.9319343E7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>
      <c r="A1276" s="5" t="s">
        <v>2564</v>
      </c>
      <c r="B1276" s="5" t="s">
        <v>2565</v>
      </c>
      <c r="C1276" s="4" t="s">
        <v>645</v>
      </c>
      <c r="D1276" s="6">
        <v>3.3</v>
      </c>
      <c r="E1276" s="6">
        <v>3.35</v>
      </c>
      <c r="F1276" s="7">
        <v>15.47</v>
      </c>
      <c r="G1276" s="7">
        <v>3.69</v>
      </c>
      <c r="H1276" s="7">
        <v>3.01</v>
      </c>
      <c r="I1276" s="7">
        <v>4.51596083E8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>
      <c r="A1277" s="5" t="s">
        <v>2566</v>
      </c>
      <c r="B1277" s="5" t="s">
        <v>2567</v>
      </c>
      <c r="C1277" s="4" t="s">
        <v>411</v>
      </c>
      <c r="D1277" s="6">
        <v>1.23</v>
      </c>
      <c r="E1277" s="6">
        <v>1.26</v>
      </c>
      <c r="F1277" s="7">
        <v>9.09</v>
      </c>
      <c r="G1277" s="7">
        <v>1.39</v>
      </c>
      <c r="H1277" s="7">
        <v>1.0</v>
      </c>
      <c r="I1277" s="7">
        <v>3.60347816E8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>
      <c r="A1278" s="5" t="s">
        <v>2568</v>
      </c>
      <c r="B1278" s="5" t="s">
        <v>2569</v>
      </c>
      <c r="C1278" s="4" t="s">
        <v>34</v>
      </c>
      <c r="D1278" s="6" t="e">
        <v>#N/A</v>
      </c>
      <c r="E1278" s="6" t="e">
        <v>#N/A</v>
      </c>
      <c r="F1278" s="4"/>
      <c r="G1278" s="4"/>
      <c r="H1278" s="4"/>
      <c r="I1278" s="7" t="e">
        <v>#N/A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>
      <c r="A1279" s="5" t="s">
        <v>2570</v>
      </c>
      <c r="B1279" s="5" t="s">
        <v>2571</v>
      </c>
      <c r="C1279" s="4" t="s">
        <v>17</v>
      </c>
      <c r="D1279" s="6">
        <v>0.13</v>
      </c>
      <c r="E1279" s="6">
        <v>0.13</v>
      </c>
      <c r="F1279" s="4"/>
      <c r="G1279" s="7">
        <v>0.17</v>
      </c>
      <c r="H1279" s="7">
        <v>0.07</v>
      </c>
      <c r="I1279" s="7">
        <v>1.009875E8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>
      <c r="A1280" s="5" t="s">
        <v>2572</v>
      </c>
      <c r="B1280" s="5" t="s">
        <v>2573</v>
      </c>
      <c r="C1280" s="4" t="s">
        <v>86</v>
      </c>
      <c r="D1280" s="6">
        <v>0.01</v>
      </c>
      <c r="E1280" s="6">
        <v>0.01</v>
      </c>
      <c r="F1280" s="4"/>
      <c r="G1280" s="7">
        <v>0.02</v>
      </c>
      <c r="H1280" s="7">
        <v>0.01</v>
      </c>
      <c r="I1280" s="7">
        <v>1.1270409E7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>
      <c r="A1281" s="5" t="s">
        <v>2574</v>
      </c>
      <c r="B1281" s="5" t="s">
        <v>2575</v>
      </c>
      <c r="C1281" s="4" t="s">
        <v>506</v>
      </c>
      <c r="D1281" s="6">
        <v>0.32</v>
      </c>
      <c r="E1281" s="6">
        <v>0.32</v>
      </c>
      <c r="F1281" s="7">
        <v>118.96</v>
      </c>
      <c r="G1281" s="7">
        <v>0.42</v>
      </c>
      <c r="H1281" s="7">
        <v>0.13</v>
      </c>
      <c r="I1281" s="7">
        <v>1.40029372E8</v>
      </c>
      <c r="J1281" s="7">
        <v>0.001</v>
      </c>
      <c r="K1281" s="7">
        <v>0.001</v>
      </c>
      <c r="L1281" s="7">
        <v>0.003</v>
      </c>
      <c r="M1281" s="7">
        <v>0.001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>
      <c r="A1282" s="5" t="s">
        <v>2576</v>
      </c>
      <c r="B1282" s="5" t="s">
        <v>2577</v>
      </c>
      <c r="C1282" s="4" t="s">
        <v>17</v>
      </c>
      <c r="D1282" s="6">
        <v>0.19</v>
      </c>
      <c r="E1282" s="6">
        <v>0.2</v>
      </c>
      <c r="F1282" s="4"/>
      <c r="G1282" s="7">
        <v>0.23</v>
      </c>
      <c r="H1282" s="7">
        <v>0.07</v>
      </c>
      <c r="I1282" s="7">
        <v>4.5935482E7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>
      <c r="A1283" s="5" t="s">
        <v>2578</v>
      </c>
      <c r="B1283" s="5" t="s">
        <v>2579</v>
      </c>
      <c r="C1283" s="4" t="s">
        <v>169</v>
      </c>
      <c r="D1283" s="6">
        <v>1.07</v>
      </c>
      <c r="E1283" s="6">
        <v>1.07</v>
      </c>
      <c r="F1283" s="7">
        <v>97.62</v>
      </c>
      <c r="G1283" s="7">
        <v>1.21</v>
      </c>
      <c r="H1283" s="7">
        <v>0.65</v>
      </c>
      <c r="I1283" s="7">
        <v>2.720520281E9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>
      <c r="A1284" s="5" t="s">
        <v>2580</v>
      </c>
      <c r="B1284" s="5" t="s">
        <v>2581</v>
      </c>
      <c r="C1284" s="4" t="s">
        <v>34</v>
      </c>
      <c r="D1284" s="6">
        <v>6.02</v>
      </c>
      <c r="E1284" s="6">
        <v>6.02</v>
      </c>
      <c r="F1284" s="4"/>
      <c r="G1284" s="7">
        <v>6.02</v>
      </c>
      <c r="H1284" s="7">
        <v>4.72</v>
      </c>
      <c r="I1284" s="7" t="e">
        <v>#N/A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>
      <c r="A1285" s="5" t="s">
        <v>2582</v>
      </c>
      <c r="B1285" s="5" t="s">
        <v>2583</v>
      </c>
      <c r="C1285" s="4" t="s">
        <v>34</v>
      </c>
      <c r="D1285" s="6" t="e">
        <v>#N/A</v>
      </c>
      <c r="E1285" s="6" t="e">
        <v>#N/A</v>
      </c>
      <c r="F1285" s="4"/>
      <c r="G1285" s="4"/>
      <c r="H1285" s="4"/>
      <c r="I1285" s="7" t="e">
        <v>#N/A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>
      <c r="A1286" s="5" t="s">
        <v>2584</v>
      </c>
      <c r="B1286" s="5" t="s">
        <v>2585</v>
      </c>
      <c r="C1286" s="4" t="s">
        <v>17</v>
      </c>
      <c r="D1286" s="6">
        <v>0.03</v>
      </c>
      <c r="E1286" s="6">
        <v>0.03</v>
      </c>
      <c r="F1286" s="4"/>
      <c r="G1286" s="7">
        <v>0.1</v>
      </c>
      <c r="H1286" s="7">
        <v>0.02</v>
      </c>
      <c r="I1286" s="7">
        <v>5371392.0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>
      <c r="A1287" s="5" t="s">
        <v>2586</v>
      </c>
      <c r="B1287" s="5" t="s">
        <v>2587</v>
      </c>
      <c r="C1287" s="4" t="s">
        <v>26</v>
      </c>
      <c r="D1287" s="6">
        <v>0.63</v>
      </c>
      <c r="E1287" s="6">
        <v>0.63</v>
      </c>
      <c r="F1287" s="4"/>
      <c r="G1287" s="7">
        <v>0.88</v>
      </c>
      <c r="H1287" s="7">
        <v>0.55</v>
      </c>
      <c r="I1287" s="7">
        <v>1.81516987E8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>
      <c r="A1288" s="5" t="s">
        <v>2586</v>
      </c>
      <c r="B1288" s="5" t="s">
        <v>2587</v>
      </c>
      <c r="C1288" s="4" t="s">
        <v>26</v>
      </c>
      <c r="D1288" s="6">
        <v>0.63</v>
      </c>
      <c r="E1288" s="6">
        <v>0.63</v>
      </c>
      <c r="F1288" s="4"/>
      <c r="G1288" s="7">
        <v>0.88</v>
      </c>
      <c r="H1288" s="7">
        <v>0.55</v>
      </c>
      <c r="I1288" s="7">
        <v>1.81516987E8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>
      <c r="A1289" s="8" t="s">
        <v>2586</v>
      </c>
      <c r="B1289" s="8" t="s">
        <v>2587</v>
      </c>
      <c r="C1289" s="9" t="s">
        <v>26</v>
      </c>
      <c r="D1289" s="10">
        <v>0.63</v>
      </c>
      <c r="E1289" s="6">
        <v>0.63</v>
      </c>
      <c r="F1289" s="4"/>
      <c r="G1289" s="7">
        <v>0.88</v>
      </c>
      <c r="H1289" s="7">
        <v>0.55</v>
      </c>
      <c r="I1289" s="7">
        <v>1.81516987E8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>
      <c r="A1290" s="5" t="s">
        <v>2588</v>
      </c>
      <c r="B1290" s="5" t="s">
        <v>2589</v>
      </c>
      <c r="C1290" s="4" t="s">
        <v>17</v>
      </c>
      <c r="D1290" s="6">
        <v>0.08</v>
      </c>
      <c r="E1290" s="6">
        <v>0.07</v>
      </c>
      <c r="F1290" s="4"/>
      <c r="G1290" s="7">
        <v>0.09</v>
      </c>
      <c r="H1290" s="7">
        <v>0.02</v>
      </c>
      <c r="I1290" s="7">
        <v>1.1562285E7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>
      <c r="A1291" s="5" t="s">
        <v>2590</v>
      </c>
      <c r="B1291" s="5" t="s">
        <v>2591</v>
      </c>
      <c r="C1291" s="4" t="s">
        <v>645</v>
      </c>
      <c r="D1291" s="6">
        <v>0.7</v>
      </c>
      <c r="E1291" s="6">
        <v>0.71</v>
      </c>
      <c r="F1291" s="7">
        <v>12.67</v>
      </c>
      <c r="G1291" s="7">
        <v>0.91</v>
      </c>
      <c r="H1291" s="7">
        <v>0.58</v>
      </c>
      <c r="I1291" s="7">
        <v>2.53399645E8</v>
      </c>
      <c r="J1291" s="7">
        <v>0.003</v>
      </c>
      <c r="K1291" s="7">
        <v>0.003</v>
      </c>
      <c r="L1291" s="7">
        <v>0.005</v>
      </c>
      <c r="M1291" s="7">
        <v>0.001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>
      <c r="A1292" s="5" t="s">
        <v>2592</v>
      </c>
      <c r="B1292" s="5" t="s">
        <v>2593</v>
      </c>
      <c r="C1292" s="4" t="s">
        <v>394</v>
      </c>
      <c r="D1292" s="6">
        <v>0.63</v>
      </c>
      <c r="E1292" s="6">
        <v>0.63</v>
      </c>
      <c r="F1292" s="7">
        <v>19.28</v>
      </c>
      <c r="G1292" s="7">
        <v>0.67</v>
      </c>
      <c r="H1292" s="7">
        <v>0.33</v>
      </c>
      <c r="I1292" s="7">
        <v>7.3875374E7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>
      <c r="A1293" s="5" t="s">
        <v>2594</v>
      </c>
      <c r="B1293" s="5" t="s">
        <v>2595</v>
      </c>
      <c r="C1293" s="4" t="s">
        <v>169</v>
      </c>
      <c r="D1293" s="6">
        <v>0.85</v>
      </c>
      <c r="E1293" s="6">
        <v>0.85</v>
      </c>
      <c r="F1293" s="7">
        <v>53.22</v>
      </c>
      <c r="G1293" s="7">
        <v>0.87</v>
      </c>
      <c r="H1293" s="7">
        <v>0.76</v>
      </c>
      <c r="I1293" s="7">
        <v>2.698095E7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>
      <c r="A1294" s="5" t="s">
        <v>2596</v>
      </c>
      <c r="B1294" s="5" t="s">
        <v>2597</v>
      </c>
      <c r="C1294" s="4" t="s">
        <v>17</v>
      </c>
      <c r="D1294" s="6">
        <v>0.01</v>
      </c>
      <c r="E1294" s="6">
        <v>0.01</v>
      </c>
      <c r="F1294" s="4"/>
      <c r="G1294" s="7">
        <v>0.01</v>
      </c>
      <c r="H1294" s="7">
        <v>0.01</v>
      </c>
      <c r="I1294" s="7">
        <v>5456619.0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>
      <c r="A1295" s="5" t="s">
        <v>2598</v>
      </c>
      <c r="B1295" s="5" t="s">
        <v>2599</v>
      </c>
      <c r="C1295" s="4" t="s">
        <v>17</v>
      </c>
      <c r="D1295" s="6">
        <v>0.01</v>
      </c>
      <c r="E1295" s="6">
        <v>0.01</v>
      </c>
      <c r="F1295" s="4"/>
      <c r="G1295" s="7">
        <v>0.01</v>
      </c>
      <c r="H1295" s="7">
        <v>0.01</v>
      </c>
      <c r="I1295" s="7">
        <v>6.2477074E7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>
      <c r="A1296" s="5" t="s">
        <v>2600</v>
      </c>
      <c r="B1296" s="5" t="s">
        <v>2601</v>
      </c>
      <c r="C1296" s="4" t="s">
        <v>17</v>
      </c>
      <c r="D1296" s="6" t="e">
        <v>#N/A</v>
      </c>
      <c r="E1296" s="6" t="e">
        <v>#N/A</v>
      </c>
      <c r="F1296" s="4"/>
      <c r="G1296" s="4"/>
      <c r="H1296" s="4"/>
      <c r="I1296" s="7" t="e">
        <v>#N/A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>
      <c r="A1297" s="5" t="s">
        <v>2602</v>
      </c>
      <c r="B1297" s="5" t="s">
        <v>2603</v>
      </c>
      <c r="C1297" s="4" t="s">
        <v>274</v>
      </c>
      <c r="D1297" s="6">
        <v>0.32</v>
      </c>
      <c r="E1297" s="6">
        <v>0.28</v>
      </c>
      <c r="F1297" s="4"/>
      <c r="G1297" s="7">
        <v>0.33</v>
      </c>
      <c r="H1297" s="7">
        <v>0.02</v>
      </c>
      <c r="I1297" s="7">
        <v>2.56407642E8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>
      <c r="A1298" s="5" t="s">
        <v>2604</v>
      </c>
      <c r="B1298" s="5" t="s">
        <v>2605</v>
      </c>
      <c r="C1298" s="4" t="s">
        <v>17</v>
      </c>
      <c r="D1298" s="6">
        <v>0.01</v>
      </c>
      <c r="E1298" s="6">
        <v>0.01</v>
      </c>
      <c r="F1298" s="4"/>
      <c r="G1298" s="7">
        <v>0.01</v>
      </c>
      <c r="H1298" s="7">
        <v>0.01</v>
      </c>
      <c r="I1298" s="7">
        <v>2.7687529E7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>
      <c r="A1299" s="5" t="s">
        <v>2606</v>
      </c>
      <c r="B1299" s="5" t="s">
        <v>2607</v>
      </c>
      <c r="C1299" s="4" t="s">
        <v>37</v>
      </c>
      <c r="D1299" s="6">
        <v>0.37</v>
      </c>
      <c r="E1299" s="6">
        <v>0.37</v>
      </c>
      <c r="F1299" s="4"/>
      <c r="G1299" s="7">
        <v>0.38</v>
      </c>
      <c r="H1299" s="7">
        <v>0.27</v>
      </c>
      <c r="I1299" s="7">
        <v>4.088056E7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>
      <c r="A1300" s="5" t="s">
        <v>2608</v>
      </c>
      <c r="B1300" s="5" t="s">
        <v>2609</v>
      </c>
      <c r="C1300" s="4" t="s">
        <v>34</v>
      </c>
      <c r="D1300" s="6">
        <v>16.83</v>
      </c>
      <c r="E1300" s="6">
        <v>16.87</v>
      </c>
      <c r="F1300" s="4"/>
      <c r="G1300" s="7">
        <v>20.98</v>
      </c>
      <c r="H1300" s="7">
        <v>15.96</v>
      </c>
      <c r="I1300" s="7" t="e">
        <v>#N/A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>
      <c r="A1301" s="5" t="s">
        <v>2610</v>
      </c>
      <c r="B1301" s="5" t="s">
        <v>2611</v>
      </c>
      <c r="C1301" s="4" t="s">
        <v>34</v>
      </c>
      <c r="D1301" s="6">
        <v>1.48</v>
      </c>
      <c r="E1301" s="6">
        <v>1.48</v>
      </c>
      <c r="F1301" s="4"/>
      <c r="G1301" s="7">
        <v>1.78</v>
      </c>
      <c r="H1301" s="7">
        <v>1.37</v>
      </c>
      <c r="I1301" s="7" t="e">
        <v>#N/A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>
      <c r="A1302" s="5" t="s">
        <v>2612</v>
      </c>
      <c r="B1302" s="5" t="s">
        <v>2613</v>
      </c>
      <c r="C1302" s="4" t="s">
        <v>86</v>
      </c>
      <c r="D1302" s="6">
        <v>0.28</v>
      </c>
      <c r="E1302" s="6">
        <v>0.28</v>
      </c>
      <c r="F1302" s="4"/>
      <c r="G1302" s="7">
        <v>0.3</v>
      </c>
      <c r="H1302" s="7">
        <v>0.07</v>
      </c>
      <c r="I1302" s="7">
        <v>6.9535456E7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>
      <c r="A1303" s="5" t="s">
        <v>2614</v>
      </c>
      <c r="B1303" s="5" t="s">
        <v>2615</v>
      </c>
      <c r="C1303" s="4" t="s">
        <v>169</v>
      </c>
      <c r="D1303" s="6">
        <v>2.0</v>
      </c>
      <c r="E1303" s="6">
        <v>2.02</v>
      </c>
      <c r="F1303" s="4"/>
      <c r="G1303" s="7">
        <v>2.04</v>
      </c>
      <c r="H1303" s="7">
        <v>1.92</v>
      </c>
      <c r="I1303" s="7" t="e">
        <v>#N/A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>
      <c r="A1304" s="5" t="s">
        <v>2616</v>
      </c>
      <c r="B1304" s="5" t="s">
        <v>2617</v>
      </c>
      <c r="C1304" s="4" t="s">
        <v>239</v>
      </c>
      <c r="D1304" s="6">
        <v>4.24</v>
      </c>
      <c r="E1304" s="6">
        <v>4.14</v>
      </c>
      <c r="F1304" s="7">
        <v>9.67</v>
      </c>
      <c r="G1304" s="7">
        <v>4.7</v>
      </c>
      <c r="H1304" s="7">
        <v>2.92</v>
      </c>
      <c r="I1304" s="7">
        <v>1.28726393E9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>
      <c r="A1305" s="5" t="s">
        <v>2618</v>
      </c>
      <c r="B1305" s="5" t="s">
        <v>2619</v>
      </c>
      <c r="C1305" s="4" t="s">
        <v>239</v>
      </c>
      <c r="D1305" s="6">
        <v>1.06</v>
      </c>
      <c r="E1305" s="6">
        <v>1.04</v>
      </c>
      <c r="F1305" s="7">
        <v>19.46</v>
      </c>
      <c r="G1305" s="7">
        <v>1.25</v>
      </c>
      <c r="H1305" s="7">
        <v>1.03</v>
      </c>
      <c r="I1305" s="7">
        <v>1.10211586E9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>
      <c r="A1306" s="5" t="s">
        <v>2620</v>
      </c>
      <c r="B1306" s="5" t="s">
        <v>2621</v>
      </c>
      <c r="C1306" s="4" t="s">
        <v>1899</v>
      </c>
      <c r="D1306" s="6">
        <v>4.1</v>
      </c>
      <c r="E1306" s="6">
        <v>4.04</v>
      </c>
      <c r="F1306" s="7">
        <v>56.21</v>
      </c>
      <c r="G1306" s="7">
        <v>5.34</v>
      </c>
      <c r="H1306" s="7">
        <v>2.41</v>
      </c>
      <c r="I1306" s="7">
        <v>4.2410481E8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>
      <c r="A1307" s="5" t="s">
        <v>2622</v>
      </c>
      <c r="B1307" s="5" t="s">
        <v>2623</v>
      </c>
      <c r="C1307" s="4" t="s">
        <v>17</v>
      </c>
      <c r="D1307" s="6" t="e">
        <v>#N/A</v>
      </c>
      <c r="E1307" s="6" t="e">
        <v>#N/A</v>
      </c>
      <c r="F1307" s="4"/>
      <c r="G1307" s="4"/>
      <c r="H1307" s="4"/>
      <c r="I1307" s="7" t="e">
        <v>#N/A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>
      <c r="A1308" s="5" t="s">
        <v>2624</v>
      </c>
      <c r="B1308" s="5" t="s">
        <v>2625</v>
      </c>
      <c r="C1308" s="4" t="s">
        <v>172</v>
      </c>
      <c r="D1308" s="6">
        <v>0.13</v>
      </c>
      <c r="E1308" s="6">
        <v>0.13</v>
      </c>
      <c r="F1308" s="7">
        <v>6.72</v>
      </c>
      <c r="G1308" s="7">
        <v>0.14</v>
      </c>
      <c r="H1308" s="7">
        <v>0.1</v>
      </c>
      <c r="I1308" s="7">
        <v>3.8205737E7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>
      <c r="A1309" s="5" t="s">
        <v>2626</v>
      </c>
      <c r="B1309" s="5" t="s">
        <v>2627</v>
      </c>
      <c r="C1309" s="4" t="s">
        <v>34</v>
      </c>
      <c r="D1309" s="6">
        <v>2.13</v>
      </c>
      <c r="E1309" s="6">
        <v>2.13</v>
      </c>
      <c r="F1309" s="4"/>
      <c r="G1309" s="7">
        <v>2.83</v>
      </c>
      <c r="H1309" s="7">
        <v>2.1</v>
      </c>
      <c r="I1309" s="7" t="e">
        <v>#N/A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>
      <c r="A1310" s="5" t="s">
        <v>2628</v>
      </c>
      <c r="B1310" s="5" t="s">
        <v>2629</v>
      </c>
      <c r="C1310" s="4" t="s">
        <v>17</v>
      </c>
      <c r="D1310" s="6">
        <v>0.0</v>
      </c>
      <c r="E1310" s="6">
        <v>0.0</v>
      </c>
      <c r="F1310" s="4"/>
      <c r="G1310" s="7">
        <v>0.0</v>
      </c>
      <c r="H1310" s="7">
        <v>0.0</v>
      </c>
      <c r="I1310" s="7">
        <v>2.460366E7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>
      <c r="A1311" s="5" t="s">
        <v>2630</v>
      </c>
      <c r="B1311" s="5" t="s">
        <v>2631</v>
      </c>
      <c r="C1311" s="4" t="s">
        <v>141</v>
      </c>
      <c r="D1311" s="6">
        <v>5.16</v>
      </c>
      <c r="E1311" s="6">
        <v>5.05</v>
      </c>
      <c r="F1311" s="4"/>
      <c r="G1311" s="7">
        <v>10.15</v>
      </c>
      <c r="H1311" s="7">
        <v>4.08</v>
      </c>
      <c r="I1311" s="7">
        <v>6.28178381E8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>
      <c r="A1312" s="5" t="s">
        <v>2632</v>
      </c>
      <c r="B1312" s="5" t="s">
        <v>2633</v>
      </c>
      <c r="C1312" s="4" t="s">
        <v>37</v>
      </c>
      <c r="D1312" s="6">
        <v>0.42</v>
      </c>
      <c r="E1312" s="6">
        <v>0.42</v>
      </c>
      <c r="F1312" s="4"/>
      <c r="G1312" s="7">
        <v>0.44</v>
      </c>
      <c r="H1312" s="7">
        <v>0.08</v>
      </c>
      <c r="I1312" s="7">
        <v>6.86216181E8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>
      <c r="A1313" s="5" t="s">
        <v>2634</v>
      </c>
      <c r="B1313" s="5" t="s">
        <v>2635</v>
      </c>
      <c r="C1313" s="4" t="s">
        <v>76</v>
      </c>
      <c r="D1313" s="6">
        <v>0.01</v>
      </c>
      <c r="E1313" s="6">
        <v>0.01</v>
      </c>
      <c r="F1313" s="4"/>
      <c r="G1313" s="7">
        <v>0.02</v>
      </c>
      <c r="H1313" s="7">
        <v>0.01</v>
      </c>
      <c r="I1313" s="7">
        <v>6465997.0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>
      <c r="A1314" s="5" t="s">
        <v>2636</v>
      </c>
      <c r="B1314" s="5" t="s">
        <v>2637</v>
      </c>
      <c r="C1314" s="4" t="s">
        <v>20</v>
      </c>
      <c r="D1314" s="6">
        <v>0.15</v>
      </c>
      <c r="E1314" s="6">
        <v>0.16</v>
      </c>
      <c r="F1314" s="4"/>
      <c r="G1314" s="7">
        <v>0.2</v>
      </c>
      <c r="H1314" s="7">
        <v>0.09</v>
      </c>
      <c r="I1314" s="7">
        <v>9.3029103E7</v>
      </c>
      <c r="J1314" s="7">
        <v>0.002</v>
      </c>
      <c r="K1314" s="7">
        <v>0.002</v>
      </c>
      <c r="L1314" s="7">
        <v>0.02</v>
      </c>
      <c r="M1314" s="7">
        <v>0.002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>
      <c r="A1315" s="5" t="s">
        <v>2638</v>
      </c>
      <c r="B1315" s="5" t="s">
        <v>2639</v>
      </c>
      <c r="C1315" s="4" t="s">
        <v>37</v>
      </c>
      <c r="D1315" s="6">
        <v>0.01</v>
      </c>
      <c r="E1315" s="6">
        <v>0.01</v>
      </c>
      <c r="F1315" s="4"/>
      <c r="G1315" s="7">
        <v>0.02</v>
      </c>
      <c r="H1315" s="7">
        <v>0.01</v>
      </c>
      <c r="I1315" s="7">
        <v>2.2705176E7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>
      <c r="A1316" s="5" t="s">
        <v>2640</v>
      </c>
      <c r="B1316" s="5" t="s">
        <v>2641</v>
      </c>
      <c r="C1316" s="4" t="s">
        <v>37</v>
      </c>
      <c r="D1316" s="6">
        <v>0.14</v>
      </c>
      <c r="E1316" s="6">
        <v>0.12</v>
      </c>
      <c r="F1316" s="4"/>
      <c r="G1316" s="7">
        <v>0.14</v>
      </c>
      <c r="H1316" s="7">
        <v>0.03</v>
      </c>
      <c r="I1316" s="7">
        <v>3.11074437E8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>
      <c r="A1317" s="5" t="s">
        <v>2642</v>
      </c>
      <c r="B1317" s="5" t="s">
        <v>2643</v>
      </c>
      <c r="C1317" s="4" t="s">
        <v>76</v>
      </c>
      <c r="D1317" s="6">
        <v>1.31</v>
      </c>
      <c r="E1317" s="6">
        <v>1.3</v>
      </c>
      <c r="F1317" s="7">
        <v>20.46</v>
      </c>
      <c r="G1317" s="7">
        <v>1.75</v>
      </c>
      <c r="H1317" s="7">
        <v>0.68</v>
      </c>
      <c r="I1317" s="7">
        <v>9.5690269E7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>
      <c r="A1318" s="5" t="s">
        <v>2644</v>
      </c>
      <c r="B1318" s="5" t="s">
        <v>2645</v>
      </c>
      <c r="C1318" s="4" t="s">
        <v>17</v>
      </c>
      <c r="D1318" s="6">
        <v>0.21</v>
      </c>
      <c r="E1318" s="6">
        <v>0.2</v>
      </c>
      <c r="F1318" s="4"/>
      <c r="G1318" s="7">
        <v>0.69</v>
      </c>
      <c r="H1318" s="7">
        <v>0.01</v>
      </c>
      <c r="I1318" s="7">
        <v>7.3092114E7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>
      <c r="A1319" s="5" t="s">
        <v>2646</v>
      </c>
      <c r="B1319" s="5" t="s">
        <v>2647</v>
      </c>
      <c r="C1319" s="4" t="s">
        <v>141</v>
      </c>
      <c r="D1319" s="6">
        <v>5.16</v>
      </c>
      <c r="E1319" s="6">
        <v>5.2</v>
      </c>
      <c r="F1319" s="7">
        <v>15.62</v>
      </c>
      <c r="G1319" s="7">
        <v>6.82</v>
      </c>
      <c r="H1319" s="7">
        <v>4.91</v>
      </c>
      <c r="I1319" s="7">
        <v>3.563742542E9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>
      <c r="A1320" s="5" t="s">
        <v>2648</v>
      </c>
      <c r="B1320" s="5" t="s">
        <v>2649</v>
      </c>
      <c r="C1320" s="4" t="s">
        <v>37</v>
      </c>
      <c r="D1320" s="6">
        <v>0.33</v>
      </c>
      <c r="E1320" s="6">
        <v>0.33</v>
      </c>
      <c r="F1320" s="4"/>
      <c r="G1320" s="7">
        <v>0.43</v>
      </c>
      <c r="H1320" s="7">
        <v>0.18</v>
      </c>
      <c r="I1320" s="7">
        <v>4.8094733E7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>
      <c r="A1321" s="5" t="s">
        <v>2650</v>
      </c>
      <c r="B1321" s="5" t="s">
        <v>2651</v>
      </c>
      <c r="C1321" s="4" t="s">
        <v>17</v>
      </c>
      <c r="D1321" s="6">
        <v>0.16</v>
      </c>
      <c r="E1321" s="6">
        <v>0.17</v>
      </c>
      <c r="F1321" s="4"/>
      <c r="G1321" s="7">
        <v>0.31</v>
      </c>
      <c r="H1321" s="7">
        <v>0.08</v>
      </c>
      <c r="I1321" s="7">
        <v>1.9137152E7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>
      <c r="A1322" s="5" t="s">
        <v>2652</v>
      </c>
      <c r="B1322" s="5" t="s">
        <v>2653</v>
      </c>
      <c r="C1322" s="4" t="s">
        <v>17</v>
      </c>
      <c r="D1322" s="6">
        <v>0.34</v>
      </c>
      <c r="E1322" s="6">
        <v>0.34</v>
      </c>
      <c r="F1322" s="4"/>
      <c r="G1322" s="7">
        <v>0.4</v>
      </c>
      <c r="H1322" s="7">
        <v>0.17</v>
      </c>
      <c r="I1322" s="7">
        <v>7.3718259E7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>
      <c r="A1323" s="5" t="s">
        <v>2654</v>
      </c>
      <c r="B1323" s="5" t="s">
        <v>2655</v>
      </c>
      <c r="C1323" s="4" t="s">
        <v>37</v>
      </c>
      <c r="D1323" s="6">
        <v>0.02</v>
      </c>
      <c r="E1323" s="6">
        <v>0.02</v>
      </c>
      <c r="F1323" s="4"/>
      <c r="G1323" s="7">
        <v>0.04</v>
      </c>
      <c r="H1323" s="7">
        <v>0.01</v>
      </c>
      <c r="I1323" s="7">
        <v>6.5684138E7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>
      <c r="A1324" s="5" t="s">
        <v>2656</v>
      </c>
      <c r="B1324" s="5" t="s">
        <v>2657</v>
      </c>
      <c r="C1324" s="4" t="s">
        <v>17</v>
      </c>
      <c r="D1324" s="6">
        <v>0.02</v>
      </c>
      <c r="E1324" s="6">
        <v>0.01</v>
      </c>
      <c r="F1324" s="4"/>
      <c r="G1324" s="7">
        <v>0.02</v>
      </c>
      <c r="H1324" s="7">
        <v>0.0</v>
      </c>
      <c r="I1324" s="7">
        <v>5.4411643E7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>
      <c r="A1325" s="5" t="s">
        <v>2658</v>
      </c>
      <c r="B1325" s="5" t="s">
        <v>2659</v>
      </c>
      <c r="C1325" s="4" t="s">
        <v>17</v>
      </c>
      <c r="D1325" s="6">
        <v>0.44</v>
      </c>
      <c r="E1325" s="6">
        <v>0.45</v>
      </c>
      <c r="F1325" s="4"/>
      <c r="G1325" s="7">
        <v>1.16</v>
      </c>
      <c r="H1325" s="7">
        <v>0.1</v>
      </c>
      <c r="I1325" s="7">
        <v>2.4608817E7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>
      <c r="A1326" s="5" t="s">
        <v>2660</v>
      </c>
      <c r="B1326" s="5" t="s">
        <v>2661</v>
      </c>
      <c r="C1326" s="4" t="s">
        <v>34</v>
      </c>
      <c r="D1326" s="6" t="e">
        <v>#N/A</v>
      </c>
      <c r="E1326" s="6" t="e">
        <v>#N/A</v>
      </c>
      <c r="F1326" s="4"/>
      <c r="G1326" s="4"/>
      <c r="H1326" s="4"/>
      <c r="I1326" s="7" t="e">
        <v>#N/A</v>
      </c>
      <c r="J1326" s="7">
        <v>0.004</v>
      </c>
      <c r="K1326" s="7">
        <v>0.005</v>
      </c>
      <c r="L1326" s="7">
        <v>0.013</v>
      </c>
      <c r="M1326" s="7">
        <v>0.004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>
      <c r="A1327" s="5" t="s">
        <v>2662</v>
      </c>
      <c r="B1327" s="5" t="s">
        <v>2663</v>
      </c>
      <c r="C1327" s="4" t="s">
        <v>17</v>
      </c>
      <c r="D1327" s="6">
        <v>0.2</v>
      </c>
      <c r="E1327" s="6">
        <v>0.19</v>
      </c>
      <c r="F1327" s="4"/>
      <c r="G1327" s="7">
        <v>0.27</v>
      </c>
      <c r="H1327" s="7">
        <v>0.13</v>
      </c>
      <c r="I1327" s="7">
        <v>1.237E7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>
      <c r="A1328" s="5" t="s">
        <v>2664</v>
      </c>
      <c r="B1328" s="5" t="s">
        <v>2665</v>
      </c>
      <c r="C1328" s="4" t="s">
        <v>257</v>
      </c>
      <c r="D1328" s="6">
        <v>156.0</v>
      </c>
      <c r="E1328" s="6">
        <v>157.57</v>
      </c>
      <c r="F1328" s="7">
        <v>22.62</v>
      </c>
      <c r="G1328" s="7">
        <v>181.25</v>
      </c>
      <c r="H1328" s="7">
        <v>109.12</v>
      </c>
      <c r="I1328" s="7">
        <v>8.342952979E9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>
      <c r="A1329" s="5" t="s">
        <v>2666</v>
      </c>
      <c r="B1329" s="5" t="s">
        <v>2667</v>
      </c>
      <c r="C1329" s="4" t="s">
        <v>34</v>
      </c>
      <c r="D1329" s="6">
        <v>1.88</v>
      </c>
      <c r="E1329" s="6">
        <v>1.96</v>
      </c>
      <c r="F1329" s="4"/>
      <c r="G1329" s="7">
        <v>1.97</v>
      </c>
      <c r="H1329" s="7">
        <v>1.4</v>
      </c>
      <c r="I1329" s="7" t="e">
        <v>#N/A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>
      <c r="A1330" s="5" t="s">
        <v>2668</v>
      </c>
      <c r="B1330" s="5" t="s">
        <v>2669</v>
      </c>
      <c r="C1330" s="4" t="s">
        <v>26</v>
      </c>
      <c r="D1330" s="6">
        <v>0.19</v>
      </c>
      <c r="E1330" s="6">
        <v>0.18</v>
      </c>
      <c r="F1330" s="4"/>
      <c r="G1330" s="7">
        <v>0.26</v>
      </c>
      <c r="H1330" s="7">
        <v>0.13</v>
      </c>
      <c r="I1330" s="7">
        <v>4.88745586E8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>
      <c r="A1331" s="5" t="s">
        <v>2668</v>
      </c>
      <c r="B1331" s="5" t="s">
        <v>2669</v>
      </c>
      <c r="C1331" s="4" t="s">
        <v>26</v>
      </c>
      <c r="D1331" s="6">
        <v>0.19</v>
      </c>
      <c r="E1331" s="6">
        <v>0.18</v>
      </c>
      <c r="F1331" s="4"/>
      <c r="G1331" s="7">
        <v>0.26</v>
      </c>
      <c r="H1331" s="7">
        <v>0.13</v>
      </c>
      <c r="I1331" s="7">
        <v>4.88745586E8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>
      <c r="A1332" s="8" t="s">
        <v>2668</v>
      </c>
      <c r="B1332" s="8" t="s">
        <v>2669</v>
      </c>
      <c r="C1332" s="9" t="s">
        <v>26</v>
      </c>
      <c r="D1332" s="10">
        <v>0.19</v>
      </c>
      <c r="E1332" s="6">
        <v>0.18</v>
      </c>
      <c r="F1332" s="4"/>
      <c r="G1332" s="7">
        <v>0.26</v>
      </c>
      <c r="H1332" s="7">
        <v>0.13</v>
      </c>
      <c r="I1332" s="7">
        <v>4.88745586E8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>
      <c r="A1333" s="5" t="s">
        <v>2670</v>
      </c>
      <c r="B1333" s="5" t="s">
        <v>2671</v>
      </c>
      <c r="C1333" s="4" t="s">
        <v>618</v>
      </c>
      <c r="D1333" s="6">
        <v>29.29</v>
      </c>
      <c r="E1333" s="6">
        <v>29.31</v>
      </c>
      <c r="F1333" s="7">
        <v>37.51</v>
      </c>
      <c r="G1333" s="7">
        <v>43.68</v>
      </c>
      <c r="H1333" s="7">
        <v>20.23</v>
      </c>
      <c r="I1333" s="7">
        <v>3.243527837E9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>
      <c r="A1334" s="5" t="s">
        <v>2672</v>
      </c>
      <c r="B1334" s="5" t="s">
        <v>2673</v>
      </c>
      <c r="C1334" s="4" t="s">
        <v>954</v>
      </c>
      <c r="D1334" s="6">
        <v>0.11</v>
      </c>
      <c r="E1334" s="6">
        <v>0.11</v>
      </c>
      <c r="F1334" s="4"/>
      <c r="G1334" s="7">
        <v>0.18</v>
      </c>
      <c r="H1334" s="7">
        <v>0.09</v>
      </c>
      <c r="I1334" s="7">
        <v>2.0088683E7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>
      <c r="A1335" s="5" t="s">
        <v>2674</v>
      </c>
      <c r="B1335" s="5" t="s">
        <v>2675</v>
      </c>
      <c r="C1335" s="4" t="s">
        <v>34</v>
      </c>
      <c r="D1335" s="6" t="e">
        <v>#N/A</v>
      </c>
      <c r="E1335" s="6" t="e">
        <v>#N/A</v>
      </c>
      <c r="F1335" s="4"/>
      <c r="G1335" s="4"/>
      <c r="H1335" s="4"/>
      <c r="I1335" s="7" t="e">
        <v>#N/A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>
      <c r="A1336" s="5" t="s">
        <v>2676</v>
      </c>
      <c r="B1336" s="5" t="s">
        <v>2677</v>
      </c>
      <c r="C1336" s="4" t="s">
        <v>34</v>
      </c>
      <c r="D1336" s="6">
        <v>9.21</v>
      </c>
      <c r="E1336" s="6">
        <v>9.23</v>
      </c>
      <c r="F1336" s="4"/>
      <c r="G1336" s="7">
        <v>9.83</v>
      </c>
      <c r="H1336" s="7">
        <v>8.75</v>
      </c>
      <c r="I1336" s="7" t="e">
        <v>#N/A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>
      <c r="A1337" s="5" t="s">
        <v>2678</v>
      </c>
      <c r="B1337" s="5" t="s">
        <v>2679</v>
      </c>
      <c r="C1337" s="4" t="s">
        <v>37</v>
      </c>
      <c r="D1337" s="6">
        <v>0.14</v>
      </c>
      <c r="E1337" s="6">
        <v>0.14</v>
      </c>
      <c r="F1337" s="4"/>
      <c r="G1337" s="7">
        <v>0.18</v>
      </c>
      <c r="H1337" s="7">
        <v>0.05</v>
      </c>
      <c r="I1337" s="7">
        <v>1.7933398E7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>
      <c r="A1338" s="5" t="s">
        <v>2680</v>
      </c>
      <c r="B1338" s="5" t="s">
        <v>2681</v>
      </c>
      <c r="C1338" s="4" t="s">
        <v>17</v>
      </c>
      <c r="D1338" s="6">
        <v>0.02</v>
      </c>
      <c r="E1338" s="6">
        <v>0.02</v>
      </c>
      <c r="F1338" s="4"/>
      <c r="G1338" s="7">
        <v>0.06</v>
      </c>
      <c r="H1338" s="7">
        <v>0.02</v>
      </c>
      <c r="I1338" s="7">
        <v>3186040.0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>
      <c r="A1339" s="5" t="s">
        <v>2682</v>
      </c>
      <c r="B1339" s="5" t="s">
        <v>2683</v>
      </c>
      <c r="C1339" s="4" t="s">
        <v>601</v>
      </c>
      <c r="D1339" s="6">
        <v>0.62</v>
      </c>
      <c r="E1339" s="6">
        <v>0.6</v>
      </c>
      <c r="F1339" s="4"/>
      <c r="G1339" s="7">
        <v>1.16</v>
      </c>
      <c r="H1339" s="7">
        <v>0.58</v>
      </c>
      <c r="I1339" s="7">
        <v>6.6319726E7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>
      <c r="A1340" s="5" t="s">
        <v>2684</v>
      </c>
      <c r="B1340" s="5" t="s">
        <v>2685</v>
      </c>
      <c r="C1340" s="4" t="s">
        <v>37</v>
      </c>
      <c r="D1340" s="6">
        <v>0.03</v>
      </c>
      <c r="E1340" s="6">
        <v>0.03</v>
      </c>
      <c r="F1340" s="4"/>
      <c r="G1340" s="7">
        <v>0.07</v>
      </c>
      <c r="H1340" s="7">
        <v>0.02</v>
      </c>
      <c r="I1340" s="7">
        <v>8.007037E7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>
      <c r="A1341" s="5" t="s">
        <v>2686</v>
      </c>
      <c r="B1341" s="5" t="s">
        <v>2687</v>
      </c>
      <c r="C1341" s="4" t="s">
        <v>169</v>
      </c>
      <c r="D1341" s="6">
        <v>2.25</v>
      </c>
      <c r="E1341" s="6">
        <v>2.23</v>
      </c>
      <c r="F1341" s="7">
        <v>3.94</v>
      </c>
      <c r="G1341" s="7">
        <v>2.3</v>
      </c>
      <c r="H1341" s="7">
        <v>1.02</v>
      </c>
      <c r="I1341" s="7">
        <v>9.3503542E7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>
      <c r="A1342" s="5" t="s">
        <v>2688</v>
      </c>
      <c r="B1342" s="5" t="s">
        <v>2689</v>
      </c>
      <c r="C1342" s="4" t="s">
        <v>17</v>
      </c>
      <c r="D1342" s="6">
        <v>1.18</v>
      </c>
      <c r="E1342" s="6">
        <v>1.17</v>
      </c>
      <c r="F1342" s="4"/>
      <c r="G1342" s="7">
        <v>1.44</v>
      </c>
      <c r="H1342" s="7">
        <v>0.51</v>
      </c>
      <c r="I1342" s="7">
        <v>6.10679E8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>
      <c r="A1343" s="5" t="s">
        <v>2690</v>
      </c>
      <c r="B1343" s="5" t="s">
        <v>2691</v>
      </c>
      <c r="C1343" s="4" t="s">
        <v>86</v>
      </c>
      <c r="D1343" s="6">
        <v>0.05</v>
      </c>
      <c r="E1343" s="6">
        <v>0.05</v>
      </c>
      <c r="F1343" s="4"/>
      <c r="G1343" s="7">
        <v>0.09</v>
      </c>
      <c r="H1343" s="7">
        <v>0.04</v>
      </c>
      <c r="I1343" s="7">
        <v>1.6305778E7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>
      <c r="A1344" s="5" t="s">
        <v>2692</v>
      </c>
      <c r="B1344" s="5" t="s">
        <v>2693</v>
      </c>
      <c r="C1344" s="4" t="s">
        <v>387</v>
      </c>
      <c r="D1344" s="6">
        <v>3.96</v>
      </c>
      <c r="E1344" s="6">
        <v>3.99</v>
      </c>
      <c r="F1344" s="7">
        <v>24.89</v>
      </c>
      <c r="G1344" s="7">
        <v>4.04</v>
      </c>
      <c r="H1344" s="7">
        <v>2.59</v>
      </c>
      <c r="I1344" s="7">
        <v>2.506612308E9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>
      <c r="A1345" s="5" t="s">
        <v>2694</v>
      </c>
      <c r="B1345" s="5" t="s">
        <v>2695</v>
      </c>
      <c r="C1345" s="4" t="s">
        <v>34</v>
      </c>
      <c r="D1345" s="6" t="e">
        <v>#N/A</v>
      </c>
      <c r="E1345" s="6" t="e">
        <v>#N/A</v>
      </c>
      <c r="F1345" s="4"/>
      <c r="G1345" s="4"/>
      <c r="H1345" s="4"/>
      <c r="I1345" s="7" t="e">
        <v>#N/A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>
      <c r="A1346" s="5" t="s">
        <v>2696</v>
      </c>
      <c r="B1346" s="5" t="s">
        <v>2697</v>
      </c>
      <c r="C1346" s="4" t="s">
        <v>17</v>
      </c>
      <c r="D1346" s="6">
        <v>0.01</v>
      </c>
      <c r="E1346" s="6">
        <v>0.01</v>
      </c>
      <c r="F1346" s="4"/>
      <c r="G1346" s="7">
        <v>0.06</v>
      </c>
      <c r="H1346" s="7">
        <v>0.01</v>
      </c>
      <c r="I1346" s="7">
        <v>1.6542036E7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>
      <c r="A1347" s="5" t="s">
        <v>2698</v>
      </c>
      <c r="B1347" s="5" t="s">
        <v>2699</v>
      </c>
      <c r="C1347" s="4" t="s">
        <v>17</v>
      </c>
      <c r="D1347" s="6">
        <v>0.99</v>
      </c>
      <c r="E1347" s="6">
        <v>0.99</v>
      </c>
      <c r="F1347" s="7">
        <v>3.63</v>
      </c>
      <c r="G1347" s="7">
        <v>1.06</v>
      </c>
      <c r="H1347" s="7">
        <v>0.53</v>
      </c>
      <c r="I1347" s="7">
        <v>1.41813442E8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>
      <c r="A1348" s="5" t="s">
        <v>2700</v>
      </c>
      <c r="B1348" s="5" t="s">
        <v>2701</v>
      </c>
      <c r="C1348" s="4" t="s">
        <v>23</v>
      </c>
      <c r="D1348" s="6">
        <v>0.71</v>
      </c>
      <c r="E1348" s="6">
        <v>0.72</v>
      </c>
      <c r="F1348" s="4"/>
      <c r="G1348" s="7">
        <v>0.91</v>
      </c>
      <c r="H1348" s="7">
        <v>0.27</v>
      </c>
      <c r="I1348" s="7">
        <v>1.28968017E8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>
      <c r="A1349" s="5" t="s">
        <v>2702</v>
      </c>
      <c r="B1349" s="5" t="s">
        <v>2703</v>
      </c>
      <c r="C1349" s="4" t="s">
        <v>37</v>
      </c>
      <c r="D1349" s="6">
        <v>1.62</v>
      </c>
      <c r="E1349" s="6">
        <v>1.58</v>
      </c>
      <c r="F1349" s="4"/>
      <c r="G1349" s="7">
        <v>1.75</v>
      </c>
      <c r="H1349" s="7">
        <v>0.42</v>
      </c>
      <c r="I1349" s="7">
        <v>4.747162153E9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>
      <c r="A1350" s="5" t="s">
        <v>2704</v>
      </c>
      <c r="B1350" s="5" t="s">
        <v>2705</v>
      </c>
      <c r="C1350" s="4" t="s">
        <v>37</v>
      </c>
      <c r="D1350" s="6">
        <v>0.01</v>
      </c>
      <c r="E1350" s="6">
        <v>0.01</v>
      </c>
      <c r="F1350" s="4"/>
      <c r="G1350" s="7">
        <v>0.02</v>
      </c>
      <c r="H1350" s="7">
        <v>0.0</v>
      </c>
      <c r="I1350" s="7">
        <v>2.230224E7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>
      <c r="A1351" s="5" t="s">
        <v>2706</v>
      </c>
      <c r="B1351" s="5" t="s">
        <v>2707</v>
      </c>
      <c r="C1351" s="4" t="s">
        <v>68</v>
      </c>
      <c r="D1351" s="6">
        <v>0.09</v>
      </c>
      <c r="E1351" s="6">
        <v>0.09</v>
      </c>
      <c r="F1351" s="7">
        <v>4.25</v>
      </c>
      <c r="G1351" s="7">
        <v>0.14</v>
      </c>
      <c r="H1351" s="7">
        <v>0.09</v>
      </c>
      <c r="I1351" s="7">
        <v>3607540.0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>
      <c r="A1352" s="5" t="s">
        <v>2708</v>
      </c>
      <c r="B1352" s="5" t="s">
        <v>2709</v>
      </c>
      <c r="C1352" s="4" t="s">
        <v>447</v>
      </c>
      <c r="D1352" s="6">
        <v>12.22</v>
      </c>
      <c r="E1352" s="6">
        <v>12.44</v>
      </c>
      <c r="F1352" s="7">
        <v>1437.65</v>
      </c>
      <c r="G1352" s="7">
        <v>21.96</v>
      </c>
      <c r="H1352" s="7">
        <v>6.16</v>
      </c>
      <c r="I1352" s="7">
        <v>1.2299454708E10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>
      <c r="A1353" s="5" t="s">
        <v>2710</v>
      </c>
      <c r="B1353" s="5" t="s">
        <v>2711</v>
      </c>
      <c r="C1353" s="4" t="s">
        <v>121</v>
      </c>
      <c r="D1353" s="6">
        <v>14.11</v>
      </c>
      <c r="E1353" s="6">
        <v>13.8</v>
      </c>
      <c r="F1353" s="7">
        <v>13.28</v>
      </c>
      <c r="G1353" s="7">
        <v>14.15</v>
      </c>
      <c r="H1353" s="7">
        <v>9.78</v>
      </c>
      <c r="I1353" s="7">
        <v>5.6073449E8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>
      <c r="A1354" s="5" t="s">
        <v>2712</v>
      </c>
      <c r="B1354" s="5" t="s">
        <v>2713</v>
      </c>
      <c r="C1354" s="4" t="s">
        <v>17</v>
      </c>
      <c r="D1354" s="6">
        <v>0.02</v>
      </c>
      <c r="E1354" s="6">
        <v>0.02</v>
      </c>
      <c r="F1354" s="4"/>
      <c r="G1354" s="7">
        <v>0.02</v>
      </c>
      <c r="H1354" s="7">
        <v>0.01</v>
      </c>
      <c r="I1354" s="7">
        <v>4427480.0</v>
      </c>
      <c r="J1354" s="7">
        <v>0.003</v>
      </c>
      <c r="K1354" s="7">
        <v>0.0035</v>
      </c>
      <c r="L1354" s="7">
        <v>0.023</v>
      </c>
      <c r="M1354" s="7">
        <v>0.002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>
      <c r="A1355" s="5" t="s">
        <v>2714</v>
      </c>
      <c r="B1355" s="5" t="s">
        <v>2715</v>
      </c>
      <c r="C1355" s="4" t="s">
        <v>86</v>
      </c>
      <c r="D1355" s="6">
        <v>0.01</v>
      </c>
      <c r="E1355" s="6">
        <v>0.01</v>
      </c>
      <c r="F1355" s="7">
        <v>155.56</v>
      </c>
      <c r="G1355" s="7">
        <v>0.03</v>
      </c>
      <c r="H1355" s="7">
        <v>0.01</v>
      </c>
      <c r="I1355" s="7">
        <v>1.0121832E7</v>
      </c>
      <c r="J1355" s="7">
        <v>0.017</v>
      </c>
      <c r="K1355" s="4"/>
      <c r="L1355" s="7">
        <v>0.02</v>
      </c>
      <c r="M1355" s="7">
        <v>0.017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>
      <c r="A1356" s="5" t="s">
        <v>2716</v>
      </c>
      <c r="B1356" s="5" t="s">
        <v>2717</v>
      </c>
      <c r="C1356" s="4" t="s">
        <v>86</v>
      </c>
      <c r="D1356" s="6">
        <v>0.0</v>
      </c>
      <c r="E1356" s="6">
        <v>0.0</v>
      </c>
      <c r="F1356" s="4"/>
      <c r="G1356" s="7">
        <v>0.01</v>
      </c>
      <c r="H1356" s="7">
        <v>0.0</v>
      </c>
      <c r="I1356" s="7">
        <v>1495236.0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>
      <c r="A1357" s="5" t="s">
        <v>2718</v>
      </c>
      <c r="B1357" s="5" t="s">
        <v>2719</v>
      </c>
      <c r="C1357" s="4" t="s">
        <v>17</v>
      </c>
      <c r="D1357" s="6">
        <v>0.03</v>
      </c>
      <c r="E1357" s="6">
        <v>0.03</v>
      </c>
      <c r="F1357" s="4"/>
      <c r="G1357" s="7">
        <v>0.06</v>
      </c>
      <c r="H1357" s="7">
        <v>0.02</v>
      </c>
      <c r="I1357" s="7">
        <v>5220128.0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>
      <c r="A1358" s="5" t="s">
        <v>2720</v>
      </c>
      <c r="B1358" s="5" t="s">
        <v>2721</v>
      </c>
      <c r="C1358" s="4" t="s">
        <v>210</v>
      </c>
      <c r="D1358" s="6">
        <v>0.01</v>
      </c>
      <c r="E1358" s="6">
        <v>0.01</v>
      </c>
      <c r="F1358" s="4"/>
      <c r="G1358" s="7">
        <v>0.02</v>
      </c>
      <c r="H1358" s="7">
        <v>0.01</v>
      </c>
      <c r="I1358" s="7">
        <v>3.2897385E7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>
      <c r="A1359" s="5" t="s">
        <v>2720</v>
      </c>
      <c r="B1359" s="5" t="s">
        <v>2721</v>
      </c>
      <c r="C1359" s="4" t="s">
        <v>210</v>
      </c>
      <c r="D1359" s="6">
        <v>0.01</v>
      </c>
      <c r="E1359" s="6">
        <v>0.01</v>
      </c>
      <c r="F1359" s="4"/>
      <c r="G1359" s="7">
        <v>0.02</v>
      </c>
      <c r="H1359" s="7">
        <v>0.01</v>
      </c>
      <c r="I1359" s="7">
        <v>3.2897385E7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>
      <c r="A1360" s="5" t="s">
        <v>2722</v>
      </c>
      <c r="B1360" s="5" t="s">
        <v>2723</v>
      </c>
      <c r="C1360" s="4" t="s">
        <v>37</v>
      </c>
      <c r="D1360" s="6">
        <v>0.12</v>
      </c>
      <c r="E1360" s="6">
        <v>0.12</v>
      </c>
      <c r="F1360" s="4"/>
      <c r="G1360" s="7">
        <v>0.19</v>
      </c>
      <c r="H1360" s="7">
        <v>0.1</v>
      </c>
      <c r="I1360" s="7">
        <v>6.1596864E7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>
      <c r="A1361" s="5" t="s">
        <v>2724</v>
      </c>
      <c r="B1361" s="5" t="s">
        <v>2725</v>
      </c>
      <c r="C1361" s="4" t="s">
        <v>60</v>
      </c>
      <c r="D1361" s="6">
        <v>0.68</v>
      </c>
      <c r="E1361" s="6">
        <v>0.62</v>
      </c>
      <c r="F1361" s="4"/>
      <c r="G1361" s="7">
        <v>0.68</v>
      </c>
      <c r="H1361" s="7">
        <v>0.28</v>
      </c>
      <c r="I1361" s="7">
        <v>1.57324412E8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>
      <c r="A1362" s="5" t="s">
        <v>2726</v>
      </c>
      <c r="B1362" s="5" t="s">
        <v>2727</v>
      </c>
      <c r="C1362" s="4" t="s">
        <v>1344</v>
      </c>
      <c r="D1362" s="6">
        <v>2.01</v>
      </c>
      <c r="E1362" s="6">
        <v>2.0</v>
      </c>
      <c r="F1362" s="4"/>
      <c r="G1362" s="7">
        <v>2.06</v>
      </c>
      <c r="H1362" s="7">
        <v>1.91</v>
      </c>
      <c r="I1362" s="7">
        <v>9.0850853E7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>
      <c r="A1363" s="5" t="s">
        <v>2728</v>
      </c>
      <c r="B1363" s="5" t="s">
        <v>2729</v>
      </c>
      <c r="C1363" s="4" t="s">
        <v>159</v>
      </c>
      <c r="D1363" s="6">
        <v>7.52</v>
      </c>
      <c r="E1363" s="6">
        <v>7.62</v>
      </c>
      <c r="F1363" s="7">
        <v>27.81</v>
      </c>
      <c r="G1363" s="7">
        <v>9.63</v>
      </c>
      <c r="H1363" s="7">
        <v>5.11</v>
      </c>
      <c r="I1363" s="7">
        <v>1.530031228E9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>
      <c r="A1364" s="5" t="s">
        <v>2730</v>
      </c>
      <c r="B1364" s="5" t="s">
        <v>2731</v>
      </c>
      <c r="C1364" s="4" t="s">
        <v>34</v>
      </c>
      <c r="D1364" s="6" t="e">
        <v>#N/A</v>
      </c>
      <c r="E1364" s="6" t="e">
        <v>#N/A</v>
      </c>
      <c r="F1364" s="4"/>
      <c r="G1364" s="4"/>
      <c r="H1364" s="4"/>
      <c r="I1364" s="7" t="e">
        <v>#N/A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>
      <c r="A1365" s="5" t="s">
        <v>2732</v>
      </c>
      <c r="B1365" s="5" t="s">
        <v>2733</v>
      </c>
      <c r="C1365" s="4" t="s">
        <v>169</v>
      </c>
      <c r="D1365" s="6">
        <v>11.05</v>
      </c>
      <c r="E1365" s="6">
        <v>10.9</v>
      </c>
      <c r="F1365" s="7">
        <v>52.17</v>
      </c>
      <c r="G1365" s="7">
        <v>11.12</v>
      </c>
      <c r="H1365" s="7">
        <v>5.3</v>
      </c>
      <c r="I1365" s="7">
        <v>2.153283702E9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>
      <c r="A1366" s="5" t="s">
        <v>2734</v>
      </c>
      <c r="B1366" s="5" t="s">
        <v>2735</v>
      </c>
      <c r="C1366" s="4" t="s">
        <v>17</v>
      </c>
      <c r="D1366" s="6">
        <v>0.05</v>
      </c>
      <c r="E1366" s="6">
        <v>0.05</v>
      </c>
      <c r="F1366" s="4"/>
      <c r="G1366" s="7">
        <v>0.08</v>
      </c>
      <c r="H1366" s="7">
        <v>0.03</v>
      </c>
      <c r="I1366" s="7">
        <v>2.661825E7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>
      <c r="A1367" s="5" t="s">
        <v>2736</v>
      </c>
      <c r="B1367" s="5" t="s">
        <v>2737</v>
      </c>
      <c r="C1367" s="4" t="s">
        <v>394</v>
      </c>
      <c r="D1367" s="6">
        <v>0.67</v>
      </c>
      <c r="E1367" s="6">
        <v>0.67</v>
      </c>
      <c r="F1367" s="7">
        <v>19.35</v>
      </c>
      <c r="G1367" s="7">
        <v>0.69</v>
      </c>
      <c r="H1367" s="7">
        <v>0.23</v>
      </c>
      <c r="I1367" s="7">
        <v>1.422371205E9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>
      <c r="A1368" s="5" t="s">
        <v>2738</v>
      </c>
      <c r="B1368" s="5" t="s">
        <v>2739</v>
      </c>
      <c r="C1368" s="4" t="s">
        <v>169</v>
      </c>
      <c r="D1368" s="6">
        <v>0.6</v>
      </c>
      <c r="E1368" s="6">
        <v>0.61</v>
      </c>
      <c r="F1368" s="7">
        <v>11.17</v>
      </c>
      <c r="G1368" s="7">
        <v>0.63</v>
      </c>
      <c r="H1368" s="7">
        <v>0.43</v>
      </c>
      <c r="I1368" s="7">
        <v>7.8970623E7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>
      <c r="A1369" s="5" t="s">
        <v>2740</v>
      </c>
      <c r="B1369" s="5" t="s">
        <v>2741</v>
      </c>
      <c r="C1369" s="4" t="s">
        <v>37</v>
      </c>
      <c r="D1369" s="6">
        <v>0.02</v>
      </c>
      <c r="E1369" s="6">
        <v>0.02</v>
      </c>
      <c r="F1369" s="4"/>
      <c r="G1369" s="7">
        <v>0.03</v>
      </c>
      <c r="H1369" s="7">
        <v>0.02</v>
      </c>
      <c r="I1369" s="7">
        <v>1.5179691E7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>
      <c r="A1370" s="5" t="s">
        <v>2742</v>
      </c>
      <c r="B1370" s="5" t="s">
        <v>2743</v>
      </c>
      <c r="C1370" s="4" t="s">
        <v>162</v>
      </c>
      <c r="D1370" s="6">
        <v>0.08</v>
      </c>
      <c r="E1370" s="6">
        <v>0.08</v>
      </c>
      <c r="F1370" s="4"/>
      <c r="G1370" s="7">
        <v>0.33</v>
      </c>
      <c r="H1370" s="7">
        <v>0.07</v>
      </c>
      <c r="I1370" s="7">
        <v>4.4545639E7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>
      <c r="A1371" s="5" t="s">
        <v>2744</v>
      </c>
      <c r="B1371" s="5" t="s">
        <v>2745</v>
      </c>
      <c r="C1371" s="4" t="s">
        <v>182</v>
      </c>
      <c r="D1371" s="6">
        <v>68.41</v>
      </c>
      <c r="E1371" s="6">
        <v>66.5</v>
      </c>
      <c r="F1371" s="7">
        <v>50.89</v>
      </c>
      <c r="G1371" s="7">
        <v>91.39</v>
      </c>
      <c r="H1371" s="7">
        <v>52.66</v>
      </c>
      <c r="I1371" s="7">
        <v>1.763180279E9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>
      <c r="A1372" s="5" t="s">
        <v>2746</v>
      </c>
      <c r="B1372" s="5" t="s">
        <v>2747</v>
      </c>
      <c r="C1372" s="4" t="s">
        <v>86</v>
      </c>
      <c r="D1372" s="6">
        <v>0.13</v>
      </c>
      <c r="E1372" s="6">
        <v>0.13</v>
      </c>
      <c r="F1372" s="7">
        <v>60.19</v>
      </c>
      <c r="G1372" s="7">
        <v>0.15</v>
      </c>
      <c r="H1372" s="7">
        <v>0.04</v>
      </c>
      <c r="I1372" s="7">
        <v>1.22885186E8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>
      <c r="A1373" s="5" t="s">
        <v>2748</v>
      </c>
      <c r="B1373" s="5" t="s">
        <v>2749</v>
      </c>
      <c r="C1373" s="4" t="s">
        <v>17</v>
      </c>
      <c r="D1373" s="6">
        <v>1.3</v>
      </c>
      <c r="E1373" s="6">
        <v>1.3</v>
      </c>
      <c r="F1373" s="4"/>
      <c r="G1373" s="7">
        <v>1.83</v>
      </c>
      <c r="H1373" s="7">
        <v>1.09</v>
      </c>
      <c r="I1373" s="7">
        <v>4.03134535E8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>
      <c r="A1374" s="5" t="s">
        <v>2750</v>
      </c>
      <c r="B1374" s="5" t="s">
        <v>2751</v>
      </c>
      <c r="C1374" s="4" t="s">
        <v>76</v>
      </c>
      <c r="D1374" s="6">
        <v>0.01</v>
      </c>
      <c r="E1374" s="6">
        <v>0.01</v>
      </c>
      <c r="F1374" s="4"/>
      <c r="G1374" s="7">
        <v>0.04</v>
      </c>
      <c r="H1374" s="7">
        <v>0.01</v>
      </c>
      <c r="I1374" s="7">
        <v>2.7230173E7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>
      <c r="A1375" s="5" t="s">
        <v>2752</v>
      </c>
      <c r="B1375" s="5" t="s">
        <v>2753</v>
      </c>
      <c r="C1375" s="4" t="s">
        <v>397</v>
      </c>
      <c r="D1375" s="6">
        <v>0.1</v>
      </c>
      <c r="E1375" s="6">
        <v>0.09</v>
      </c>
      <c r="F1375" s="4"/>
      <c r="G1375" s="7">
        <v>0.12</v>
      </c>
      <c r="H1375" s="7">
        <v>0.05</v>
      </c>
      <c r="I1375" s="7">
        <v>4.4918352E7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>
      <c r="A1376" s="5" t="s">
        <v>2754</v>
      </c>
      <c r="B1376" s="5" t="s">
        <v>2755</v>
      </c>
      <c r="C1376" s="4" t="s">
        <v>86</v>
      </c>
      <c r="D1376" s="6">
        <v>0.03</v>
      </c>
      <c r="E1376" s="6">
        <v>0.02</v>
      </c>
      <c r="F1376" s="4"/>
      <c r="G1376" s="7">
        <v>0.03</v>
      </c>
      <c r="H1376" s="7">
        <v>0.01</v>
      </c>
      <c r="I1376" s="7">
        <v>2.5238075E7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>
      <c r="A1377" s="5" t="s">
        <v>2756</v>
      </c>
      <c r="B1377" s="5" t="s">
        <v>2757</v>
      </c>
      <c r="C1377" s="4" t="s">
        <v>2758</v>
      </c>
      <c r="D1377" s="6">
        <v>12.25</v>
      </c>
      <c r="E1377" s="6">
        <v>12.25</v>
      </c>
      <c r="F1377" s="4"/>
      <c r="G1377" s="7">
        <v>13.1</v>
      </c>
      <c r="H1377" s="7">
        <v>9.7</v>
      </c>
      <c r="I1377" s="7">
        <v>1.341619195E9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>
      <c r="A1378" s="5" t="s">
        <v>2759</v>
      </c>
      <c r="B1378" s="5" t="s">
        <v>2760</v>
      </c>
      <c r="C1378" s="4" t="s">
        <v>126</v>
      </c>
      <c r="D1378" s="6">
        <v>1.05</v>
      </c>
      <c r="E1378" s="6">
        <v>1.08</v>
      </c>
      <c r="F1378" s="7">
        <v>13.62</v>
      </c>
      <c r="G1378" s="7">
        <v>1.45</v>
      </c>
      <c r="H1378" s="7">
        <v>0.85</v>
      </c>
      <c r="I1378" s="7">
        <v>1.30076409E8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>
      <c r="A1379" s="5" t="s">
        <v>2761</v>
      </c>
      <c r="B1379" s="5" t="s">
        <v>2762</v>
      </c>
      <c r="C1379" s="4" t="s">
        <v>34</v>
      </c>
      <c r="D1379" s="6" t="e">
        <v>#N/A</v>
      </c>
      <c r="E1379" s="6" t="e">
        <v>#N/A</v>
      </c>
      <c r="F1379" s="4"/>
      <c r="G1379" s="4"/>
      <c r="H1379" s="4"/>
      <c r="I1379" s="7" t="e">
        <v>#N/A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>
      <c r="A1380" s="5" t="s">
        <v>2763</v>
      </c>
      <c r="B1380" s="5" t="s">
        <v>2764</v>
      </c>
      <c r="C1380" s="4" t="s">
        <v>2765</v>
      </c>
      <c r="D1380" s="6">
        <v>0.26</v>
      </c>
      <c r="E1380" s="6">
        <v>0.26</v>
      </c>
      <c r="F1380" s="4"/>
      <c r="G1380" s="7">
        <v>0.3</v>
      </c>
      <c r="H1380" s="7">
        <v>0.15</v>
      </c>
      <c r="I1380" s="7">
        <v>5.8418357E7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>
      <c r="A1381" s="5" t="s">
        <v>2766</v>
      </c>
      <c r="B1381" s="5" t="s">
        <v>2767</v>
      </c>
      <c r="C1381" s="4" t="s">
        <v>34</v>
      </c>
      <c r="D1381" s="6" t="e">
        <v>#N/A</v>
      </c>
      <c r="E1381" s="6" t="e">
        <v>#N/A</v>
      </c>
      <c r="F1381" s="4"/>
      <c r="G1381" s="4"/>
      <c r="H1381" s="4"/>
      <c r="I1381" s="7" t="e">
        <v>#N/A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>
      <c r="A1382" s="5" t="s">
        <v>2768</v>
      </c>
      <c r="B1382" s="5" t="s">
        <v>2769</v>
      </c>
      <c r="C1382" s="4" t="s">
        <v>312</v>
      </c>
      <c r="D1382" s="6">
        <v>0.2</v>
      </c>
      <c r="E1382" s="6">
        <v>0.2</v>
      </c>
      <c r="F1382" s="4"/>
      <c r="G1382" s="7">
        <v>0.28</v>
      </c>
      <c r="H1382" s="7">
        <v>0.08</v>
      </c>
      <c r="I1382" s="7">
        <v>1.383143E8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>
      <c r="A1383" s="5" t="s">
        <v>2770</v>
      </c>
      <c r="B1383" s="5" t="s">
        <v>2771</v>
      </c>
      <c r="C1383" s="4" t="s">
        <v>104</v>
      </c>
      <c r="D1383" s="6">
        <v>0.01</v>
      </c>
      <c r="E1383" s="6">
        <v>0.01</v>
      </c>
      <c r="F1383" s="4"/>
      <c r="G1383" s="7">
        <v>0.03</v>
      </c>
      <c r="H1383" s="7">
        <v>0.01</v>
      </c>
      <c r="I1383" s="7">
        <v>8691984.0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>
      <c r="A1384" s="5" t="s">
        <v>2772</v>
      </c>
      <c r="B1384" s="5" t="s">
        <v>2773</v>
      </c>
      <c r="C1384" s="4" t="s">
        <v>2774</v>
      </c>
      <c r="D1384" s="6">
        <v>0.25</v>
      </c>
      <c r="E1384" s="6">
        <v>0.24</v>
      </c>
      <c r="F1384" s="4"/>
      <c r="G1384" s="7">
        <v>0.34</v>
      </c>
      <c r="H1384" s="7">
        <v>0.21</v>
      </c>
      <c r="I1384" s="7">
        <v>3.526753E7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>
      <c r="A1385" s="5" t="s">
        <v>2775</v>
      </c>
      <c r="B1385" s="5" t="s">
        <v>2776</v>
      </c>
      <c r="C1385" s="4" t="s">
        <v>954</v>
      </c>
      <c r="D1385" s="6">
        <v>5.63</v>
      </c>
      <c r="E1385" s="6">
        <v>5.65</v>
      </c>
      <c r="F1385" s="4"/>
      <c r="G1385" s="7">
        <v>6.3</v>
      </c>
      <c r="H1385" s="7">
        <v>5.0</v>
      </c>
      <c r="I1385" s="7">
        <v>9.203784E9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>
      <c r="A1386" s="5" t="s">
        <v>2777</v>
      </c>
      <c r="B1386" s="5" t="s">
        <v>2778</v>
      </c>
      <c r="C1386" s="4" t="s">
        <v>86</v>
      </c>
      <c r="D1386" s="6">
        <v>0.04</v>
      </c>
      <c r="E1386" s="6">
        <v>0.04</v>
      </c>
      <c r="F1386" s="4"/>
      <c r="G1386" s="7">
        <v>0.05</v>
      </c>
      <c r="H1386" s="7">
        <v>0.01</v>
      </c>
      <c r="I1386" s="7">
        <v>4.2762468E7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>
      <c r="A1387" s="5" t="s">
        <v>2779</v>
      </c>
      <c r="B1387" s="5" t="s">
        <v>2780</v>
      </c>
      <c r="C1387" s="4" t="s">
        <v>17</v>
      </c>
      <c r="D1387" s="6">
        <v>0.04</v>
      </c>
      <c r="E1387" s="6">
        <v>0.04</v>
      </c>
      <c r="F1387" s="4"/>
      <c r="G1387" s="7">
        <v>0.1</v>
      </c>
      <c r="H1387" s="7">
        <v>0.04</v>
      </c>
      <c r="I1387" s="7">
        <v>9.6603464E7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>
      <c r="A1388" s="5" t="s">
        <v>2781</v>
      </c>
      <c r="B1388" s="5" t="s">
        <v>2782</v>
      </c>
      <c r="C1388" s="4" t="s">
        <v>169</v>
      </c>
      <c r="D1388" s="6">
        <v>1.17</v>
      </c>
      <c r="E1388" s="6">
        <v>1.17</v>
      </c>
      <c r="F1388" s="7">
        <v>7.71</v>
      </c>
      <c r="G1388" s="7">
        <v>1.2</v>
      </c>
      <c r="H1388" s="7">
        <v>0.97</v>
      </c>
      <c r="I1388" s="7">
        <v>3.696356E7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>
      <c r="A1389" s="5" t="s">
        <v>2783</v>
      </c>
      <c r="B1389" s="5" t="s">
        <v>2784</v>
      </c>
      <c r="C1389" s="4" t="s">
        <v>17</v>
      </c>
      <c r="D1389" s="6">
        <v>0.03</v>
      </c>
      <c r="E1389" s="6">
        <v>0.03</v>
      </c>
      <c r="F1389" s="4"/>
      <c r="G1389" s="7">
        <v>0.05</v>
      </c>
      <c r="H1389" s="7">
        <v>0.01</v>
      </c>
      <c r="I1389" s="7">
        <v>1.7476488E7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>
      <c r="A1390" s="5" t="s">
        <v>2785</v>
      </c>
      <c r="B1390" s="5" t="s">
        <v>2786</v>
      </c>
      <c r="C1390" s="4" t="s">
        <v>17</v>
      </c>
      <c r="D1390" s="6">
        <v>0.17</v>
      </c>
      <c r="E1390" s="6">
        <v>0.17</v>
      </c>
      <c r="F1390" s="4"/>
      <c r="G1390" s="7">
        <v>0.26</v>
      </c>
      <c r="H1390" s="7">
        <v>0.06</v>
      </c>
      <c r="I1390" s="7">
        <v>4.49397554E8</v>
      </c>
      <c r="J1390" s="7">
        <v>0.004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>
      <c r="A1391" s="5" t="s">
        <v>2787</v>
      </c>
      <c r="B1391" s="5" t="s">
        <v>2788</v>
      </c>
      <c r="C1391" s="4" t="s">
        <v>86</v>
      </c>
      <c r="D1391" s="6">
        <v>0.27</v>
      </c>
      <c r="E1391" s="6">
        <v>0.27</v>
      </c>
      <c r="F1391" s="4"/>
      <c r="G1391" s="7">
        <v>0.28</v>
      </c>
      <c r="H1391" s="7">
        <v>0.08</v>
      </c>
      <c r="I1391" s="7">
        <v>7.80660211E8</v>
      </c>
      <c r="J1391" s="7">
        <v>0.085</v>
      </c>
      <c r="K1391" s="7">
        <v>0.085</v>
      </c>
      <c r="L1391" s="7">
        <v>0.12</v>
      </c>
      <c r="M1391" s="7">
        <v>0.065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>
      <c r="A1392" s="5" t="s">
        <v>2789</v>
      </c>
      <c r="B1392" s="5" t="s">
        <v>2790</v>
      </c>
      <c r="C1392" s="4" t="s">
        <v>76</v>
      </c>
      <c r="D1392" s="6">
        <v>0.03</v>
      </c>
      <c r="E1392" s="6">
        <v>0.03</v>
      </c>
      <c r="F1392" s="4"/>
      <c r="G1392" s="7">
        <v>0.23</v>
      </c>
      <c r="H1392" s="7">
        <v>0.03</v>
      </c>
      <c r="I1392" s="7">
        <v>826703.0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>
      <c r="A1393" s="5" t="s">
        <v>2791</v>
      </c>
      <c r="B1393" s="5" t="s">
        <v>2792</v>
      </c>
      <c r="C1393" s="4" t="s">
        <v>60</v>
      </c>
      <c r="D1393" s="6">
        <v>0.01</v>
      </c>
      <c r="E1393" s="6">
        <v>0.01</v>
      </c>
      <c r="F1393" s="4"/>
      <c r="G1393" s="7">
        <v>0.01</v>
      </c>
      <c r="H1393" s="7">
        <v>0.0</v>
      </c>
      <c r="I1393" s="7">
        <v>1.3039887E7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>
      <c r="A1394" s="5" t="s">
        <v>2793</v>
      </c>
      <c r="B1394" s="5" t="s">
        <v>2794</v>
      </c>
      <c r="C1394" s="4" t="s">
        <v>17</v>
      </c>
      <c r="D1394" s="6">
        <v>0.14</v>
      </c>
      <c r="E1394" s="6">
        <v>0.13</v>
      </c>
      <c r="F1394" s="4"/>
      <c r="G1394" s="7">
        <v>0.15</v>
      </c>
      <c r="H1394" s="7">
        <v>0.03</v>
      </c>
      <c r="I1394" s="7">
        <v>1.645618E8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>
      <c r="A1395" s="5" t="s">
        <v>2795</v>
      </c>
      <c r="B1395" s="5" t="s">
        <v>2796</v>
      </c>
      <c r="C1395" s="4" t="s">
        <v>26</v>
      </c>
      <c r="D1395" s="6">
        <v>0.19</v>
      </c>
      <c r="E1395" s="6">
        <v>0.2</v>
      </c>
      <c r="F1395" s="4"/>
      <c r="G1395" s="7">
        <v>0.22</v>
      </c>
      <c r="H1395" s="7">
        <v>0.15</v>
      </c>
      <c r="I1395" s="7">
        <v>3.5512322E7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>
      <c r="A1396" s="5" t="s">
        <v>2795</v>
      </c>
      <c r="B1396" s="5" t="s">
        <v>2796</v>
      </c>
      <c r="C1396" s="4" t="s">
        <v>26</v>
      </c>
      <c r="D1396" s="6">
        <v>0.19</v>
      </c>
      <c r="E1396" s="6">
        <v>0.2</v>
      </c>
      <c r="F1396" s="4"/>
      <c r="G1396" s="7">
        <v>0.22</v>
      </c>
      <c r="H1396" s="7">
        <v>0.15</v>
      </c>
      <c r="I1396" s="7">
        <v>3.5512322E7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>
      <c r="A1397" s="8" t="s">
        <v>2795</v>
      </c>
      <c r="B1397" s="8" t="s">
        <v>2796</v>
      </c>
      <c r="C1397" s="9" t="s">
        <v>26</v>
      </c>
      <c r="D1397" s="10">
        <v>0.19</v>
      </c>
      <c r="E1397" s="6">
        <v>0.2</v>
      </c>
      <c r="F1397" s="4"/>
      <c r="G1397" s="7">
        <v>0.22</v>
      </c>
      <c r="H1397" s="7">
        <v>0.15</v>
      </c>
      <c r="I1397" s="7">
        <v>3.5512322E7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>
      <c r="A1398" s="5" t="s">
        <v>2797</v>
      </c>
      <c r="B1398" s="5" t="s">
        <v>2798</v>
      </c>
      <c r="C1398" s="4" t="s">
        <v>954</v>
      </c>
      <c r="D1398" s="6">
        <v>4.89</v>
      </c>
      <c r="E1398" s="6">
        <v>4.9</v>
      </c>
      <c r="F1398" s="4"/>
      <c r="G1398" s="7">
        <v>5.59</v>
      </c>
      <c r="H1398" s="7">
        <v>4.67</v>
      </c>
      <c r="I1398" s="7">
        <v>1.467561E10</v>
      </c>
      <c r="J1398" s="7">
        <v>0.004</v>
      </c>
      <c r="K1398" s="7">
        <v>0.0045</v>
      </c>
      <c r="L1398" s="7">
        <v>0.006</v>
      </c>
      <c r="M1398" s="7">
        <v>0.002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>
      <c r="A1399" s="5" t="s">
        <v>2799</v>
      </c>
      <c r="B1399" s="5" t="s">
        <v>2800</v>
      </c>
      <c r="C1399" s="4" t="s">
        <v>244</v>
      </c>
      <c r="D1399" s="6">
        <v>0.49</v>
      </c>
      <c r="E1399" s="6">
        <v>0.49</v>
      </c>
      <c r="F1399" s="4"/>
      <c r="G1399" s="7">
        <v>0.51</v>
      </c>
      <c r="H1399" s="7">
        <v>0.3</v>
      </c>
      <c r="I1399" s="7">
        <v>3.6580936E7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>
      <c r="A1400" s="5" t="s">
        <v>2801</v>
      </c>
      <c r="B1400" s="5" t="s">
        <v>2802</v>
      </c>
      <c r="C1400" s="4" t="s">
        <v>169</v>
      </c>
      <c r="D1400" s="6">
        <v>4.95</v>
      </c>
      <c r="E1400" s="6">
        <v>5.01</v>
      </c>
      <c r="F1400" s="7">
        <v>6.67</v>
      </c>
      <c r="G1400" s="7">
        <v>5.05</v>
      </c>
      <c r="H1400" s="7">
        <v>3.75</v>
      </c>
      <c r="I1400" s="7">
        <v>2.916470587E9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>
      <c r="A1401" s="5" t="s">
        <v>2803</v>
      </c>
      <c r="B1401" s="5" t="s">
        <v>2804</v>
      </c>
      <c r="C1401" s="4" t="s">
        <v>169</v>
      </c>
      <c r="D1401" s="6">
        <v>9.91</v>
      </c>
      <c r="E1401" s="6">
        <v>9.98</v>
      </c>
      <c r="F1401" s="7">
        <v>10.69</v>
      </c>
      <c r="G1401" s="7">
        <v>12.64</v>
      </c>
      <c r="H1401" s="7">
        <v>6.29</v>
      </c>
      <c r="I1401" s="7">
        <v>1.668735955E9</v>
      </c>
      <c r="J1401" s="7">
        <v>5.74</v>
      </c>
      <c r="K1401" s="7">
        <v>5.75</v>
      </c>
      <c r="L1401" s="7">
        <v>5.88</v>
      </c>
      <c r="M1401" s="7">
        <v>4.56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>
      <c r="A1402" s="5" t="s">
        <v>2805</v>
      </c>
      <c r="B1402" s="5" t="s">
        <v>2806</v>
      </c>
      <c r="C1402" s="4" t="s">
        <v>34</v>
      </c>
      <c r="D1402" s="6" t="e">
        <v>#N/A</v>
      </c>
      <c r="E1402" s="6" t="e">
        <v>#N/A</v>
      </c>
      <c r="F1402" s="4"/>
      <c r="G1402" s="4"/>
      <c r="H1402" s="4"/>
      <c r="I1402" s="7" t="e">
        <v>#N/A</v>
      </c>
      <c r="J1402" s="7">
        <v>0.004</v>
      </c>
      <c r="K1402" s="7">
        <v>0.003</v>
      </c>
      <c r="L1402" s="7">
        <v>0.006</v>
      </c>
      <c r="M1402" s="7">
        <v>0.001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>
      <c r="A1403" s="5" t="s">
        <v>2807</v>
      </c>
      <c r="B1403" s="5" t="s">
        <v>2808</v>
      </c>
      <c r="C1403" s="4" t="s">
        <v>17</v>
      </c>
      <c r="D1403" s="6">
        <v>0.08</v>
      </c>
      <c r="E1403" s="6">
        <v>0.08</v>
      </c>
      <c r="F1403" s="4"/>
      <c r="G1403" s="7">
        <v>0.09</v>
      </c>
      <c r="H1403" s="7">
        <v>0.04</v>
      </c>
      <c r="I1403" s="7">
        <v>1.1347469E7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>
      <c r="A1404" s="5" t="s">
        <v>2809</v>
      </c>
      <c r="B1404" s="5" t="s">
        <v>2810</v>
      </c>
      <c r="C1404" s="4" t="s">
        <v>121</v>
      </c>
      <c r="D1404" s="6">
        <v>5.55</v>
      </c>
      <c r="E1404" s="6">
        <v>5.44</v>
      </c>
      <c r="F1404" s="7">
        <v>26.98</v>
      </c>
      <c r="G1404" s="7">
        <v>5.56</v>
      </c>
      <c r="H1404" s="7">
        <v>3.3</v>
      </c>
      <c r="I1404" s="7">
        <v>2.019063429E9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>
      <c r="A1405" s="5" t="s">
        <v>2811</v>
      </c>
      <c r="B1405" s="5" t="s">
        <v>2812</v>
      </c>
      <c r="C1405" s="4" t="s">
        <v>37</v>
      </c>
      <c r="D1405" s="6">
        <v>0.23</v>
      </c>
      <c r="E1405" s="6">
        <v>0.24</v>
      </c>
      <c r="F1405" s="4"/>
      <c r="G1405" s="7">
        <v>0.26</v>
      </c>
      <c r="H1405" s="7">
        <v>0.17</v>
      </c>
      <c r="I1405" s="7">
        <v>1.2828277E7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>
      <c r="A1406" s="5" t="s">
        <v>2813</v>
      </c>
      <c r="B1406" s="5" t="s">
        <v>2814</v>
      </c>
      <c r="C1406" s="4" t="s">
        <v>34</v>
      </c>
      <c r="D1406" s="6" t="e">
        <v>#N/A</v>
      </c>
      <c r="E1406" s="6" t="e">
        <v>#N/A</v>
      </c>
      <c r="F1406" s="4"/>
      <c r="G1406" s="4"/>
      <c r="H1406" s="4"/>
      <c r="I1406" s="7" t="e">
        <v>#N/A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>
      <c r="A1407" s="5" t="s">
        <v>2815</v>
      </c>
      <c r="B1407" s="5" t="s">
        <v>2816</v>
      </c>
      <c r="C1407" s="4" t="s">
        <v>1968</v>
      </c>
      <c r="D1407" s="6">
        <v>2.04</v>
      </c>
      <c r="E1407" s="6">
        <v>2.05</v>
      </c>
      <c r="F1407" s="7">
        <v>118.4</v>
      </c>
      <c r="G1407" s="7">
        <v>2.46</v>
      </c>
      <c r="H1407" s="7">
        <v>1.81</v>
      </c>
      <c r="I1407" s="7">
        <v>8.049554249E9</v>
      </c>
      <c r="J1407" s="7">
        <v>0.185</v>
      </c>
      <c r="K1407" s="7">
        <v>0.185</v>
      </c>
      <c r="L1407" s="7">
        <v>0.27</v>
      </c>
      <c r="M1407" s="7">
        <v>0.091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>
      <c r="A1408" s="5" t="s">
        <v>2817</v>
      </c>
      <c r="B1408" s="5" t="s">
        <v>2818</v>
      </c>
      <c r="C1408" s="4" t="s">
        <v>17</v>
      </c>
      <c r="D1408" s="6">
        <v>0.05</v>
      </c>
      <c r="E1408" s="6">
        <v>0.05</v>
      </c>
      <c r="F1408" s="4"/>
      <c r="G1408" s="7">
        <v>0.29</v>
      </c>
      <c r="H1408" s="7">
        <v>0.05</v>
      </c>
      <c r="I1408" s="7">
        <v>1.1400847E7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>
      <c r="A1409" s="5" t="s">
        <v>2819</v>
      </c>
      <c r="B1409" s="5" t="s">
        <v>2820</v>
      </c>
      <c r="C1409" s="4" t="s">
        <v>17</v>
      </c>
      <c r="D1409" s="6">
        <v>0.01</v>
      </c>
      <c r="E1409" s="6">
        <v>0.01</v>
      </c>
      <c r="F1409" s="4"/>
      <c r="G1409" s="7">
        <v>0.01</v>
      </c>
      <c r="H1409" s="7">
        <v>0.0</v>
      </c>
      <c r="I1409" s="7">
        <v>7982594.0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>
      <c r="A1410" s="5" t="s">
        <v>2821</v>
      </c>
      <c r="B1410" s="5" t="s">
        <v>2822</v>
      </c>
      <c r="C1410" s="4" t="s">
        <v>210</v>
      </c>
      <c r="D1410" s="6">
        <v>0.45</v>
      </c>
      <c r="E1410" s="6">
        <v>0.46</v>
      </c>
      <c r="F1410" s="4"/>
      <c r="G1410" s="7">
        <v>0.48</v>
      </c>
      <c r="H1410" s="7">
        <v>0.26</v>
      </c>
      <c r="I1410" s="7">
        <v>5.25419086E8</v>
      </c>
      <c r="J1410" s="7">
        <v>1.765</v>
      </c>
      <c r="K1410" s="7">
        <v>1.765</v>
      </c>
      <c r="L1410" s="7">
        <v>1.81</v>
      </c>
      <c r="M1410" s="7">
        <v>1.225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>
      <c r="A1411" s="5" t="s">
        <v>2821</v>
      </c>
      <c r="B1411" s="5" t="s">
        <v>2822</v>
      </c>
      <c r="C1411" s="4" t="s">
        <v>210</v>
      </c>
      <c r="D1411" s="6">
        <v>0.45</v>
      </c>
      <c r="E1411" s="6">
        <v>0.46</v>
      </c>
      <c r="F1411" s="4"/>
      <c r="G1411" s="7">
        <v>0.48</v>
      </c>
      <c r="H1411" s="7">
        <v>0.26</v>
      </c>
      <c r="I1411" s="7">
        <v>5.25419086E8</v>
      </c>
      <c r="J1411" s="7">
        <v>1.765</v>
      </c>
      <c r="K1411" s="7">
        <v>1.765</v>
      </c>
      <c r="L1411" s="7">
        <v>1.81</v>
      </c>
      <c r="M1411" s="7">
        <v>1.225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>
      <c r="A1412" s="5" t="s">
        <v>2823</v>
      </c>
      <c r="B1412" s="5" t="s">
        <v>2824</v>
      </c>
      <c r="C1412" s="4" t="s">
        <v>17</v>
      </c>
      <c r="D1412" s="6">
        <v>0.03</v>
      </c>
      <c r="E1412" s="6">
        <v>0.03</v>
      </c>
      <c r="F1412" s="4"/>
      <c r="G1412" s="7">
        <v>0.04</v>
      </c>
      <c r="H1412" s="7">
        <v>0.02</v>
      </c>
      <c r="I1412" s="7">
        <v>1.571846E7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>
      <c r="A1413" s="5" t="s">
        <v>2825</v>
      </c>
      <c r="B1413" s="5" t="s">
        <v>2826</v>
      </c>
      <c r="C1413" s="4" t="s">
        <v>34</v>
      </c>
      <c r="D1413" s="6" t="e">
        <v>#N/A</v>
      </c>
      <c r="E1413" s="6" t="e">
        <v>#N/A</v>
      </c>
      <c r="F1413" s="4"/>
      <c r="G1413" s="4"/>
      <c r="H1413" s="4"/>
      <c r="I1413" s="7" t="e">
        <v>#N/A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>
      <c r="A1414" s="5" t="s">
        <v>2827</v>
      </c>
      <c r="B1414" s="5" t="s">
        <v>2828</v>
      </c>
      <c r="C1414" s="4" t="s">
        <v>618</v>
      </c>
      <c r="D1414" s="6">
        <v>0.38</v>
      </c>
      <c r="E1414" s="6">
        <v>0.35</v>
      </c>
      <c r="F1414" s="7">
        <v>71.16</v>
      </c>
      <c r="G1414" s="7">
        <v>0.58</v>
      </c>
      <c r="H1414" s="7">
        <v>0.32</v>
      </c>
      <c r="I1414" s="7">
        <v>1.44151022E8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>
      <c r="A1415" s="5" t="s">
        <v>2829</v>
      </c>
      <c r="B1415" s="5" t="s">
        <v>2830</v>
      </c>
      <c r="C1415" s="4" t="s">
        <v>17</v>
      </c>
      <c r="D1415" s="6">
        <v>0.11</v>
      </c>
      <c r="E1415" s="6">
        <v>0.1</v>
      </c>
      <c r="F1415" s="4"/>
      <c r="G1415" s="7">
        <v>0.53</v>
      </c>
      <c r="H1415" s="7">
        <v>0.1</v>
      </c>
      <c r="I1415" s="7">
        <v>1.3573185E7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>
      <c r="A1416" s="5" t="s">
        <v>2831</v>
      </c>
      <c r="B1416" s="5" t="s">
        <v>2832</v>
      </c>
      <c r="C1416" s="4" t="s">
        <v>17</v>
      </c>
      <c r="D1416" s="6">
        <v>0.18</v>
      </c>
      <c r="E1416" s="6">
        <v>0.18</v>
      </c>
      <c r="F1416" s="4"/>
      <c r="G1416" s="7">
        <v>0.35</v>
      </c>
      <c r="H1416" s="7">
        <v>0.13</v>
      </c>
      <c r="I1416" s="7">
        <v>7229250.0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>
      <c r="A1417" s="5" t="s">
        <v>2833</v>
      </c>
      <c r="B1417" s="5" t="s">
        <v>2834</v>
      </c>
      <c r="C1417" s="4" t="s">
        <v>34</v>
      </c>
      <c r="D1417" s="6">
        <v>142.2</v>
      </c>
      <c r="E1417" s="6">
        <v>142.64</v>
      </c>
      <c r="F1417" s="4"/>
      <c r="G1417" s="7">
        <v>143.79</v>
      </c>
      <c r="H1417" s="7">
        <v>110.0</v>
      </c>
      <c r="I1417" s="7" t="e">
        <v>#N/A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>
      <c r="A1418" s="5" t="s">
        <v>2835</v>
      </c>
      <c r="B1418" s="5" t="s">
        <v>2836</v>
      </c>
      <c r="C1418" s="4" t="s">
        <v>17</v>
      </c>
      <c r="D1418" s="6">
        <v>0.43</v>
      </c>
      <c r="E1418" s="6">
        <v>0.42</v>
      </c>
      <c r="F1418" s="4"/>
      <c r="G1418" s="7">
        <v>0.45</v>
      </c>
      <c r="H1418" s="7">
        <v>0.1</v>
      </c>
      <c r="I1418" s="7">
        <v>8.89318704E8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>
      <c r="A1419" s="5" t="s">
        <v>2837</v>
      </c>
      <c r="B1419" s="5" t="s">
        <v>2838</v>
      </c>
      <c r="C1419" s="4" t="s">
        <v>34</v>
      </c>
      <c r="D1419" s="6" t="e">
        <v>#N/A</v>
      </c>
      <c r="E1419" s="6" t="e">
        <v>#N/A</v>
      </c>
      <c r="F1419" s="4"/>
      <c r="G1419" s="4"/>
      <c r="H1419" s="4"/>
      <c r="I1419" s="7" t="e">
        <v>#N/A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>
      <c r="A1420" s="5" t="s">
        <v>2839</v>
      </c>
      <c r="B1420" s="5" t="s">
        <v>2840</v>
      </c>
      <c r="C1420" s="4" t="s">
        <v>34</v>
      </c>
      <c r="D1420" s="6">
        <v>9.41</v>
      </c>
      <c r="E1420" s="6">
        <v>9.4</v>
      </c>
      <c r="F1420" s="4"/>
      <c r="G1420" s="7">
        <v>9.44</v>
      </c>
      <c r="H1420" s="7">
        <v>8.64</v>
      </c>
      <c r="I1420" s="7" t="e">
        <v>#N/A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>
      <c r="A1421" s="5" t="s">
        <v>2841</v>
      </c>
      <c r="B1421" s="5" t="s">
        <v>2842</v>
      </c>
      <c r="C1421" s="4" t="s">
        <v>17</v>
      </c>
      <c r="D1421" s="6">
        <v>55.44</v>
      </c>
      <c r="E1421" s="6">
        <v>54.38</v>
      </c>
      <c r="F1421" s="4"/>
      <c r="G1421" s="7">
        <v>56.56</v>
      </c>
      <c r="H1421" s="7">
        <v>14.05</v>
      </c>
      <c r="I1421" s="7">
        <v>1.095670672E10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>
      <c r="A1422" s="5" t="s">
        <v>2843</v>
      </c>
      <c r="B1422" s="5" t="s">
        <v>2844</v>
      </c>
      <c r="C1422" s="4" t="s">
        <v>17</v>
      </c>
      <c r="D1422" s="6">
        <v>0.02</v>
      </c>
      <c r="E1422" s="6">
        <v>0.02</v>
      </c>
      <c r="F1422" s="4"/>
      <c r="G1422" s="7">
        <v>0.08</v>
      </c>
      <c r="H1422" s="7">
        <v>0.01</v>
      </c>
      <c r="I1422" s="7">
        <v>6994980.0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>
      <c r="A1423" s="5" t="s">
        <v>2845</v>
      </c>
      <c r="B1423" s="5" t="s">
        <v>2846</v>
      </c>
      <c r="C1423" s="4" t="s">
        <v>169</v>
      </c>
      <c r="D1423" s="6">
        <v>3.12</v>
      </c>
      <c r="E1423" s="6">
        <v>3.1</v>
      </c>
      <c r="F1423" s="7">
        <v>77.11</v>
      </c>
      <c r="G1423" s="7">
        <v>3.52</v>
      </c>
      <c r="H1423" s="7">
        <v>3.02</v>
      </c>
      <c r="I1423" s="7">
        <v>6.96505342E8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>
      <c r="A1424" s="5" t="s">
        <v>2847</v>
      </c>
      <c r="B1424" s="5" t="s">
        <v>2848</v>
      </c>
      <c r="C1424" s="4" t="s">
        <v>34</v>
      </c>
      <c r="D1424" s="6" t="e">
        <v>#N/A</v>
      </c>
      <c r="E1424" s="6" t="e">
        <v>#N/A</v>
      </c>
      <c r="F1424" s="4"/>
      <c r="G1424" s="4"/>
      <c r="H1424" s="4"/>
      <c r="I1424" s="7" t="e">
        <v>#N/A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>
      <c r="A1425" s="5" t="s">
        <v>2849</v>
      </c>
      <c r="B1425" s="5" t="s">
        <v>2850</v>
      </c>
      <c r="C1425" s="4" t="s">
        <v>17</v>
      </c>
      <c r="D1425" s="6">
        <v>0.1</v>
      </c>
      <c r="E1425" s="6">
        <v>0.1</v>
      </c>
      <c r="F1425" s="4"/>
      <c r="G1425" s="7">
        <v>0.11</v>
      </c>
      <c r="H1425" s="7">
        <v>0.02</v>
      </c>
      <c r="I1425" s="7">
        <v>1.30764532E8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>
      <c r="A1426" s="5" t="s">
        <v>2851</v>
      </c>
      <c r="B1426" s="5" t="s">
        <v>2852</v>
      </c>
      <c r="C1426" s="4" t="s">
        <v>17</v>
      </c>
      <c r="D1426" s="6">
        <v>0.17</v>
      </c>
      <c r="E1426" s="6">
        <v>0.17</v>
      </c>
      <c r="F1426" s="4"/>
      <c r="G1426" s="7">
        <v>0.18</v>
      </c>
      <c r="H1426" s="7">
        <v>0.16</v>
      </c>
      <c r="I1426" s="7" t="e">
        <v>#N/A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>
      <c r="A1427" s="5" t="s">
        <v>2853</v>
      </c>
      <c r="B1427" s="5" t="s">
        <v>2854</v>
      </c>
      <c r="C1427" s="4" t="s">
        <v>394</v>
      </c>
      <c r="D1427" s="6">
        <v>0.87</v>
      </c>
      <c r="E1427" s="6">
        <v>0.87</v>
      </c>
      <c r="F1427" s="7">
        <v>11.87</v>
      </c>
      <c r="G1427" s="7">
        <v>1.09</v>
      </c>
      <c r="H1427" s="7">
        <v>0.54</v>
      </c>
      <c r="I1427" s="7">
        <v>1.34018862E8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>
      <c r="A1428" s="5" t="s">
        <v>2855</v>
      </c>
      <c r="B1428" s="5" t="s">
        <v>2856</v>
      </c>
      <c r="C1428" s="4" t="s">
        <v>17</v>
      </c>
      <c r="D1428" s="6">
        <v>0.03</v>
      </c>
      <c r="E1428" s="6">
        <v>0.03</v>
      </c>
      <c r="F1428" s="4"/>
      <c r="G1428" s="7">
        <v>0.04</v>
      </c>
      <c r="H1428" s="7">
        <v>0.02</v>
      </c>
      <c r="I1428" s="7">
        <v>1.6488082E7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>
      <c r="A1429" s="5" t="s">
        <v>2857</v>
      </c>
      <c r="B1429" s="5" t="s">
        <v>2858</v>
      </c>
      <c r="C1429" s="4" t="s">
        <v>17</v>
      </c>
      <c r="D1429" s="6">
        <v>1.11</v>
      </c>
      <c r="E1429" s="6">
        <v>1.12</v>
      </c>
      <c r="F1429" s="7">
        <v>7.13</v>
      </c>
      <c r="G1429" s="7">
        <v>1.15</v>
      </c>
      <c r="H1429" s="7">
        <v>0.4</v>
      </c>
      <c r="I1429" s="7">
        <v>9.79502085E8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>
      <c r="A1430" s="5" t="s">
        <v>2859</v>
      </c>
      <c r="B1430" s="5" t="s">
        <v>2860</v>
      </c>
      <c r="C1430" s="4" t="s">
        <v>17</v>
      </c>
      <c r="D1430" s="6">
        <v>0.59</v>
      </c>
      <c r="E1430" s="6">
        <v>0.59</v>
      </c>
      <c r="F1430" s="4"/>
      <c r="G1430" s="7">
        <v>0.62</v>
      </c>
      <c r="H1430" s="7">
        <v>0.07</v>
      </c>
      <c r="I1430" s="7">
        <v>1.20058563E8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>
      <c r="A1431" s="5" t="s">
        <v>2861</v>
      </c>
      <c r="B1431" s="5" t="s">
        <v>2862</v>
      </c>
      <c r="C1431" s="4" t="s">
        <v>86</v>
      </c>
      <c r="D1431" s="6">
        <v>0.44</v>
      </c>
      <c r="E1431" s="6">
        <v>0.44</v>
      </c>
      <c r="F1431" s="4"/>
      <c r="G1431" s="7">
        <v>0.6</v>
      </c>
      <c r="H1431" s="7">
        <v>0.11</v>
      </c>
      <c r="I1431" s="7">
        <v>3.32742386E8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>
      <c r="A1432" s="5" t="s">
        <v>2863</v>
      </c>
      <c r="B1432" s="5" t="s">
        <v>2864</v>
      </c>
      <c r="C1432" s="4" t="s">
        <v>17</v>
      </c>
      <c r="D1432" s="6">
        <v>0.43</v>
      </c>
      <c r="E1432" s="6">
        <v>0.42</v>
      </c>
      <c r="F1432" s="4"/>
      <c r="G1432" s="7">
        <v>0.47</v>
      </c>
      <c r="H1432" s="7">
        <v>0.2</v>
      </c>
      <c r="I1432" s="7">
        <v>1.08122254E8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>
      <c r="A1433" s="5" t="s">
        <v>2865</v>
      </c>
      <c r="B1433" s="5" t="s">
        <v>2866</v>
      </c>
      <c r="C1433" s="4" t="s">
        <v>239</v>
      </c>
      <c r="D1433" s="6">
        <v>0.12</v>
      </c>
      <c r="E1433" s="6">
        <v>0.12</v>
      </c>
      <c r="F1433" s="4"/>
      <c r="G1433" s="7">
        <v>0.24</v>
      </c>
      <c r="H1433" s="7">
        <v>0.1</v>
      </c>
      <c r="I1433" s="7">
        <v>9.3306896E7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>
      <c r="A1434" s="5" t="s">
        <v>2867</v>
      </c>
      <c r="B1434" s="5" t="s">
        <v>2868</v>
      </c>
      <c r="C1434" s="4" t="s">
        <v>73</v>
      </c>
      <c r="D1434" s="6">
        <v>0.08</v>
      </c>
      <c r="E1434" s="6">
        <v>0.08</v>
      </c>
      <c r="F1434" s="7">
        <v>3.17</v>
      </c>
      <c r="G1434" s="7">
        <v>0.1</v>
      </c>
      <c r="H1434" s="7">
        <v>0.04</v>
      </c>
      <c r="I1434" s="7">
        <v>4.35393842E8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>
      <c r="A1435" s="5" t="s">
        <v>2869</v>
      </c>
      <c r="B1435" s="5" t="s">
        <v>2870</v>
      </c>
      <c r="C1435" s="4" t="s">
        <v>34</v>
      </c>
      <c r="D1435" s="6" t="e">
        <v>#N/A</v>
      </c>
      <c r="E1435" s="6" t="e">
        <v>#N/A</v>
      </c>
      <c r="F1435" s="4"/>
      <c r="G1435" s="4"/>
      <c r="H1435" s="4"/>
      <c r="I1435" s="7" t="e">
        <v>#N/A</v>
      </c>
      <c r="J1435" s="7">
        <v>0.003</v>
      </c>
      <c r="K1435" s="7">
        <v>0.003</v>
      </c>
      <c r="L1435" s="7">
        <v>0.005</v>
      </c>
      <c r="M1435" s="7">
        <v>0.002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>
      <c r="A1436" s="5" t="s">
        <v>2871</v>
      </c>
      <c r="B1436" s="5" t="s">
        <v>2872</v>
      </c>
      <c r="C1436" s="4" t="s">
        <v>37</v>
      </c>
      <c r="D1436" s="6">
        <v>0.03</v>
      </c>
      <c r="E1436" s="6">
        <v>0.03</v>
      </c>
      <c r="F1436" s="4"/>
      <c r="G1436" s="7">
        <v>0.04</v>
      </c>
      <c r="H1436" s="7">
        <v>0.01</v>
      </c>
      <c r="I1436" s="7">
        <v>8280615.0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>
      <c r="A1437" s="5" t="s">
        <v>2873</v>
      </c>
      <c r="B1437" s="5" t="s">
        <v>2874</v>
      </c>
      <c r="C1437" s="4" t="s">
        <v>169</v>
      </c>
      <c r="D1437" s="6">
        <v>0.01</v>
      </c>
      <c r="E1437" s="6">
        <v>0.01</v>
      </c>
      <c r="F1437" s="7">
        <v>45.45</v>
      </c>
      <c r="G1437" s="7">
        <v>0.01</v>
      </c>
      <c r="H1437" s="7">
        <v>0.0</v>
      </c>
      <c r="I1437" s="7">
        <v>4679974.0</v>
      </c>
      <c r="J1437" s="7">
        <v>0.013</v>
      </c>
      <c r="K1437" s="7">
        <v>0.013</v>
      </c>
      <c r="L1437" s="7">
        <v>0.035</v>
      </c>
      <c r="M1437" s="7">
        <v>0.013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>
      <c r="A1438" s="5" t="s">
        <v>2875</v>
      </c>
      <c r="B1438" s="5" t="s">
        <v>2876</v>
      </c>
      <c r="C1438" s="4" t="s">
        <v>239</v>
      </c>
      <c r="D1438" s="6">
        <v>17.16</v>
      </c>
      <c r="E1438" s="6">
        <v>17.05</v>
      </c>
      <c r="F1438" s="7">
        <v>12.54</v>
      </c>
      <c r="G1438" s="7">
        <v>20.1</v>
      </c>
      <c r="H1438" s="7">
        <v>13.01</v>
      </c>
      <c r="I1438" s="7">
        <v>1.195074555E9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>
      <c r="A1439" s="5" t="s">
        <v>2877</v>
      </c>
      <c r="B1439" s="5" t="s">
        <v>2878</v>
      </c>
      <c r="C1439" s="4" t="s">
        <v>265</v>
      </c>
      <c r="D1439" s="6">
        <v>0.03</v>
      </c>
      <c r="E1439" s="6">
        <v>0.02</v>
      </c>
      <c r="F1439" s="4"/>
      <c r="G1439" s="7">
        <v>0.07</v>
      </c>
      <c r="H1439" s="7">
        <v>0.02</v>
      </c>
      <c r="I1439" s="7">
        <v>3.2787425E7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>
      <c r="A1440" s="5" t="s">
        <v>2879</v>
      </c>
      <c r="B1440" s="5" t="s">
        <v>2880</v>
      </c>
      <c r="C1440" s="4" t="s">
        <v>618</v>
      </c>
      <c r="D1440" s="6">
        <v>0.14</v>
      </c>
      <c r="E1440" s="6">
        <v>0.14</v>
      </c>
      <c r="F1440" s="4"/>
      <c r="G1440" s="7">
        <v>0.29</v>
      </c>
      <c r="H1440" s="7">
        <v>0.11</v>
      </c>
      <c r="I1440" s="7">
        <v>7696100.0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>
      <c r="A1441" s="5" t="s">
        <v>2881</v>
      </c>
      <c r="B1441" s="5" t="s">
        <v>2882</v>
      </c>
      <c r="C1441" s="4" t="s">
        <v>121</v>
      </c>
      <c r="D1441" s="6">
        <v>26.53</v>
      </c>
      <c r="E1441" s="6">
        <v>26.51</v>
      </c>
      <c r="F1441" s="7">
        <v>31.55</v>
      </c>
      <c r="G1441" s="7">
        <v>27.83</v>
      </c>
      <c r="H1441" s="7">
        <v>13.36</v>
      </c>
      <c r="I1441" s="7">
        <v>2.653687195E9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>
      <c r="A1442" s="5" t="s">
        <v>2883</v>
      </c>
      <c r="B1442" s="5" t="s">
        <v>2884</v>
      </c>
      <c r="C1442" s="4" t="s">
        <v>34</v>
      </c>
      <c r="D1442" s="6">
        <v>15.71</v>
      </c>
      <c r="E1442" s="6">
        <v>15.65</v>
      </c>
      <c r="F1442" s="4"/>
      <c r="G1442" s="7">
        <v>16.58</v>
      </c>
      <c r="H1442" s="7">
        <v>6.14</v>
      </c>
      <c r="I1442" s="7" t="e">
        <v>#N/A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>
      <c r="A1443" s="5" t="s">
        <v>2885</v>
      </c>
      <c r="B1443" s="5" t="s">
        <v>2886</v>
      </c>
      <c r="C1443" s="4" t="s">
        <v>34</v>
      </c>
      <c r="D1443" s="6">
        <v>130.27</v>
      </c>
      <c r="E1443" s="6">
        <v>130.86</v>
      </c>
      <c r="F1443" s="4"/>
      <c r="G1443" s="7">
        <v>137.99</v>
      </c>
      <c r="H1443" s="7">
        <v>110.21</v>
      </c>
      <c r="I1443" s="7" t="e">
        <v>#N/A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>
      <c r="A1444" s="5" t="s">
        <v>2887</v>
      </c>
      <c r="B1444" s="5" t="s">
        <v>2888</v>
      </c>
      <c r="C1444" s="4" t="s">
        <v>34</v>
      </c>
      <c r="D1444" s="6" t="e">
        <v>#N/A</v>
      </c>
      <c r="E1444" s="6" t="e">
        <v>#N/A</v>
      </c>
      <c r="F1444" s="4"/>
      <c r="G1444" s="4"/>
      <c r="H1444" s="4"/>
      <c r="I1444" s="7" t="e">
        <v>#N/A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>
      <c r="A1445" s="5" t="s">
        <v>2889</v>
      </c>
      <c r="B1445" s="5" t="s">
        <v>2890</v>
      </c>
      <c r="C1445" s="4" t="s">
        <v>86</v>
      </c>
      <c r="D1445" s="6">
        <v>0.01</v>
      </c>
      <c r="E1445" s="6">
        <v>0.01</v>
      </c>
      <c r="F1445" s="4"/>
      <c r="G1445" s="7">
        <v>0.01</v>
      </c>
      <c r="H1445" s="7">
        <v>0.0</v>
      </c>
      <c r="I1445" s="7">
        <v>6589248.0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>
      <c r="A1446" s="5" t="s">
        <v>2891</v>
      </c>
      <c r="B1446" s="5" t="s">
        <v>2892</v>
      </c>
      <c r="C1446" s="4" t="s">
        <v>17</v>
      </c>
      <c r="D1446" s="6">
        <v>0.0</v>
      </c>
      <c r="E1446" s="6">
        <v>0.0</v>
      </c>
      <c r="F1446" s="4"/>
      <c r="G1446" s="7">
        <v>0.0</v>
      </c>
      <c r="H1446" s="7">
        <v>0.0</v>
      </c>
      <c r="I1446" s="7">
        <v>1339287.0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>
      <c r="A1447" s="5" t="s">
        <v>2893</v>
      </c>
      <c r="B1447" s="5" t="s">
        <v>2894</v>
      </c>
      <c r="C1447" s="4" t="s">
        <v>1838</v>
      </c>
      <c r="D1447" s="6">
        <v>1.88</v>
      </c>
      <c r="E1447" s="6">
        <v>1.88</v>
      </c>
      <c r="F1447" s="7">
        <v>10.37</v>
      </c>
      <c r="G1447" s="7">
        <v>2.14</v>
      </c>
      <c r="H1447" s="7">
        <v>1.8</v>
      </c>
      <c r="I1447" s="7">
        <v>6.26720746E8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>
      <c r="A1448" s="5" t="s">
        <v>2895</v>
      </c>
      <c r="B1448" s="5" t="s">
        <v>2896</v>
      </c>
      <c r="C1448" s="4" t="s">
        <v>2897</v>
      </c>
      <c r="D1448" s="6">
        <v>0.16</v>
      </c>
      <c r="E1448" s="6">
        <v>0.16</v>
      </c>
      <c r="F1448" s="4"/>
      <c r="G1448" s="7">
        <v>0.22</v>
      </c>
      <c r="H1448" s="7">
        <v>0.16</v>
      </c>
      <c r="I1448" s="7">
        <v>3.324856E7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>
      <c r="A1449" s="5" t="s">
        <v>2898</v>
      </c>
      <c r="B1449" s="5" t="s">
        <v>2899</v>
      </c>
      <c r="C1449" s="4" t="s">
        <v>182</v>
      </c>
      <c r="D1449" s="6">
        <v>12.32</v>
      </c>
      <c r="E1449" s="6">
        <v>12.17</v>
      </c>
      <c r="F1449" s="4"/>
      <c r="G1449" s="7">
        <v>17.87</v>
      </c>
      <c r="H1449" s="7">
        <v>6.61</v>
      </c>
      <c r="I1449" s="7">
        <v>2.187333401E9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>
      <c r="A1450" s="5" t="s">
        <v>2900</v>
      </c>
      <c r="B1450" s="5" t="s">
        <v>2901</v>
      </c>
      <c r="C1450" s="4" t="s">
        <v>86</v>
      </c>
      <c r="D1450" s="6">
        <v>0.99</v>
      </c>
      <c r="E1450" s="6">
        <v>1.0</v>
      </c>
      <c r="F1450" s="4"/>
      <c r="G1450" s="7">
        <v>1.05</v>
      </c>
      <c r="H1450" s="7">
        <v>0.19</v>
      </c>
      <c r="I1450" s="7">
        <v>1.3176217E8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>
      <c r="A1451" s="5" t="s">
        <v>2902</v>
      </c>
      <c r="B1451" s="5" t="s">
        <v>2903</v>
      </c>
      <c r="C1451" s="4" t="s">
        <v>1008</v>
      </c>
      <c r="D1451" s="6">
        <v>4.81</v>
      </c>
      <c r="E1451" s="6">
        <v>4.79</v>
      </c>
      <c r="F1451" s="7">
        <v>26.45</v>
      </c>
      <c r="G1451" s="7">
        <v>5.31</v>
      </c>
      <c r="H1451" s="7">
        <v>3.71</v>
      </c>
      <c r="I1451" s="7">
        <v>1.3246759082E10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>
      <c r="A1452" s="5" t="s">
        <v>2904</v>
      </c>
      <c r="B1452" s="5" t="s">
        <v>2905</v>
      </c>
      <c r="C1452" s="4" t="s">
        <v>1666</v>
      </c>
      <c r="D1452" s="6">
        <v>0.04</v>
      </c>
      <c r="E1452" s="6">
        <v>0.04</v>
      </c>
      <c r="F1452" s="4"/>
      <c r="G1452" s="7">
        <v>0.06</v>
      </c>
      <c r="H1452" s="7">
        <v>0.02</v>
      </c>
      <c r="I1452" s="7">
        <v>4.721466E7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>
      <c r="A1453" s="5" t="s">
        <v>2906</v>
      </c>
      <c r="B1453" s="5" t="s">
        <v>2907</v>
      </c>
      <c r="C1453" s="4" t="s">
        <v>2043</v>
      </c>
      <c r="D1453" s="6">
        <v>0.01</v>
      </c>
      <c r="E1453" s="6">
        <v>0.01</v>
      </c>
      <c r="F1453" s="4"/>
      <c r="G1453" s="7">
        <v>0.01</v>
      </c>
      <c r="H1453" s="7">
        <v>0.01</v>
      </c>
      <c r="I1453" s="7">
        <v>859259.0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>
      <c r="A1454" s="5" t="s">
        <v>2908</v>
      </c>
      <c r="B1454" s="5" t="s">
        <v>2909</v>
      </c>
      <c r="C1454" s="4" t="s">
        <v>37</v>
      </c>
      <c r="D1454" s="6">
        <v>2.0</v>
      </c>
      <c r="E1454" s="6">
        <v>2.01</v>
      </c>
      <c r="F1454" s="4"/>
      <c r="G1454" s="7">
        <v>4.97</v>
      </c>
      <c r="H1454" s="7">
        <v>0.33</v>
      </c>
      <c r="I1454" s="7">
        <v>2.20406E8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>
      <c r="A1455" s="5" t="s">
        <v>2910</v>
      </c>
      <c r="B1455" s="5" t="s">
        <v>2911</v>
      </c>
      <c r="C1455" s="4" t="s">
        <v>141</v>
      </c>
      <c r="D1455" s="6">
        <v>0.14</v>
      </c>
      <c r="E1455" s="6">
        <v>0.14</v>
      </c>
      <c r="F1455" s="4"/>
      <c r="G1455" s="7">
        <v>0.24</v>
      </c>
      <c r="H1455" s="7">
        <v>0.14</v>
      </c>
      <c r="I1455" s="7">
        <v>2.055692E7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>
      <c r="A1456" s="5" t="s">
        <v>2912</v>
      </c>
      <c r="B1456" s="5" t="s">
        <v>2913</v>
      </c>
      <c r="C1456" s="4" t="s">
        <v>34</v>
      </c>
      <c r="D1456" s="6">
        <v>11.96</v>
      </c>
      <c r="E1456" s="6">
        <v>12.02</v>
      </c>
      <c r="F1456" s="4"/>
      <c r="G1456" s="7">
        <v>12.48</v>
      </c>
      <c r="H1456" s="7">
        <v>9.65</v>
      </c>
      <c r="I1456" s="7" t="e">
        <v>#N/A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>
      <c r="A1457" s="5" t="s">
        <v>2914</v>
      </c>
      <c r="B1457" s="5" t="s">
        <v>2915</v>
      </c>
      <c r="C1457" s="4" t="s">
        <v>34</v>
      </c>
      <c r="D1457" s="6" t="e">
        <v>#N/A</v>
      </c>
      <c r="E1457" s="6" t="e">
        <v>#N/A</v>
      </c>
      <c r="F1457" s="4"/>
      <c r="G1457" s="4"/>
      <c r="H1457" s="4"/>
      <c r="I1457" s="7" t="e">
        <v>#N/A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>
      <c r="A1458" s="5" t="s">
        <v>2916</v>
      </c>
      <c r="B1458" s="5" t="s">
        <v>2917</v>
      </c>
      <c r="C1458" s="4" t="s">
        <v>34</v>
      </c>
      <c r="D1458" s="6">
        <v>13.42</v>
      </c>
      <c r="E1458" s="6">
        <v>13.38</v>
      </c>
      <c r="F1458" s="4"/>
      <c r="G1458" s="7">
        <v>13.74</v>
      </c>
      <c r="H1458" s="7">
        <v>10.0</v>
      </c>
      <c r="I1458" s="7" t="e">
        <v>#N/A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>
      <c r="A1459" s="5" t="s">
        <v>2918</v>
      </c>
      <c r="B1459" s="5" t="s">
        <v>2919</v>
      </c>
      <c r="C1459" s="4" t="s">
        <v>387</v>
      </c>
      <c r="D1459" s="6">
        <v>203.73</v>
      </c>
      <c r="E1459" s="6">
        <v>203.2</v>
      </c>
      <c r="F1459" s="7">
        <v>20.63</v>
      </c>
      <c r="G1459" s="7">
        <v>242.9</v>
      </c>
      <c r="H1459" s="7">
        <v>160.0</v>
      </c>
      <c r="I1459" s="7">
        <v>7.7649324603E10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>
      <c r="A1460" s="5" t="s">
        <v>2920</v>
      </c>
      <c r="B1460" s="5" t="s">
        <v>2921</v>
      </c>
      <c r="C1460" s="4" t="s">
        <v>34</v>
      </c>
      <c r="D1460" s="6">
        <v>10.13</v>
      </c>
      <c r="E1460" s="6">
        <v>10.13</v>
      </c>
      <c r="F1460" s="4"/>
      <c r="G1460" s="7">
        <v>10.28</v>
      </c>
      <c r="H1460" s="7">
        <v>9.46</v>
      </c>
      <c r="I1460" s="7" t="e">
        <v>#N/A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>
      <c r="A1461" s="5" t="s">
        <v>2922</v>
      </c>
      <c r="B1461" s="5" t="s">
        <v>2923</v>
      </c>
      <c r="C1461" s="4" t="s">
        <v>34</v>
      </c>
      <c r="D1461" s="6" t="e">
        <v>#N/A</v>
      </c>
      <c r="E1461" s="6" t="e">
        <v>#N/A</v>
      </c>
      <c r="F1461" s="4"/>
      <c r="G1461" s="4"/>
      <c r="H1461" s="4"/>
      <c r="I1461" s="7" t="e">
        <v>#N/A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>
      <c r="A1462" s="5" t="s">
        <v>2924</v>
      </c>
      <c r="B1462" s="5" t="s">
        <v>2925</v>
      </c>
      <c r="C1462" s="4" t="s">
        <v>37</v>
      </c>
      <c r="D1462" s="6">
        <v>0.01</v>
      </c>
      <c r="E1462" s="6">
        <v>0.01</v>
      </c>
      <c r="F1462" s="4"/>
      <c r="G1462" s="7">
        <v>0.02</v>
      </c>
      <c r="H1462" s="7">
        <v>0.01</v>
      </c>
      <c r="I1462" s="7">
        <v>5233392.0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>
      <c r="A1463" s="5" t="s">
        <v>2926</v>
      </c>
      <c r="B1463" s="5" t="s">
        <v>2927</v>
      </c>
      <c r="C1463" s="4" t="s">
        <v>34</v>
      </c>
      <c r="D1463" s="6">
        <v>50.25</v>
      </c>
      <c r="E1463" s="6">
        <v>50.44</v>
      </c>
      <c r="F1463" s="4"/>
      <c r="G1463" s="7">
        <v>50.5</v>
      </c>
      <c r="H1463" s="7">
        <v>49.4</v>
      </c>
      <c r="I1463" s="7" t="e">
        <v>#N/A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>
      <c r="A1464" s="5" t="s">
        <v>2928</v>
      </c>
      <c r="B1464" s="5" t="s">
        <v>2929</v>
      </c>
      <c r="C1464" s="4" t="s">
        <v>34</v>
      </c>
      <c r="D1464" s="6" t="e">
        <v>#N/A</v>
      </c>
      <c r="E1464" s="6" t="e">
        <v>#N/A</v>
      </c>
      <c r="F1464" s="4"/>
      <c r="G1464" s="4"/>
      <c r="H1464" s="4"/>
      <c r="I1464" s="7" t="e">
        <v>#N/A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>
      <c r="A1465" s="5" t="s">
        <v>2930</v>
      </c>
      <c r="B1465" s="5" t="s">
        <v>2931</v>
      </c>
      <c r="C1465" s="4" t="s">
        <v>34</v>
      </c>
      <c r="D1465" s="6">
        <v>50.13</v>
      </c>
      <c r="E1465" s="6">
        <v>50.26</v>
      </c>
      <c r="F1465" s="4"/>
      <c r="G1465" s="7">
        <v>50.78</v>
      </c>
      <c r="H1465" s="7">
        <v>48.08</v>
      </c>
      <c r="I1465" s="7" t="e">
        <v>#N/A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>
      <c r="A1466" s="5" t="s">
        <v>2932</v>
      </c>
      <c r="B1466" s="5" t="s">
        <v>2933</v>
      </c>
      <c r="C1466" s="4" t="s">
        <v>37</v>
      </c>
      <c r="D1466" s="6">
        <v>0.03</v>
      </c>
      <c r="E1466" s="6">
        <v>0.03</v>
      </c>
      <c r="F1466" s="4"/>
      <c r="G1466" s="7">
        <v>0.03</v>
      </c>
      <c r="H1466" s="7">
        <v>0.03</v>
      </c>
      <c r="I1466" s="7">
        <v>2.218345E7</v>
      </c>
      <c r="J1466" s="7">
        <v>30.01</v>
      </c>
      <c r="K1466" s="7">
        <v>30.63</v>
      </c>
      <c r="L1466" s="7">
        <v>31.61</v>
      </c>
      <c r="M1466" s="7">
        <v>24.85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>
      <c r="A1467" s="5" t="s">
        <v>2934</v>
      </c>
      <c r="B1467" s="5" t="s">
        <v>2935</v>
      </c>
      <c r="C1467" s="4" t="s">
        <v>17</v>
      </c>
      <c r="D1467" s="6">
        <v>0.03</v>
      </c>
      <c r="E1467" s="6">
        <v>0.03</v>
      </c>
      <c r="F1467" s="4"/>
      <c r="G1467" s="7">
        <v>0.09</v>
      </c>
      <c r="H1467" s="7">
        <v>0.0</v>
      </c>
      <c r="I1467" s="7">
        <v>4.6205048E7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>
      <c r="A1468" s="5" t="s">
        <v>2936</v>
      </c>
      <c r="B1468" s="5" t="s">
        <v>2937</v>
      </c>
      <c r="C1468" s="4" t="s">
        <v>416</v>
      </c>
      <c r="D1468" s="6">
        <v>2.0</v>
      </c>
      <c r="E1468" s="6">
        <v>2.0</v>
      </c>
      <c r="F1468" s="4"/>
      <c r="G1468" s="7">
        <v>2.03</v>
      </c>
      <c r="H1468" s="7">
        <v>1.7</v>
      </c>
      <c r="I1468" s="7" t="e">
        <v>#N/A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>
      <c r="A1469" s="5" t="s">
        <v>2938</v>
      </c>
      <c r="B1469" s="5" t="s">
        <v>2939</v>
      </c>
      <c r="C1469" s="4" t="s">
        <v>17</v>
      </c>
      <c r="D1469" s="6">
        <v>0.0</v>
      </c>
      <c r="E1469" s="6">
        <v>0.0</v>
      </c>
      <c r="F1469" s="4"/>
      <c r="G1469" s="7">
        <v>0.01</v>
      </c>
      <c r="H1469" s="7">
        <v>0.0</v>
      </c>
      <c r="I1469" s="7">
        <v>5454644.0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>
      <c r="A1470" s="5" t="s">
        <v>2940</v>
      </c>
      <c r="B1470" s="5" t="s">
        <v>2941</v>
      </c>
      <c r="C1470" s="4" t="s">
        <v>17</v>
      </c>
      <c r="D1470" s="6">
        <v>0.01</v>
      </c>
      <c r="E1470" s="6">
        <v>0.01</v>
      </c>
      <c r="F1470" s="4"/>
      <c r="G1470" s="7">
        <v>0.02</v>
      </c>
      <c r="H1470" s="7">
        <v>0.01</v>
      </c>
      <c r="I1470" s="7">
        <v>1.8334264E7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>
      <c r="A1471" s="5" t="s">
        <v>2942</v>
      </c>
      <c r="B1471" s="5" t="s">
        <v>2943</v>
      </c>
      <c r="C1471" s="4" t="s">
        <v>17</v>
      </c>
      <c r="D1471" s="6">
        <v>0.28</v>
      </c>
      <c r="E1471" s="6">
        <v>0.28</v>
      </c>
      <c r="F1471" s="4"/>
      <c r="G1471" s="7">
        <v>0.4</v>
      </c>
      <c r="H1471" s="7">
        <v>0.11</v>
      </c>
      <c r="I1471" s="7">
        <v>5.3792116E7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>
      <c r="A1472" s="5" t="s">
        <v>2944</v>
      </c>
      <c r="B1472" s="5" t="s">
        <v>2945</v>
      </c>
      <c r="C1472" s="4" t="s">
        <v>23</v>
      </c>
      <c r="D1472" s="6">
        <v>2.77</v>
      </c>
      <c r="E1472" s="6">
        <v>2.72</v>
      </c>
      <c r="F1472" s="4"/>
      <c r="G1472" s="7">
        <v>3.37</v>
      </c>
      <c r="H1472" s="7">
        <v>1.52</v>
      </c>
      <c r="I1472" s="7">
        <v>2.343796772E9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>
      <c r="A1473" s="5" t="s">
        <v>2946</v>
      </c>
      <c r="B1473" s="5" t="s">
        <v>2947</v>
      </c>
      <c r="C1473" s="4" t="s">
        <v>159</v>
      </c>
      <c r="D1473" s="6">
        <v>0.01</v>
      </c>
      <c r="E1473" s="6">
        <v>0.01</v>
      </c>
      <c r="F1473" s="4"/>
      <c r="G1473" s="7">
        <v>0.01</v>
      </c>
      <c r="H1473" s="7">
        <v>0.0</v>
      </c>
      <c r="I1473" s="7">
        <v>1109360.0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>
      <c r="A1474" s="5" t="s">
        <v>2948</v>
      </c>
      <c r="B1474" s="5" t="s">
        <v>2949</v>
      </c>
      <c r="C1474" s="4" t="s">
        <v>20</v>
      </c>
      <c r="D1474" s="6">
        <v>0.01</v>
      </c>
      <c r="E1474" s="6">
        <v>0.01</v>
      </c>
      <c r="F1474" s="7">
        <v>0.37</v>
      </c>
      <c r="G1474" s="7">
        <v>0.01</v>
      </c>
      <c r="H1474" s="7">
        <v>0.0</v>
      </c>
      <c r="I1474" s="7">
        <v>340759.0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>
      <c r="A1475" s="5" t="s">
        <v>2950</v>
      </c>
      <c r="B1475" s="5" t="s">
        <v>2951</v>
      </c>
      <c r="C1475" s="4" t="s">
        <v>34</v>
      </c>
      <c r="D1475" s="6" t="e">
        <v>#N/A</v>
      </c>
      <c r="E1475" s="6" t="e">
        <v>#N/A</v>
      </c>
      <c r="F1475" s="4"/>
      <c r="G1475" s="4"/>
      <c r="H1475" s="4"/>
      <c r="I1475" s="7" t="e">
        <v>#N/A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>
      <c r="A1476" s="5" t="s">
        <v>2952</v>
      </c>
      <c r="B1476" s="5" t="s">
        <v>2953</v>
      </c>
      <c r="C1476" s="4" t="s">
        <v>394</v>
      </c>
      <c r="D1476" s="6">
        <v>0.34</v>
      </c>
      <c r="E1476" s="6">
        <v>0.33</v>
      </c>
      <c r="F1476" s="7">
        <v>132.94</v>
      </c>
      <c r="G1476" s="7">
        <v>0.39</v>
      </c>
      <c r="H1476" s="7">
        <v>0.21</v>
      </c>
      <c r="I1476" s="7">
        <v>7.1007372E7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>
      <c r="A1477" s="5" t="s">
        <v>2954</v>
      </c>
      <c r="B1477" s="5" t="s">
        <v>2955</v>
      </c>
      <c r="C1477" s="4" t="s">
        <v>17</v>
      </c>
      <c r="D1477" s="6">
        <v>0.01</v>
      </c>
      <c r="E1477" s="6">
        <v>0.01</v>
      </c>
      <c r="F1477" s="4"/>
      <c r="G1477" s="7">
        <v>0.02</v>
      </c>
      <c r="H1477" s="7">
        <v>0.0</v>
      </c>
      <c r="I1477" s="7">
        <v>1.6320094E7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>
      <c r="A1478" s="5" t="s">
        <v>2956</v>
      </c>
      <c r="B1478" s="5" t="s">
        <v>2957</v>
      </c>
      <c r="C1478" s="4" t="s">
        <v>17</v>
      </c>
      <c r="D1478" s="6">
        <v>0.27</v>
      </c>
      <c r="E1478" s="6">
        <v>0.26</v>
      </c>
      <c r="F1478" s="4"/>
      <c r="G1478" s="7">
        <v>0.38</v>
      </c>
      <c r="H1478" s="7">
        <v>0.09</v>
      </c>
      <c r="I1478" s="7">
        <v>5.9981825E7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>
      <c r="A1479" s="5" t="s">
        <v>2958</v>
      </c>
      <c r="B1479" s="5" t="s">
        <v>2959</v>
      </c>
      <c r="C1479" s="4" t="s">
        <v>17</v>
      </c>
      <c r="D1479" s="6">
        <v>0.6</v>
      </c>
      <c r="E1479" s="6">
        <v>0.62</v>
      </c>
      <c r="F1479" s="4"/>
      <c r="G1479" s="7">
        <v>0.73</v>
      </c>
      <c r="H1479" s="7">
        <v>0.28</v>
      </c>
      <c r="I1479" s="7">
        <v>1.10716144E8</v>
      </c>
      <c r="J1479" s="7">
        <v>0.004</v>
      </c>
      <c r="K1479" s="7">
        <v>0.004</v>
      </c>
      <c r="L1479" s="7">
        <v>0.007</v>
      </c>
      <c r="M1479" s="7">
        <v>0.002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>
      <c r="A1480" s="5" t="s">
        <v>2960</v>
      </c>
      <c r="B1480" s="5" t="s">
        <v>2961</v>
      </c>
      <c r="C1480" s="4" t="s">
        <v>37</v>
      </c>
      <c r="D1480" s="6">
        <v>0.0</v>
      </c>
      <c r="E1480" s="6">
        <v>0.0</v>
      </c>
      <c r="F1480" s="4"/>
      <c r="G1480" s="7">
        <v>0.0</v>
      </c>
      <c r="H1480" s="7">
        <v>0.0</v>
      </c>
      <c r="I1480" s="7">
        <v>619745.0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>
      <c r="A1481" s="5" t="s">
        <v>2962</v>
      </c>
      <c r="B1481" s="5" t="s">
        <v>2963</v>
      </c>
      <c r="C1481" s="4" t="s">
        <v>17</v>
      </c>
      <c r="D1481" s="6">
        <v>1.07</v>
      </c>
      <c r="E1481" s="6">
        <v>1.07</v>
      </c>
      <c r="F1481" s="4"/>
      <c r="G1481" s="7">
        <v>1.49</v>
      </c>
      <c r="H1481" s="7">
        <v>0.12</v>
      </c>
      <c r="I1481" s="7">
        <v>6.683793E8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>
      <c r="A1482" s="5" t="s">
        <v>2964</v>
      </c>
      <c r="B1482" s="5" t="s">
        <v>2965</v>
      </c>
      <c r="C1482" s="4" t="s">
        <v>432</v>
      </c>
      <c r="D1482" s="6">
        <v>3.14</v>
      </c>
      <c r="E1482" s="6">
        <v>3.1</v>
      </c>
      <c r="F1482" s="7">
        <v>12.86</v>
      </c>
      <c r="G1482" s="7">
        <v>4.0</v>
      </c>
      <c r="H1482" s="7">
        <v>1.64</v>
      </c>
      <c r="I1482" s="7">
        <v>2.31929827E8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>
      <c r="A1483" s="5" t="s">
        <v>2966</v>
      </c>
      <c r="B1483" s="5" t="s">
        <v>2967</v>
      </c>
      <c r="C1483" s="4" t="s">
        <v>578</v>
      </c>
      <c r="D1483" s="6">
        <v>3.31</v>
      </c>
      <c r="E1483" s="6">
        <v>3.3</v>
      </c>
      <c r="F1483" s="7">
        <v>12.85</v>
      </c>
      <c r="G1483" s="7">
        <v>4.26</v>
      </c>
      <c r="H1483" s="7">
        <v>2.96</v>
      </c>
      <c r="I1483" s="7">
        <v>3.637653527E9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>
      <c r="A1484" s="5" t="s">
        <v>2968</v>
      </c>
      <c r="B1484" s="5" t="s">
        <v>2969</v>
      </c>
      <c r="C1484" s="4" t="s">
        <v>34</v>
      </c>
      <c r="D1484" s="6">
        <v>28.75</v>
      </c>
      <c r="E1484" s="6">
        <v>29.01</v>
      </c>
      <c r="F1484" s="4"/>
      <c r="G1484" s="7">
        <v>32.0</v>
      </c>
      <c r="H1484" s="7">
        <v>22.9</v>
      </c>
      <c r="I1484" s="7" t="e">
        <v>#N/A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>
      <c r="A1485" s="5" t="s">
        <v>2970</v>
      </c>
      <c r="B1485" s="5" t="s">
        <v>2971</v>
      </c>
      <c r="C1485" s="4" t="s">
        <v>34</v>
      </c>
      <c r="D1485" s="6">
        <v>25.94</v>
      </c>
      <c r="E1485" s="6">
        <v>26.6</v>
      </c>
      <c r="F1485" s="4"/>
      <c r="G1485" s="7">
        <v>28.0</v>
      </c>
      <c r="H1485" s="7">
        <v>21.3</v>
      </c>
      <c r="I1485" s="7" t="e">
        <v>#N/A</v>
      </c>
      <c r="J1485" s="7">
        <v>0.003</v>
      </c>
      <c r="K1485" s="7">
        <v>0.003</v>
      </c>
      <c r="L1485" s="7">
        <v>0.006</v>
      </c>
      <c r="M1485" s="7">
        <v>0.001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>
      <c r="A1486" s="5" t="s">
        <v>2972</v>
      </c>
      <c r="B1486" s="5" t="s">
        <v>2973</v>
      </c>
      <c r="C1486" s="4" t="s">
        <v>34</v>
      </c>
      <c r="D1486" s="6">
        <v>42.32</v>
      </c>
      <c r="E1486" s="6">
        <v>42.2</v>
      </c>
      <c r="F1486" s="4"/>
      <c r="G1486" s="7">
        <v>45.3</v>
      </c>
      <c r="H1486" s="7">
        <v>32.98</v>
      </c>
      <c r="I1486" s="7" t="e">
        <v>#N/A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>
      <c r="A1487" s="5" t="s">
        <v>2974</v>
      </c>
      <c r="B1487" s="5" t="s">
        <v>2975</v>
      </c>
      <c r="C1487" s="4" t="s">
        <v>34</v>
      </c>
      <c r="D1487" s="6">
        <v>45.46</v>
      </c>
      <c r="E1487" s="6">
        <v>45.84</v>
      </c>
      <c r="F1487" s="4"/>
      <c r="G1487" s="7">
        <v>47.44</v>
      </c>
      <c r="H1487" s="7">
        <v>34.38</v>
      </c>
      <c r="I1487" s="7" t="e">
        <v>#N/A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>
      <c r="A1488" s="5" t="s">
        <v>2976</v>
      </c>
      <c r="B1488" s="5" t="s">
        <v>2977</v>
      </c>
      <c r="C1488" s="4" t="s">
        <v>162</v>
      </c>
      <c r="D1488" s="6">
        <v>0.75</v>
      </c>
      <c r="E1488" s="6">
        <v>0.74</v>
      </c>
      <c r="F1488" s="7">
        <v>11.72</v>
      </c>
      <c r="G1488" s="7">
        <v>1.29</v>
      </c>
      <c r="H1488" s="7">
        <v>0.54</v>
      </c>
      <c r="I1488" s="7">
        <v>2.90251575E8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>
      <c r="A1489" s="5" t="s">
        <v>2978</v>
      </c>
      <c r="B1489" s="5" t="s">
        <v>2979</v>
      </c>
      <c r="C1489" s="4" t="s">
        <v>86</v>
      </c>
      <c r="D1489" s="6">
        <v>0.02</v>
      </c>
      <c r="E1489" s="6">
        <v>0.02</v>
      </c>
      <c r="F1489" s="4"/>
      <c r="G1489" s="7">
        <v>0.02</v>
      </c>
      <c r="H1489" s="7">
        <v>0.01</v>
      </c>
      <c r="I1489" s="7">
        <v>1.8169072E7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>
      <c r="A1490" s="5" t="s">
        <v>2980</v>
      </c>
      <c r="B1490" s="5" t="s">
        <v>2981</v>
      </c>
      <c r="C1490" s="4" t="s">
        <v>34</v>
      </c>
      <c r="D1490" s="6">
        <v>35.44</v>
      </c>
      <c r="E1490" s="6">
        <v>35.46</v>
      </c>
      <c r="F1490" s="4"/>
      <c r="G1490" s="7">
        <v>37.25</v>
      </c>
      <c r="H1490" s="7">
        <v>30.3</v>
      </c>
      <c r="I1490" s="7" t="e">
        <v>#N/A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>
      <c r="A1491" s="5" t="s">
        <v>2982</v>
      </c>
      <c r="B1491" s="5" t="s">
        <v>2983</v>
      </c>
      <c r="C1491" s="4" t="s">
        <v>172</v>
      </c>
      <c r="D1491" s="6">
        <v>0.55</v>
      </c>
      <c r="E1491" s="6">
        <v>0.56</v>
      </c>
      <c r="F1491" s="7">
        <v>654.76</v>
      </c>
      <c r="G1491" s="7">
        <v>0.94</v>
      </c>
      <c r="H1491" s="7">
        <v>0.4</v>
      </c>
      <c r="I1491" s="7">
        <v>6.1408821E7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>
      <c r="A1492" s="5" t="s">
        <v>2984</v>
      </c>
      <c r="B1492" s="5" t="s">
        <v>2985</v>
      </c>
      <c r="C1492" s="4" t="s">
        <v>34</v>
      </c>
      <c r="D1492" s="6">
        <v>43.37</v>
      </c>
      <c r="E1492" s="6">
        <v>43.99</v>
      </c>
      <c r="F1492" s="4"/>
      <c r="G1492" s="7">
        <v>44.83</v>
      </c>
      <c r="H1492" s="7">
        <v>27.63</v>
      </c>
      <c r="I1492" s="7" t="e">
        <v>#N/A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>
      <c r="A1493" s="5" t="s">
        <v>2986</v>
      </c>
      <c r="B1493" s="5" t="s">
        <v>2987</v>
      </c>
      <c r="C1493" s="4" t="s">
        <v>34</v>
      </c>
      <c r="D1493" s="6">
        <v>23.47</v>
      </c>
      <c r="E1493" s="6">
        <v>23.58</v>
      </c>
      <c r="F1493" s="4"/>
      <c r="G1493" s="7">
        <v>24.02</v>
      </c>
      <c r="H1493" s="7">
        <v>16.83</v>
      </c>
      <c r="I1493" s="7" t="e">
        <v>#N/A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>
      <c r="A1494" s="5" t="s">
        <v>2988</v>
      </c>
      <c r="B1494" s="5" t="s">
        <v>2989</v>
      </c>
      <c r="C1494" s="4" t="s">
        <v>34</v>
      </c>
      <c r="D1494" s="6">
        <v>38.14</v>
      </c>
      <c r="E1494" s="6">
        <v>38.71</v>
      </c>
      <c r="F1494" s="4"/>
      <c r="G1494" s="7">
        <v>41.0</v>
      </c>
      <c r="H1494" s="7">
        <v>33.03</v>
      </c>
      <c r="I1494" s="7" t="e">
        <v>#N/A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>
      <c r="A1495" s="5" t="s">
        <v>2990</v>
      </c>
      <c r="B1495" s="5" t="s">
        <v>2991</v>
      </c>
      <c r="C1495" s="4" t="s">
        <v>60</v>
      </c>
      <c r="D1495" s="6">
        <v>0.1</v>
      </c>
      <c r="E1495" s="6">
        <v>0.11</v>
      </c>
      <c r="F1495" s="4"/>
      <c r="G1495" s="7">
        <v>0.12</v>
      </c>
      <c r="H1495" s="7">
        <v>0.04</v>
      </c>
      <c r="I1495" s="7">
        <v>6.7302221E7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>
      <c r="A1496" s="5" t="s">
        <v>2992</v>
      </c>
      <c r="B1496" s="5" t="s">
        <v>2993</v>
      </c>
      <c r="C1496" s="4" t="s">
        <v>146</v>
      </c>
      <c r="D1496" s="6">
        <v>2.21</v>
      </c>
      <c r="E1496" s="6">
        <v>2.24</v>
      </c>
      <c r="F1496" s="7">
        <v>14.31</v>
      </c>
      <c r="G1496" s="7">
        <v>2.6</v>
      </c>
      <c r="H1496" s="7">
        <v>1.72</v>
      </c>
      <c r="I1496" s="7">
        <v>1.22753457E8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>
      <c r="A1497" s="5" t="s">
        <v>2994</v>
      </c>
      <c r="B1497" s="5" t="s">
        <v>2995</v>
      </c>
      <c r="C1497" s="4" t="s">
        <v>1470</v>
      </c>
      <c r="D1497" s="6">
        <v>0.06</v>
      </c>
      <c r="E1497" s="6">
        <v>0.06</v>
      </c>
      <c r="F1497" s="7">
        <v>135.71</v>
      </c>
      <c r="G1497" s="7">
        <v>0.06</v>
      </c>
      <c r="H1497" s="7">
        <v>0.03</v>
      </c>
      <c r="I1497" s="7">
        <v>1.6543509E7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>
      <c r="A1498" s="5" t="s">
        <v>2996</v>
      </c>
      <c r="B1498" s="5" t="s">
        <v>2997</v>
      </c>
      <c r="C1498" s="4" t="s">
        <v>872</v>
      </c>
      <c r="D1498" s="6">
        <v>1.99</v>
      </c>
      <c r="E1498" s="6">
        <v>1.98</v>
      </c>
      <c r="F1498" s="7">
        <v>12.59</v>
      </c>
      <c r="G1498" s="7">
        <v>2.13</v>
      </c>
      <c r="H1498" s="7">
        <v>1.87</v>
      </c>
      <c r="I1498" s="7">
        <v>2.429035801E9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>
      <c r="A1499" s="5" t="s">
        <v>2998</v>
      </c>
      <c r="B1499" s="5" t="s">
        <v>2999</v>
      </c>
      <c r="C1499" s="4" t="s">
        <v>312</v>
      </c>
      <c r="D1499" s="6">
        <v>0.14</v>
      </c>
      <c r="E1499" s="6">
        <v>0.14</v>
      </c>
      <c r="F1499" s="7">
        <v>31.25</v>
      </c>
      <c r="G1499" s="7">
        <v>0.2</v>
      </c>
      <c r="H1499" s="7">
        <v>0.12</v>
      </c>
      <c r="I1499" s="7">
        <v>4.321075E7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>
      <c r="A1500" s="5" t="s">
        <v>3000</v>
      </c>
      <c r="B1500" s="5" t="s">
        <v>3001</v>
      </c>
      <c r="C1500" s="4" t="s">
        <v>3002</v>
      </c>
      <c r="D1500" s="6">
        <v>3.2</v>
      </c>
      <c r="E1500" s="6">
        <v>3.04</v>
      </c>
      <c r="F1500" s="7">
        <v>44.63</v>
      </c>
      <c r="G1500" s="7">
        <v>3.26</v>
      </c>
      <c r="H1500" s="7">
        <v>0.75</v>
      </c>
      <c r="I1500" s="7">
        <v>3.65204485E8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>
      <c r="A1501" s="5" t="s">
        <v>3003</v>
      </c>
      <c r="B1501" s="5" t="s">
        <v>3004</v>
      </c>
      <c r="C1501" s="4" t="s">
        <v>151</v>
      </c>
      <c r="D1501" s="6">
        <v>0.48</v>
      </c>
      <c r="E1501" s="6">
        <v>0.48</v>
      </c>
      <c r="F1501" s="4"/>
      <c r="G1501" s="7">
        <v>1.24</v>
      </c>
      <c r="H1501" s="7">
        <v>0.39</v>
      </c>
      <c r="I1501" s="7">
        <v>8.13540564E8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>
      <c r="A1502" s="5" t="s">
        <v>3005</v>
      </c>
      <c r="B1502" s="5" t="s">
        <v>3006</v>
      </c>
      <c r="C1502" s="4" t="s">
        <v>411</v>
      </c>
      <c r="D1502" s="6">
        <v>4.57</v>
      </c>
      <c r="E1502" s="6">
        <v>4.58</v>
      </c>
      <c r="F1502" s="7">
        <v>21.16</v>
      </c>
      <c r="G1502" s="7">
        <v>4.76</v>
      </c>
      <c r="H1502" s="7">
        <v>3.47</v>
      </c>
      <c r="I1502" s="7">
        <v>7.75471447E8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>
      <c r="A1503" s="5" t="s">
        <v>3007</v>
      </c>
      <c r="B1503" s="5" t="s">
        <v>3008</v>
      </c>
      <c r="C1503" s="4" t="s">
        <v>172</v>
      </c>
      <c r="D1503" s="6">
        <v>3.19</v>
      </c>
      <c r="E1503" s="6">
        <v>3.11</v>
      </c>
      <c r="F1503" s="4"/>
      <c r="G1503" s="7">
        <v>7.31</v>
      </c>
      <c r="H1503" s="7">
        <v>2.99</v>
      </c>
      <c r="I1503" s="7">
        <v>2.59174138E8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>
      <c r="A1504" s="5" t="s">
        <v>3009</v>
      </c>
      <c r="B1504" s="5" t="s">
        <v>3010</v>
      </c>
      <c r="C1504" s="4" t="s">
        <v>239</v>
      </c>
      <c r="D1504" s="6">
        <v>0.12</v>
      </c>
      <c r="E1504" s="6">
        <v>0.12</v>
      </c>
      <c r="F1504" s="7">
        <v>11.83</v>
      </c>
      <c r="G1504" s="7">
        <v>0.18</v>
      </c>
      <c r="H1504" s="7">
        <v>0.1</v>
      </c>
      <c r="I1504" s="7">
        <v>1.012639E7</v>
      </c>
      <c r="J1504" s="7">
        <v>0.003</v>
      </c>
      <c r="K1504" s="7">
        <v>0.003</v>
      </c>
      <c r="L1504" s="7">
        <v>0.007</v>
      </c>
      <c r="M1504" s="7">
        <v>0.002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>
      <c r="A1505" s="5" t="s">
        <v>3011</v>
      </c>
      <c r="B1505" s="5" t="s">
        <v>3012</v>
      </c>
      <c r="C1505" s="4" t="s">
        <v>411</v>
      </c>
      <c r="D1505" s="6">
        <v>42.4</v>
      </c>
      <c r="E1505" s="6">
        <v>42.31</v>
      </c>
      <c r="F1505" s="7">
        <v>19.2</v>
      </c>
      <c r="G1505" s="7">
        <v>45.25</v>
      </c>
      <c r="H1505" s="7">
        <v>31.13</v>
      </c>
      <c r="I1505" s="7">
        <v>8.7257468497E10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>
      <c r="A1506" s="5" t="s">
        <v>3013</v>
      </c>
      <c r="B1506" s="5" t="s">
        <v>3014</v>
      </c>
      <c r="C1506" s="4" t="s">
        <v>169</v>
      </c>
      <c r="D1506" s="6">
        <v>0.7</v>
      </c>
      <c r="E1506" s="6">
        <v>0.7</v>
      </c>
      <c r="F1506" s="7">
        <v>4.46</v>
      </c>
      <c r="G1506" s="7">
        <v>0.7</v>
      </c>
      <c r="H1506" s="7">
        <v>0.3</v>
      </c>
      <c r="I1506" s="7">
        <v>3.1827333E7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>
      <c r="A1507" s="5" t="s">
        <v>3015</v>
      </c>
      <c r="B1507" s="5" t="s">
        <v>3016</v>
      </c>
      <c r="C1507" s="4" t="s">
        <v>312</v>
      </c>
      <c r="D1507" s="6">
        <v>0.0</v>
      </c>
      <c r="E1507" s="6">
        <v>0.0</v>
      </c>
      <c r="F1507" s="4"/>
      <c r="G1507" s="7">
        <v>0.01</v>
      </c>
      <c r="H1507" s="7">
        <v>0.0</v>
      </c>
      <c r="I1507" s="7">
        <v>3989097.0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>
      <c r="A1508" s="5" t="s">
        <v>3017</v>
      </c>
      <c r="B1508" s="5" t="s">
        <v>3018</v>
      </c>
      <c r="C1508" s="4" t="s">
        <v>86</v>
      </c>
      <c r="D1508" s="6">
        <v>0.01</v>
      </c>
      <c r="E1508" s="6">
        <v>0.01</v>
      </c>
      <c r="F1508" s="4"/>
      <c r="G1508" s="7">
        <v>0.02</v>
      </c>
      <c r="H1508" s="7">
        <v>0.01</v>
      </c>
      <c r="I1508" s="7">
        <v>1.1575937E7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>
      <c r="A1509" s="5" t="s">
        <v>3019</v>
      </c>
      <c r="B1509" s="5" t="s">
        <v>3020</v>
      </c>
      <c r="C1509" s="4" t="s">
        <v>60</v>
      </c>
      <c r="D1509" s="6">
        <v>3.92</v>
      </c>
      <c r="E1509" s="6">
        <v>3.97</v>
      </c>
      <c r="F1509" s="7">
        <v>58.61</v>
      </c>
      <c r="G1509" s="7">
        <v>5.18</v>
      </c>
      <c r="H1509" s="7">
        <v>2.96</v>
      </c>
      <c r="I1509" s="7">
        <v>1.189116343E9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>
      <c r="A1510" s="5" t="s">
        <v>3021</v>
      </c>
      <c r="B1510" s="5" t="s">
        <v>3022</v>
      </c>
      <c r="C1510" s="4" t="s">
        <v>37</v>
      </c>
      <c r="D1510" s="6">
        <v>0.14</v>
      </c>
      <c r="E1510" s="6">
        <v>0.13</v>
      </c>
      <c r="F1510" s="4"/>
      <c r="G1510" s="7">
        <v>0.2</v>
      </c>
      <c r="H1510" s="7">
        <v>0.07</v>
      </c>
      <c r="I1510" s="7">
        <v>1.6142679E7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>
      <c r="A1511" s="5" t="s">
        <v>3023</v>
      </c>
      <c r="B1511" s="5" t="s">
        <v>3024</v>
      </c>
      <c r="C1511" s="4" t="s">
        <v>3025</v>
      </c>
      <c r="D1511" s="6">
        <v>0.05</v>
      </c>
      <c r="E1511" s="6">
        <v>0.05</v>
      </c>
      <c r="F1511" s="4"/>
      <c r="G1511" s="7">
        <v>0.09</v>
      </c>
      <c r="H1511" s="7">
        <v>0.02</v>
      </c>
      <c r="I1511" s="7">
        <v>1.562313E7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>
      <c r="A1512" s="5" t="s">
        <v>3023</v>
      </c>
      <c r="B1512" s="5" t="s">
        <v>3024</v>
      </c>
      <c r="C1512" s="4" t="s">
        <v>3025</v>
      </c>
      <c r="D1512" s="6">
        <v>0.05</v>
      </c>
      <c r="E1512" s="6">
        <v>0.05</v>
      </c>
      <c r="F1512" s="4"/>
      <c r="G1512" s="7">
        <v>0.09</v>
      </c>
      <c r="H1512" s="7">
        <v>0.02</v>
      </c>
      <c r="I1512" s="7">
        <v>1.562313E7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>
      <c r="A1513" s="8" t="s">
        <v>3023</v>
      </c>
      <c r="B1513" s="8" t="s">
        <v>3024</v>
      </c>
      <c r="C1513" s="9" t="s">
        <v>3025</v>
      </c>
      <c r="D1513" s="10">
        <v>0.05</v>
      </c>
      <c r="E1513" s="6">
        <v>0.05</v>
      </c>
      <c r="F1513" s="4"/>
      <c r="G1513" s="7">
        <v>0.09</v>
      </c>
      <c r="H1513" s="7">
        <v>0.02</v>
      </c>
      <c r="I1513" s="7">
        <v>1.562313E7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>
      <c r="A1514" s="5" t="s">
        <v>3026</v>
      </c>
      <c r="B1514" s="5" t="s">
        <v>3027</v>
      </c>
      <c r="C1514" s="4" t="s">
        <v>169</v>
      </c>
      <c r="D1514" s="6">
        <v>0.44</v>
      </c>
      <c r="E1514" s="6">
        <v>0.43</v>
      </c>
      <c r="F1514" s="7">
        <v>113.28</v>
      </c>
      <c r="G1514" s="7">
        <v>0.47</v>
      </c>
      <c r="H1514" s="7">
        <v>0.23</v>
      </c>
      <c r="I1514" s="7">
        <v>3.1729535E7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>
      <c r="A1515" s="5" t="s">
        <v>3028</v>
      </c>
      <c r="B1515" s="5" t="s">
        <v>3029</v>
      </c>
      <c r="C1515" s="4" t="s">
        <v>195</v>
      </c>
      <c r="D1515" s="6">
        <v>23.6</v>
      </c>
      <c r="E1515" s="6">
        <v>23.57</v>
      </c>
      <c r="F1515" s="7">
        <v>34.96</v>
      </c>
      <c r="G1515" s="7">
        <v>25.98</v>
      </c>
      <c r="H1515" s="7">
        <v>14.25</v>
      </c>
      <c r="I1515" s="7">
        <v>2.018524788E9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>
      <c r="A1516" s="5" t="s">
        <v>3030</v>
      </c>
      <c r="B1516" s="5" t="s">
        <v>3031</v>
      </c>
      <c r="C1516" s="4" t="s">
        <v>34</v>
      </c>
      <c r="D1516" s="6">
        <v>73.1</v>
      </c>
      <c r="E1516" s="6">
        <v>72.85</v>
      </c>
      <c r="F1516" s="4"/>
      <c r="G1516" s="7">
        <v>79.99</v>
      </c>
      <c r="H1516" s="7">
        <v>70.83</v>
      </c>
      <c r="I1516" s="7" t="e">
        <v>#N/A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>
      <c r="A1517" s="5" t="s">
        <v>3032</v>
      </c>
      <c r="B1517" s="5" t="s">
        <v>3033</v>
      </c>
      <c r="C1517" s="4" t="s">
        <v>244</v>
      </c>
      <c r="D1517" s="6">
        <v>0.61</v>
      </c>
      <c r="E1517" s="6">
        <v>0.6</v>
      </c>
      <c r="F1517" s="7">
        <v>10.18</v>
      </c>
      <c r="G1517" s="7">
        <v>0.9</v>
      </c>
      <c r="H1517" s="7">
        <v>0.53</v>
      </c>
      <c r="I1517" s="7">
        <v>1.38938134E8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>
      <c r="A1518" s="5" t="s">
        <v>3034</v>
      </c>
      <c r="B1518" s="5" t="s">
        <v>3035</v>
      </c>
      <c r="C1518" s="4" t="s">
        <v>34</v>
      </c>
      <c r="D1518" s="6">
        <v>55.97</v>
      </c>
      <c r="E1518" s="6">
        <v>55.94</v>
      </c>
      <c r="F1518" s="4"/>
      <c r="G1518" s="7">
        <v>58.71</v>
      </c>
      <c r="H1518" s="7">
        <v>40.69</v>
      </c>
      <c r="I1518" s="7" t="e">
        <v>#N/A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>
      <c r="A1519" s="5" t="s">
        <v>3036</v>
      </c>
      <c r="B1519" s="5" t="s">
        <v>3037</v>
      </c>
      <c r="C1519" s="4" t="s">
        <v>91</v>
      </c>
      <c r="D1519" s="6">
        <v>1.11</v>
      </c>
      <c r="E1519" s="6">
        <v>1.11</v>
      </c>
      <c r="F1519" s="7">
        <v>16.99</v>
      </c>
      <c r="G1519" s="7">
        <v>1.9</v>
      </c>
      <c r="H1519" s="7">
        <v>1.07</v>
      </c>
      <c r="I1519" s="7">
        <v>1.760195842E9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>
      <c r="A1520" s="5" t="s">
        <v>3038</v>
      </c>
      <c r="B1520" s="5" t="s">
        <v>3039</v>
      </c>
      <c r="C1520" s="4" t="s">
        <v>3040</v>
      </c>
      <c r="D1520" s="6">
        <v>151.11</v>
      </c>
      <c r="E1520" s="6">
        <v>150.2</v>
      </c>
      <c r="F1520" s="4"/>
      <c r="G1520" s="7">
        <v>159.36</v>
      </c>
      <c r="H1520" s="7">
        <v>59.93</v>
      </c>
      <c r="I1520" s="7" t="s">
        <v>3041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>
      <c r="A1521" s="5" t="s">
        <v>3042</v>
      </c>
      <c r="B1521" s="5" t="s">
        <v>3043</v>
      </c>
      <c r="C1521" s="4" t="s">
        <v>86</v>
      </c>
      <c r="D1521" s="6">
        <v>0.0</v>
      </c>
      <c r="E1521" s="6">
        <v>0.01</v>
      </c>
      <c r="F1521" s="4"/>
      <c r="G1521" s="7">
        <v>0.01</v>
      </c>
      <c r="H1521" s="7">
        <v>0.0</v>
      </c>
      <c r="I1521" s="7">
        <v>5476520.0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>
      <c r="A1522" s="5" t="s">
        <v>3044</v>
      </c>
      <c r="B1522" s="5" t="s">
        <v>3045</v>
      </c>
      <c r="C1522" s="4" t="s">
        <v>172</v>
      </c>
      <c r="D1522" s="6">
        <v>18.91</v>
      </c>
      <c r="E1522" s="6">
        <v>18.61</v>
      </c>
      <c r="F1522" s="7">
        <v>16.56</v>
      </c>
      <c r="G1522" s="7">
        <v>22.99</v>
      </c>
      <c r="H1522" s="7">
        <v>8.61</v>
      </c>
      <c r="I1522" s="7">
        <v>2.394751034E9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>
      <c r="A1523" s="5" t="s">
        <v>3046</v>
      </c>
      <c r="B1523" s="5" t="s">
        <v>3047</v>
      </c>
      <c r="C1523" s="4" t="s">
        <v>17</v>
      </c>
      <c r="D1523" s="6">
        <v>0.11</v>
      </c>
      <c r="E1523" s="6">
        <v>0.11</v>
      </c>
      <c r="F1523" s="4"/>
      <c r="G1523" s="7">
        <v>0.22</v>
      </c>
      <c r="H1523" s="7">
        <v>0.1</v>
      </c>
      <c r="I1523" s="7">
        <v>8098477.0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>
      <c r="A1524" s="5" t="s">
        <v>3048</v>
      </c>
      <c r="B1524" s="5" t="s">
        <v>3049</v>
      </c>
      <c r="C1524" s="4" t="s">
        <v>17</v>
      </c>
      <c r="D1524" s="6">
        <v>0.02</v>
      </c>
      <c r="E1524" s="6">
        <v>0.02</v>
      </c>
      <c r="F1524" s="4"/>
      <c r="G1524" s="7">
        <v>0.03</v>
      </c>
      <c r="H1524" s="7">
        <v>0.01</v>
      </c>
      <c r="I1524" s="7">
        <v>2.7837358E7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>
      <c r="A1525" s="5" t="s">
        <v>3050</v>
      </c>
      <c r="B1525" s="5" t="s">
        <v>3051</v>
      </c>
      <c r="C1525" s="4" t="s">
        <v>169</v>
      </c>
      <c r="D1525" s="6">
        <v>1.26</v>
      </c>
      <c r="E1525" s="6">
        <v>1.26</v>
      </c>
      <c r="F1525" s="7">
        <v>8.84</v>
      </c>
      <c r="G1525" s="7">
        <v>1.38</v>
      </c>
      <c r="H1525" s="7">
        <v>0.97</v>
      </c>
      <c r="I1525" s="7">
        <v>4.339358E7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>
      <c r="A1526" s="5" t="s">
        <v>3052</v>
      </c>
      <c r="B1526" s="5" t="s">
        <v>3053</v>
      </c>
      <c r="C1526" s="4" t="s">
        <v>169</v>
      </c>
      <c r="D1526" s="6">
        <v>2.98</v>
      </c>
      <c r="E1526" s="6">
        <v>2.96</v>
      </c>
      <c r="F1526" s="7">
        <v>9.21</v>
      </c>
      <c r="G1526" s="7">
        <v>3.08</v>
      </c>
      <c r="H1526" s="7">
        <v>1.45</v>
      </c>
      <c r="I1526" s="7">
        <v>1.463531351E9</v>
      </c>
      <c r="J1526" s="7">
        <v>0.004</v>
      </c>
      <c r="K1526" s="7">
        <v>0.004</v>
      </c>
      <c r="L1526" s="7">
        <v>0.004</v>
      </c>
      <c r="M1526" s="7">
        <v>0.002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>
      <c r="A1527" s="5" t="s">
        <v>3054</v>
      </c>
      <c r="B1527" s="5" t="s">
        <v>3055</v>
      </c>
      <c r="C1527" s="4" t="s">
        <v>172</v>
      </c>
      <c r="D1527" s="6">
        <v>0.02</v>
      </c>
      <c r="E1527" s="6">
        <v>0.02</v>
      </c>
      <c r="F1527" s="4"/>
      <c r="G1527" s="7">
        <v>0.05</v>
      </c>
      <c r="H1527" s="7">
        <v>0.02</v>
      </c>
      <c r="I1527" s="7">
        <v>7694452.0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>
      <c r="A1528" s="5" t="s">
        <v>3056</v>
      </c>
      <c r="B1528" s="5" t="s">
        <v>3057</v>
      </c>
      <c r="C1528" s="4" t="s">
        <v>37</v>
      </c>
      <c r="D1528" s="6">
        <v>0.13</v>
      </c>
      <c r="E1528" s="6">
        <v>0.13</v>
      </c>
      <c r="F1528" s="4"/>
      <c r="G1528" s="7">
        <v>0.2</v>
      </c>
      <c r="H1528" s="7">
        <v>0.1</v>
      </c>
      <c r="I1528" s="7">
        <v>1.1779538E7</v>
      </c>
      <c r="J1528" s="7">
        <v>0.003</v>
      </c>
      <c r="K1528" s="7">
        <v>0.003</v>
      </c>
      <c r="L1528" s="7">
        <v>0.016</v>
      </c>
      <c r="M1528" s="7">
        <v>0.003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>
      <c r="A1529" s="5" t="s">
        <v>3058</v>
      </c>
      <c r="B1529" s="5" t="s">
        <v>3059</v>
      </c>
      <c r="C1529" s="4" t="s">
        <v>76</v>
      </c>
      <c r="D1529" s="6">
        <v>0.03</v>
      </c>
      <c r="E1529" s="6">
        <v>0.03</v>
      </c>
      <c r="F1529" s="4"/>
      <c r="G1529" s="7">
        <v>0.04</v>
      </c>
      <c r="H1529" s="7">
        <v>0.02</v>
      </c>
      <c r="I1529" s="7">
        <v>7.1770544E7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>
      <c r="A1530" s="5" t="s">
        <v>3060</v>
      </c>
      <c r="B1530" s="5" t="s">
        <v>3061</v>
      </c>
      <c r="C1530" s="4" t="s">
        <v>1697</v>
      </c>
      <c r="D1530" s="6">
        <v>0.09</v>
      </c>
      <c r="E1530" s="6">
        <v>0.1</v>
      </c>
      <c r="F1530" s="4"/>
      <c r="G1530" s="7">
        <v>0.14</v>
      </c>
      <c r="H1530" s="7">
        <v>0.02</v>
      </c>
      <c r="I1530" s="7">
        <v>5.8740413E7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>
      <c r="A1531" s="5" t="s">
        <v>3062</v>
      </c>
      <c r="B1531" s="5" t="s">
        <v>3063</v>
      </c>
      <c r="C1531" s="4" t="s">
        <v>312</v>
      </c>
      <c r="D1531" s="6">
        <v>4.05</v>
      </c>
      <c r="E1531" s="6">
        <v>4.03</v>
      </c>
      <c r="F1531" s="7">
        <v>8.36</v>
      </c>
      <c r="G1531" s="7">
        <v>5.09</v>
      </c>
      <c r="H1531" s="7">
        <v>3.33</v>
      </c>
      <c r="I1531" s="7">
        <v>3.415655545E9</v>
      </c>
      <c r="J1531" s="7">
        <v>0.003</v>
      </c>
      <c r="K1531" s="7">
        <v>0.003</v>
      </c>
      <c r="L1531" s="7">
        <v>0.005</v>
      </c>
      <c r="M1531" s="7">
        <v>0.001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>
      <c r="A1532" s="5" t="s">
        <v>3064</v>
      </c>
      <c r="B1532" s="5" t="s">
        <v>3065</v>
      </c>
      <c r="C1532" s="4" t="s">
        <v>104</v>
      </c>
      <c r="D1532" s="6">
        <v>0.04</v>
      </c>
      <c r="E1532" s="6">
        <v>0.04</v>
      </c>
      <c r="F1532" s="4"/>
      <c r="G1532" s="7">
        <v>0.06</v>
      </c>
      <c r="H1532" s="7">
        <v>0.01</v>
      </c>
      <c r="I1532" s="7">
        <v>1.9964182E7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>
      <c r="A1533" s="5" t="s">
        <v>3066</v>
      </c>
      <c r="B1533" s="5" t="s">
        <v>3067</v>
      </c>
      <c r="C1533" s="4" t="s">
        <v>1008</v>
      </c>
      <c r="D1533" s="6">
        <v>6.87</v>
      </c>
      <c r="E1533" s="6">
        <v>6.86</v>
      </c>
      <c r="F1533" s="7">
        <v>17.08</v>
      </c>
      <c r="G1533" s="7">
        <v>8.26</v>
      </c>
      <c r="H1533" s="7">
        <v>5.4</v>
      </c>
      <c r="I1533" s="7">
        <v>3.352239802E9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>
      <c r="A1534" s="5" t="s">
        <v>3068</v>
      </c>
      <c r="B1534" s="5" t="s">
        <v>3069</v>
      </c>
      <c r="C1534" s="4" t="s">
        <v>37</v>
      </c>
      <c r="D1534" s="6">
        <v>0.9</v>
      </c>
      <c r="E1534" s="6">
        <v>0.84</v>
      </c>
      <c r="F1534" s="4"/>
      <c r="G1534" s="7">
        <v>0.92</v>
      </c>
      <c r="H1534" s="7">
        <v>0.42</v>
      </c>
      <c r="I1534" s="7">
        <v>3.883586297E9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>
      <c r="A1535" s="5" t="s">
        <v>3070</v>
      </c>
      <c r="B1535" s="5" t="s">
        <v>3071</v>
      </c>
      <c r="C1535" s="4" t="s">
        <v>37</v>
      </c>
      <c r="D1535" s="6">
        <v>0.07</v>
      </c>
      <c r="E1535" s="6">
        <v>0.06</v>
      </c>
      <c r="F1535" s="4"/>
      <c r="G1535" s="7">
        <v>0.19</v>
      </c>
      <c r="H1535" s="7">
        <v>0.04</v>
      </c>
      <c r="I1535" s="7">
        <v>2.412365E7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>
      <c r="A1536" s="5" t="s">
        <v>3072</v>
      </c>
      <c r="B1536" s="5" t="s">
        <v>3073</v>
      </c>
      <c r="C1536" s="4" t="s">
        <v>17</v>
      </c>
      <c r="D1536" s="6">
        <v>0.02</v>
      </c>
      <c r="E1536" s="6">
        <v>0.02</v>
      </c>
      <c r="F1536" s="4"/>
      <c r="G1536" s="7">
        <v>0.04</v>
      </c>
      <c r="H1536" s="7">
        <v>0.02</v>
      </c>
      <c r="I1536" s="7">
        <v>6370360.0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>
      <c r="A1537" s="5" t="s">
        <v>3074</v>
      </c>
      <c r="B1537" s="5" t="s">
        <v>3075</v>
      </c>
      <c r="C1537" s="4" t="s">
        <v>86</v>
      </c>
      <c r="D1537" s="6">
        <v>0.05</v>
      </c>
      <c r="E1537" s="6">
        <v>0.05</v>
      </c>
      <c r="F1537" s="7">
        <v>90.57</v>
      </c>
      <c r="G1537" s="7">
        <v>0.05</v>
      </c>
      <c r="H1537" s="7">
        <v>0.01</v>
      </c>
      <c r="I1537" s="7">
        <v>5.19467524E8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>
      <c r="A1538" s="5" t="s">
        <v>3076</v>
      </c>
      <c r="B1538" s="5" t="s">
        <v>3077</v>
      </c>
      <c r="C1538" s="4" t="s">
        <v>17</v>
      </c>
      <c r="D1538" s="6">
        <v>0.06</v>
      </c>
      <c r="E1538" s="6">
        <v>0.05</v>
      </c>
      <c r="F1538" s="4"/>
      <c r="G1538" s="7">
        <v>0.23</v>
      </c>
      <c r="H1538" s="7">
        <v>0.04</v>
      </c>
      <c r="I1538" s="7">
        <v>6.0684345E7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>
      <c r="A1539" s="5" t="s">
        <v>3078</v>
      </c>
      <c r="B1539" s="5" t="s">
        <v>3079</v>
      </c>
      <c r="C1539" s="4" t="s">
        <v>37</v>
      </c>
      <c r="D1539" s="6">
        <v>0.06</v>
      </c>
      <c r="E1539" s="6">
        <v>0.06</v>
      </c>
      <c r="F1539" s="4"/>
      <c r="G1539" s="7">
        <v>0.11</v>
      </c>
      <c r="H1539" s="7">
        <v>0.05</v>
      </c>
      <c r="I1539" s="7">
        <v>4.8958313E7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>
      <c r="A1540" s="5" t="s">
        <v>3080</v>
      </c>
      <c r="B1540" s="5" t="s">
        <v>3081</v>
      </c>
      <c r="C1540" s="4" t="s">
        <v>182</v>
      </c>
      <c r="D1540" s="6">
        <v>0.02</v>
      </c>
      <c r="E1540" s="6">
        <v>0.02</v>
      </c>
      <c r="F1540" s="4"/>
      <c r="G1540" s="7">
        <v>0.02</v>
      </c>
      <c r="H1540" s="7">
        <v>0.02</v>
      </c>
      <c r="I1540" s="7">
        <v>3236929.0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>
      <c r="A1541" s="5" t="s">
        <v>3082</v>
      </c>
      <c r="B1541" s="5" t="s">
        <v>3083</v>
      </c>
      <c r="C1541" s="4" t="s">
        <v>37</v>
      </c>
      <c r="D1541" s="6">
        <v>0.19</v>
      </c>
      <c r="E1541" s="6">
        <v>0.2</v>
      </c>
      <c r="F1541" s="4"/>
      <c r="G1541" s="7">
        <v>0.28</v>
      </c>
      <c r="H1541" s="7">
        <v>0.05</v>
      </c>
      <c r="I1541" s="7">
        <v>6.9662872E7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>
      <c r="A1542" s="5" t="s">
        <v>3084</v>
      </c>
      <c r="B1542" s="5" t="s">
        <v>3085</v>
      </c>
      <c r="C1542" s="4" t="s">
        <v>34</v>
      </c>
      <c r="D1542" s="6" t="e">
        <v>#N/A</v>
      </c>
      <c r="E1542" s="6" t="e">
        <v>#N/A</v>
      </c>
      <c r="F1542" s="4"/>
      <c r="G1542" s="4"/>
      <c r="H1542" s="4"/>
      <c r="I1542" s="7" t="e">
        <v>#N/A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>
      <c r="A1543" s="5" t="s">
        <v>3086</v>
      </c>
      <c r="B1543" s="5" t="s">
        <v>3087</v>
      </c>
      <c r="C1543" s="4" t="s">
        <v>34</v>
      </c>
      <c r="D1543" s="6">
        <v>1.27</v>
      </c>
      <c r="E1543" s="6">
        <v>1.27</v>
      </c>
      <c r="F1543" s="4"/>
      <c r="G1543" s="7">
        <v>1.27</v>
      </c>
      <c r="H1543" s="7">
        <v>0.96</v>
      </c>
      <c r="I1543" s="7" t="e">
        <v>#N/A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>
      <c r="A1544" s="5" t="s">
        <v>3088</v>
      </c>
      <c r="B1544" s="5" t="s">
        <v>3089</v>
      </c>
      <c r="C1544" s="4" t="s">
        <v>1008</v>
      </c>
      <c r="D1544" s="6">
        <v>1.41</v>
      </c>
      <c r="E1544" s="6">
        <v>1.41</v>
      </c>
      <c r="F1544" s="7">
        <v>18.13</v>
      </c>
      <c r="G1544" s="7">
        <v>1.66</v>
      </c>
      <c r="H1544" s="7">
        <v>1.26</v>
      </c>
      <c r="I1544" s="7">
        <v>1.305856E8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>
      <c r="A1545" s="5" t="s">
        <v>3090</v>
      </c>
      <c r="B1545" s="5" t="s">
        <v>3091</v>
      </c>
      <c r="C1545" s="4" t="s">
        <v>14</v>
      </c>
      <c r="D1545" s="6">
        <v>0.01</v>
      </c>
      <c r="E1545" s="6">
        <v>0.01</v>
      </c>
      <c r="F1545" s="4"/>
      <c r="G1545" s="7">
        <v>0.04</v>
      </c>
      <c r="H1545" s="7">
        <v>0.01</v>
      </c>
      <c r="I1545" s="7">
        <v>9564178.0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>
      <c r="A1546" s="5" t="s">
        <v>3092</v>
      </c>
      <c r="B1546" s="5" t="s">
        <v>3093</v>
      </c>
      <c r="C1546" s="4" t="s">
        <v>96</v>
      </c>
      <c r="D1546" s="6">
        <v>0.13</v>
      </c>
      <c r="E1546" s="6">
        <v>0.13</v>
      </c>
      <c r="F1546" s="4"/>
      <c r="G1546" s="7">
        <v>0.2</v>
      </c>
      <c r="H1546" s="7">
        <v>0.11</v>
      </c>
      <c r="I1546" s="7">
        <v>3.6024207E7</v>
      </c>
      <c r="J1546" s="7">
        <v>0.004</v>
      </c>
      <c r="K1546" s="7">
        <v>0.004</v>
      </c>
      <c r="L1546" s="7">
        <v>0.01</v>
      </c>
      <c r="M1546" s="7">
        <v>0.002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>
      <c r="A1547" s="5" t="s">
        <v>3094</v>
      </c>
      <c r="B1547" s="5" t="s">
        <v>3095</v>
      </c>
      <c r="C1547" s="4" t="s">
        <v>31</v>
      </c>
      <c r="D1547" s="6">
        <v>0.03</v>
      </c>
      <c r="E1547" s="6">
        <v>0.03</v>
      </c>
      <c r="F1547" s="4"/>
      <c r="G1547" s="7">
        <v>0.05</v>
      </c>
      <c r="H1547" s="7">
        <v>0.02</v>
      </c>
      <c r="I1547" s="7">
        <v>1.8138946E7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>
      <c r="A1548" s="5" t="s">
        <v>3096</v>
      </c>
      <c r="B1548" s="5" t="s">
        <v>3097</v>
      </c>
      <c r="C1548" s="4" t="s">
        <v>23</v>
      </c>
      <c r="D1548" s="6">
        <v>0.09</v>
      </c>
      <c r="E1548" s="6">
        <v>0.09</v>
      </c>
      <c r="F1548" s="4"/>
      <c r="G1548" s="7">
        <v>0.14</v>
      </c>
      <c r="H1548" s="7">
        <v>0.04</v>
      </c>
      <c r="I1548" s="7">
        <v>2.8386043E7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>
      <c r="A1549" s="5" t="s">
        <v>3098</v>
      </c>
      <c r="B1549" s="5" t="s">
        <v>3099</v>
      </c>
      <c r="C1549" s="4" t="s">
        <v>17</v>
      </c>
      <c r="D1549" s="6">
        <v>0.02</v>
      </c>
      <c r="E1549" s="6">
        <v>0.02</v>
      </c>
      <c r="F1549" s="4"/>
      <c r="G1549" s="7">
        <v>0.03</v>
      </c>
      <c r="H1549" s="7">
        <v>0.01</v>
      </c>
      <c r="I1549" s="7">
        <v>9084360.0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>
      <c r="A1550" s="5" t="s">
        <v>3100</v>
      </c>
      <c r="B1550" s="5" t="s">
        <v>3101</v>
      </c>
      <c r="C1550" s="4" t="s">
        <v>37</v>
      </c>
      <c r="D1550" s="6">
        <v>0.02</v>
      </c>
      <c r="E1550" s="6">
        <v>0.02</v>
      </c>
      <c r="F1550" s="4"/>
      <c r="G1550" s="7">
        <v>0.03</v>
      </c>
      <c r="H1550" s="7">
        <v>0.01</v>
      </c>
      <c r="I1550" s="7">
        <v>9366490.0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>
      <c r="A1551" s="5" t="s">
        <v>3102</v>
      </c>
      <c r="B1551" s="5" t="s">
        <v>3103</v>
      </c>
      <c r="C1551" s="4" t="s">
        <v>265</v>
      </c>
      <c r="D1551" s="6">
        <v>0.0</v>
      </c>
      <c r="E1551" s="6">
        <v>0.0</v>
      </c>
      <c r="F1551" s="4"/>
      <c r="G1551" s="7">
        <v>0.0</v>
      </c>
      <c r="H1551" s="7">
        <v>0.0</v>
      </c>
      <c r="I1551" s="7">
        <v>1090560.0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>
      <c r="A1552" s="5" t="s">
        <v>3104</v>
      </c>
      <c r="B1552" s="5" t="s">
        <v>3105</v>
      </c>
      <c r="C1552" s="4" t="s">
        <v>23</v>
      </c>
      <c r="D1552" s="6">
        <v>0.1</v>
      </c>
      <c r="E1552" s="6">
        <v>0.11</v>
      </c>
      <c r="F1552" s="4"/>
      <c r="G1552" s="7">
        <v>0.26</v>
      </c>
      <c r="H1552" s="7">
        <v>0.03</v>
      </c>
      <c r="I1552" s="7">
        <v>3.325757E7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>
      <c r="A1553" s="5" t="s">
        <v>3106</v>
      </c>
      <c r="B1553" s="5" t="s">
        <v>3107</v>
      </c>
      <c r="C1553" s="4" t="s">
        <v>169</v>
      </c>
      <c r="D1553" s="6">
        <v>0.38</v>
      </c>
      <c r="E1553" s="6">
        <v>0.38</v>
      </c>
      <c r="F1553" s="4"/>
      <c r="G1553" s="7">
        <v>0.47</v>
      </c>
      <c r="H1553" s="7">
        <v>0.23</v>
      </c>
      <c r="I1553" s="7">
        <v>4.9500471E7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>
      <c r="A1554" s="5" t="s">
        <v>3108</v>
      </c>
      <c r="B1554" s="5" t="s">
        <v>3109</v>
      </c>
      <c r="C1554" s="4" t="s">
        <v>86</v>
      </c>
      <c r="D1554" s="6">
        <v>0.03</v>
      </c>
      <c r="E1554" s="6">
        <v>0.03</v>
      </c>
      <c r="F1554" s="4"/>
      <c r="G1554" s="7">
        <v>0.05</v>
      </c>
      <c r="H1554" s="7">
        <v>0.02</v>
      </c>
      <c r="I1554" s="7">
        <v>1.265247E7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>
      <c r="A1555" s="5" t="s">
        <v>3110</v>
      </c>
      <c r="B1555" s="5" t="s">
        <v>3111</v>
      </c>
      <c r="C1555" s="4" t="s">
        <v>472</v>
      </c>
      <c r="D1555" s="6">
        <v>2.74</v>
      </c>
      <c r="E1555" s="6">
        <v>2.73</v>
      </c>
      <c r="F1555" s="7">
        <v>137.97</v>
      </c>
      <c r="G1555" s="7">
        <v>2.81</v>
      </c>
      <c r="H1555" s="7">
        <v>2.05</v>
      </c>
      <c r="I1555" s="7">
        <v>3.847121673E9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>
      <c r="A1556" s="5" t="s">
        <v>3112</v>
      </c>
      <c r="B1556" s="5" t="s">
        <v>3113</v>
      </c>
      <c r="C1556" s="4" t="s">
        <v>86</v>
      </c>
      <c r="D1556" s="6">
        <v>24.43</v>
      </c>
      <c r="E1556" s="6">
        <v>26.73</v>
      </c>
      <c r="F1556" s="7">
        <v>21.89</v>
      </c>
      <c r="G1556" s="7">
        <v>27.99</v>
      </c>
      <c r="H1556" s="7">
        <v>15.3</v>
      </c>
      <c r="I1556" s="7">
        <v>3.4952856486E10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>
      <c r="A1557" s="5" t="s">
        <v>3114</v>
      </c>
      <c r="B1557" s="5" t="s">
        <v>3115</v>
      </c>
      <c r="C1557" s="4" t="s">
        <v>3116</v>
      </c>
      <c r="D1557" s="6">
        <v>0.25</v>
      </c>
      <c r="E1557" s="6">
        <v>0.23</v>
      </c>
      <c r="F1557" s="4"/>
      <c r="G1557" s="7">
        <v>0.37</v>
      </c>
      <c r="H1557" s="7">
        <v>0.16</v>
      </c>
      <c r="I1557" s="7">
        <v>4.19269E7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>
      <c r="A1558" s="5" t="s">
        <v>3114</v>
      </c>
      <c r="B1558" s="5" t="s">
        <v>3115</v>
      </c>
      <c r="C1558" s="4" t="s">
        <v>3116</v>
      </c>
      <c r="D1558" s="6">
        <v>0.25</v>
      </c>
      <c r="E1558" s="6">
        <v>0.23</v>
      </c>
      <c r="F1558" s="4"/>
      <c r="G1558" s="7">
        <v>0.37</v>
      </c>
      <c r="H1558" s="7">
        <v>0.16</v>
      </c>
      <c r="I1558" s="7">
        <v>4.19269E7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>
      <c r="A1559" s="8" t="s">
        <v>3114</v>
      </c>
      <c r="B1559" s="8" t="s">
        <v>3115</v>
      </c>
      <c r="C1559" s="9" t="s">
        <v>3116</v>
      </c>
      <c r="D1559" s="10">
        <v>0.25</v>
      </c>
      <c r="E1559" s="6">
        <v>0.23</v>
      </c>
      <c r="F1559" s="4"/>
      <c r="G1559" s="7">
        <v>0.37</v>
      </c>
      <c r="H1559" s="7">
        <v>0.16</v>
      </c>
      <c r="I1559" s="7">
        <v>4.19269E7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>
      <c r="A1560" s="5" t="s">
        <v>3117</v>
      </c>
      <c r="B1560" s="5" t="s">
        <v>3118</v>
      </c>
      <c r="C1560" s="4" t="s">
        <v>23</v>
      </c>
      <c r="D1560" s="6">
        <v>0.01</v>
      </c>
      <c r="E1560" s="6">
        <v>0.01</v>
      </c>
      <c r="F1560" s="4"/>
      <c r="G1560" s="7">
        <v>0.06</v>
      </c>
      <c r="H1560" s="7">
        <v>0.01</v>
      </c>
      <c r="I1560" s="7">
        <v>2.5407732E7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>
      <c r="A1561" s="5" t="s">
        <v>3119</v>
      </c>
      <c r="B1561" s="5" t="s">
        <v>3120</v>
      </c>
      <c r="C1561" s="4" t="s">
        <v>37</v>
      </c>
      <c r="D1561" s="6">
        <v>0.0</v>
      </c>
      <c r="E1561" s="6">
        <v>0.0</v>
      </c>
      <c r="F1561" s="4"/>
      <c r="G1561" s="7">
        <v>0.01</v>
      </c>
      <c r="H1561" s="7">
        <v>0.0</v>
      </c>
      <c r="I1561" s="7">
        <v>3632710.0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>
      <c r="A1562" s="5" t="s">
        <v>3121</v>
      </c>
      <c r="B1562" s="5" t="s">
        <v>3122</v>
      </c>
      <c r="C1562" s="4" t="s">
        <v>17</v>
      </c>
      <c r="D1562" s="6">
        <v>0.03</v>
      </c>
      <c r="E1562" s="6">
        <v>0.03</v>
      </c>
      <c r="F1562" s="4"/>
      <c r="G1562" s="7">
        <v>0.08</v>
      </c>
      <c r="H1562" s="7">
        <v>0.02</v>
      </c>
      <c r="I1562" s="7">
        <v>2.95868738E8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>
      <c r="A1563" s="5" t="s">
        <v>3123</v>
      </c>
      <c r="B1563" s="5" t="s">
        <v>3124</v>
      </c>
      <c r="C1563" s="4" t="s">
        <v>96</v>
      </c>
      <c r="D1563" s="6">
        <v>0.13</v>
      </c>
      <c r="E1563" s="6">
        <v>0.13</v>
      </c>
      <c r="F1563" s="4"/>
      <c r="G1563" s="7">
        <v>0.23</v>
      </c>
      <c r="H1563" s="7">
        <v>0.12</v>
      </c>
      <c r="I1563" s="7">
        <v>1.944827E7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>
      <c r="A1564" s="5" t="s">
        <v>3125</v>
      </c>
      <c r="B1564" s="5" t="s">
        <v>3126</v>
      </c>
      <c r="C1564" s="4" t="s">
        <v>265</v>
      </c>
      <c r="D1564" s="6">
        <v>2.32</v>
      </c>
      <c r="E1564" s="6">
        <v>2.35</v>
      </c>
      <c r="F1564" s="4"/>
      <c r="G1564" s="7">
        <v>4.12</v>
      </c>
      <c r="H1564" s="7">
        <v>2.04</v>
      </c>
      <c r="I1564" s="7">
        <v>8.90707134E8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>
      <c r="A1565" s="5" t="s">
        <v>3127</v>
      </c>
      <c r="B1565" s="5" t="s">
        <v>3128</v>
      </c>
      <c r="C1565" s="4" t="s">
        <v>34</v>
      </c>
      <c r="D1565" s="6">
        <v>64.8</v>
      </c>
      <c r="E1565" s="6">
        <v>64.55</v>
      </c>
      <c r="F1565" s="4"/>
      <c r="G1565" s="7">
        <v>72.98</v>
      </c>
      <c r="H1565" s="7">
        <v>41.63</v>
      </c>
      <c r="I1565" s="7" t="e">
        <v>#N/A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>
      <c r="A1566" s="5" t="s">
        <v>3129</v>
      </c>
      <c r="B1566" s="5" t="s">
        <v>3130</v>
      </c>
      <c r="C1566" s="4" t="s">
        <v>172</v>
      </c>
      <c r="D1566" s="6">
        <v>0.08</v>
      </c>
      <c r="E1566" s="6">
        <v>0.09</v>
      </c>
      <c r="F1566" s="4"/>
      <c r="G1566" s="7">
        <v>0.18</v>
      </c>
      <c r="H1566" s="7">
        <v>0.08</v>
      </c>
      <c r="I1566" s="7">
        <v>5.8091442E7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>
      <c r="A1567" s="5" t="s">
        <v>3131</v>
      </c>
      <c r="B1567" s="5" t="s">
        <v>3132</v>
      </c>
      <c r="C1567" s="4" t="s">
        <v>17</v>
      </c>
      <c r="D1567" s="6">
        <v>0.77</v>
      </c>
      <c r="E1567" s="6">
        <v>0.79</v>
      </c>
      <c r="F1567" s="4"/>
      <c r="G1567" s="7">
        <v>1.71</v>
      </c>
      <c r="H1567" s="7">
        <v>0.22</v>
      </c>
      <c r="I1567" s="7">
        <v>2.51241987E8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>
      <c r="A1568" s="5" t="s">
        <v>3133</v>
      </c>
      <c r="B1568" s="5" t="s">
        <v>3134</v>
      </c>
      <c r="C1568" s="4" t="s">
        <v>3135</v>
      </c>
      <c r="D1568" s="6">
        <v>0.12</v>
      </c>
      <c r="E1568" s="6">
        <v>0.12</v>
      </c>
      <c r="F1568" s="4"/>
      <c r="G1568" s="7">
        <v>0.16</v>
      </c>
      <c r="H1568" s="7">
        <v>0.09</v>
      </c>
      <c r="I1568" s="7">
        <v>5.1421377E7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>
      <c r="A1569" s="5" t="s">
        <v>3136</v>
      </c>
      <c r="B1569" s="5" t="s">
        <v>3137</v>
      </c>
      <c r="C1569" s="4" t="s">
        <v>14</v>
      </c>
      <c r="D1569" s="6">
        <v>0.02</v>
      </c>
      <c r="E1569" s="6">
        <v>0.02</v>
      </c>
      <c r="F1569" s="4"/>
      <c r="G1569" s="7">
        <v>0.14</v>
      </c>
      <c r="H1569" s="7">
        <v>0.02</v>
      </c>
      <c r="I1569" s="7">
        <v>5898269.0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>
      <c r="A1570" s="5" t="s">
        <v>3138</v>
      </c>
      <c r="B1570" s="5" t="s">
        <v>3139</v>
      </c>
      <c r="C1570" s="4" t="s">
        <v>328</v>
      </c>
      <c r="D1570" s="6">
        <v>0.09</v>
      </c>
      <c r="E1570" s="6">
        <v>0.08</v>
      </c>
      <c r="F1570" s="4"/>
      <c r="G1570" s="7">
        <v>0.13</v>
      </c>
      <c r="H1570" s="7">
        <v>0.03</v>
      </c>
      <c r="I1570" s="7">
        <v>8.8097485E7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>
      <c r="A1571" s="5" t="s">
        <v>3140</v>
      </c>
      <c r="B1571" s="5" t="s">
        <v>3141</v>
      </c>
      <c r="C1571" s="4" t="s">
        <v>20</v>
      </c>
      <c r="D1571" s="6">
        <v>0.42</v>
      </c>
      <c r="E1571" s="6">
        <v>0.42</v>
      </c>
      <c r="F1571" s="4"/>
      <c r="G1571" s="7">
        <v>1.01</v>
      </c>
      <c r="H1571" s="7">
        <v>0.33</v>
      </c>
      <c r="I1571" s="7">
        <v>2.54055245E8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>
      <c r="A1572" s="5" t="s">
        <v>3142</v>
      </c>
      <c r="B1572" s="5" t="s">
        <v>3143</v>
      </c>
      <c r="C1572" s="4" t="s">
        <v>86</v>
      </c>
      <c r="D1572" s="6">
        <v>0.09</v>
      </c>
      <c r="E1572" s="6">
        <v>0.09</v>
      </c>
      <c r="F1572" s="4"/>
      <c r="G1572" s="7">
        <v>0.09</v>
      </c>
      <c r="H1572" s="7">
        <v>0.08</v>
      </c>
      <c r="I1572" s="7">
        <v>8.372256E7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>
      <c r="A1573" s="5" t="s">
        <v>3144</v>
      </c>
      <c r="B1573" s="5" t="s">
        <v>3145</v>
      </c>
      <c r="C1573" s="4" t="s">
        <v>121</v>
      </c>
      <c r="D1573" s="6">
        <v>5.1</v>
      </c>
      <c r="E1573" s="6">
        <v>5.15</v>
      </c>
      <c r="F1573" s="7">
        <v>85.31</v>
      </c>
      <c r="G1573" s="7">
        <v>5.6</v>
      </c>
      <c r="H1573" s="7">
        <v>2.21</v>
      </c>
      <c r="I1573" s="7">
        <v>2.343281146E9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>
      <c r="A1574" s="5" t="s">
        <v>3146</v>
      </c>
      <c r="B1574" s="5" t="s">
        <v>3147</v>
      </c>
      <c r="C1574" s="4" t="s">
        <v>169</v>
      </c>
      <c r="D1574" s="6">
        <v>25.83</v>
      </c>
      <c r="E1574" s="6">
        <v>25.67</v>
      </c>
      <c r="F1574" s="7">
        <v>54.41</v>
      </c>
      <c r="G1574" s="7">
        <v>38.3</v>
      </c>
      <c r="H1574" s="7">
        <v>19.96</v>
      </c>
      <c r="I1574" s="7">
        <v>6.337930328E9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>
      <c r="A1575" s="5" t="s">
        <v>3148</v>
      </c>
      <c r="B1575" s="5" t="s">
        <v>3149</v>
      </c>
      <c r="C1575" s="4" t="s">
        <v>17</v>
      </c>
      <c r="D1575" s="6">
        <v>0.01</v>
      </c>
      <c r="E1575" s="6">
        <v>0.01</v>
      </c>
      <c r="F1575" s="4"/>
      <c r="G1575" s="7">
        <v>0.02</v>
      </c>
      <c r="H1575" s="7">
        <v>0.01</v>
      </c>
      <c r="I1575" s="7">
        <v>1.3030852E7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>
      <c r="A1576" s="5" t="s">
        <v>3150</v>
      </c>
      <c r="B1576" s="5" t="s">
        <v>3151</v>
      </c>
      <c r="C1576" s="4" t="s">
        <v>519</v>
      </c>
      <c r="D1576" s="6">
        <v>44.4</v>
      </c>
      <c r="E1576" s="6">
        <v>45.07</v>
      </c>
      <c r="F1576" s="4"/>
      <c r="G1576" s="7">
        <v>57.16</v>
      </c>
      <c r="H1576" s="7">
        <v>43.35</v>
      </c>
      <c r="I1576" s="7">
        <v>1.5364154293E10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>
      <c r="A1577" s="5" t="s">
        <v>3152</v>
      </c>
      <c r="B1577" s="5" t="s">
        <v>3153</v>
      </c>
      <c r="C1577" s="4" t="s">
        <v>1457</v>
      </c>
      <c r="D1577" s="6">
        <v>0.33</v>
      </c>
      <c r="E1577" s="6">
        <v>0.3</v>
      </c>
      <c r="F1577" s="4"/>
      <c r="G1577" s="7">
        <v>0.44</v>
      </c>
      <c r="H1577" s="7">
        <v>0.1</v>
      </c>
      <c r="I1577" s="7">
        <v>7.3411703E7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>
      <c r="A1578" s="5" t="s">
        <v>3154</v>
      </c>
      <c r="B1578" s="5" t="s">
        <v>3155</v>
      </c>
      <c r="C1578" s="4" t="s">
        <v>26</v>
      </c>
      <c r="D1578" s="6">
        <v>14.3</v>
      </c>
      <c r="E1578" s="6">
        <v>14.0</v>
      </c>
      <c r="F1578" s="4"/>
      <c r="G1578" s="7">
        <v>15.21</v>
      </c>
      <c r="H1578" s="7">
        <v>6.44</v>
      </c>
      <c r="I1578" s="7">
        <v>8.559388241E9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>
      <c r="A1579" s="5" t="s">
        <v>3154</v>
      </c>
      <c r="B1579" s="5" t="s">
        <v>3155</v>
      </c>
      <c r="C1579" s="4" t="s">
        <v>26</v>
      </c>
      <c r="D1579" s="6">
        <v>14.3</v>
      </c>
      <c r="E1579" s="6">
        <v>14.0</v>
      </c>
      <c r="F1579" s="4"/>
      <c r="G1579" s="7">
        <v>15.21</v>
      </c>
      <c r="H1579" s="7">
        <v>6.44</v>
      </c>
      <c r="I1579" s="7">
        <v>8.559388241E9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>
      <c r="A1580" s="8" t="s">
        <v>3154</v>
      </c>
      <c r="B1580" s="8" t="s">
        <v>3155</v>
      </c>
      <c r="C1580" s="9" t="s">
        <v>26</v>
      </c>
      <c r="D1580" s="10">
        <v>14.3</v>
      </c>
      <c r="E1580" s="6">
        <v>14.0</v>
      </c>
      <c r="F1580" s="4"/>
      <c r="G1580" s="7">
        <v>15.21</v>
      </c>
      <c r="H1580" s="7">
        <v>6.44</v>
      </c>
      <c r="I1580" s="7">
        <v>8.559388241E9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>
      <c r="A1581" s="5" t="s">
        <v>3156</v>
      </c>
      <c r="B1581" s="5" t="s">
        <v>3157</v>
      </c>
      <c r="C1581" s="4" t="s">
        <v>14</v>
      </c>
      <c r="D1581" s="6">
        <v>1.84</v>
      </c>
      <c r="E1581" s="6">
        <v>1.8</v>
      </c>
      <c r="F1581" s="4"/>
      <c r="G1581" s="7">
        <v>6.6</v>
      </c>
      <c r="H1581" s="7">
        <v>1.72</v>
      </c>
      <c r="I1581" s="7">
        <v>6.12390158E8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>
      <c r="A1582" s="5" t="s">
        <v>3158</v>
      </c>
      <c r="B1582" s="5" t="s">
        <v>3159</v>
      </c>
      <c r="C1582" s="4" t="s">
        <v>86</v>
      </c>
      <c r="D1582" s="6">
        <v>0.07</v>
      </c>
      <c r="E1582" s="6">
        <v>0.07</v>
      </c>
      <c r="F1582" s="4"/>
      <c r="G1582" s="7">
        <v>0.1</v>
      </c>
      <c r="H1582" s="7">
        <v>0.04</v>
      </c>
      <c r="I1582" s="7">
        <v>4.2866925E7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>
      <c r="A1583" s="5" t="s">
        <v>3160</v>
      </c>
      <c r="B1583" s="5" t="s">
        <v>3161</v>
      </c>
      <c r="C1583" s="4" t="s">
        <v>23</v>
      </c>
      <c r="D1583" s="6">
        <v>0.15</v>
      </c>
      <c r="E1583" s="6">
        <v>0.16</v>
      </c>
      <c r="F1583" s="4"/>
      <c r="G1583" s="7">
        <v>0.32</v>
      </c>
      <c r="H1583" s="7">
        <v>0.13</v>
      </c>
      <c r="I1583" s="7">
        <v>1.0884918E7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>
      <c r="A1584" s="5" t="s">
        <v>3162</v>
      </c>
      <c r="B1584" s="5" t="s">
        <v>3163</v>
      </c>
      <c r="C1584" s="4" t="s">
        <v>172</v>
      </c>
      <c r="D1584" s="6">
        <v>0.14</v>
      </c>
      <c r="E1584" s="6">
        <v>0.14</v>
      </c>
      <c r="F1584" s="4"/>
      <c r="G1584" s="7">
        <v>0.16</v>
      </c>
      <c r="H1584" s="7">
        <v>0.06</v>
      </c>
      <c r="I1584" s="7">
        <v>4.243068E7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>
      <c r="A1585" s="5" t="s">
        <v>3164</v>
      </c>
      <c r="B1585" s="5" t="s">
        <v>3165</v>
      </c>
      <c r="C1585" s="4" t="s">
        <v>182</v>
      </c>
      <c r="D1585" s="6">
        <v>12.54</v>
      </c>
      <c r="E1585" s="6">
        <v>12.53</v>
      </c>
      <c r="F1585" s="4"/>
      <c r="G1585" s="7">
        <v>18.22</v>
      </c>
      <c r="H1585" s="7">
        <v>9.4</v>
      </c>
      <c r="I1585" s="7">
        <v>8.036265245E9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>
      <c r="A1586" s="5" t="s">
        <v>3166</v>
      </c>
      <c r="B1586" s="5" t="s">
        <v>3167</v>
      </c>
      <c r="C1586" s="4" t="s">
        <v>17</v>
      </c>
      <c r="D1586" s="6">
        <v>0.03</v>
      </c>
      <c r="E1586" s="6">
        <v>0.03</v>
      </c>
      <c r="F1586" s="4"/>
      <c r="G1586" s="7">
        <v>0.07</v>
      </c>
      <c r="H1586" s="7">
        <v>0.03</v>
      </c>
      <c r="I1586" s="7">
        <v>5821545.0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>
      <c r="A1587" s="5" t="s">
        <v>3168</v>
      </c>
      <c r="B1587" s="5" t="s">
        <v>3169</v>
      </c>
      <c r="C1587" s="4" t="s">
        <v>23</v>
      </c>
      <c r="D1587" s="6">
        <v>1.19</v>
      </c>
      <c r="E1587" s="6">
        <v>1.12</v>
      </c>
      <c r="F1587" s="4"/>
      <c r="G1587" s="7">
        <v>1.25</v>
      </c>
      <c r="H1587" s="7">
        <v>0.07</v>
      </c>
      <c r="I1587" s="7">
        <v>2.88202177E8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>
      <c r="A1588" s="5" t="s">
        <v>3170</v>
      </c>
      <c r="B1588" s="5" t="s">
        <v>3171</v>
      </c>
      <c r="C1588" s="4" t="s">
        <v>126</v>
      </c>
      <c r="D1588" s="6">
        <v>0.19</v>
      </c>
      <c r="E1588" s="6">
        <v>0.18</v>
      </c>
      <c r="F1588" s="4"/>
      <c r="G1588" s="7">
        <v>0.23</v>
      </c>
      <c r="H1588" s="7">
        <v>0.16</v>
      </c>
      <c r="I1588" s="7">
        <v>1.062421E8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>
      <c r="A1589" s="5" t="s">
        <v>3172</v>
      </c>
      <c r="B1589" s="5" t="s">
        <v>3173</v>
      </c>
      <c r="C1589" s="4" t="s">
        <v>519</v>
      </c>
      <c r="D1589" s="6">
        <v>0.98</v>
      </c>
      <c r="E1589" s="6">
        <v>1.0</v>
      </c>
      <c r="F1589" s="4"/>
      <c r="G1589" s="7">
        <v>1.14</v>
      </c>
      <c r="H1589" s="7">
        <v>0.88</v>
      </c>
      <c r="I1589" s="7">
        <v>2.174751E8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>
      <c r="A1590" s="5" t="s">
        <v>3174</v>
      </c>
      <c r="B1590" s="5" t="s">
        <v>3175</v>
      </c>
      <c r="C1590" s="4" t="s">
        <v>60</v>
      </c>
      <c r="D1590" s="6">
        <v>0.08</v>
      </c>
      <c r="E1590" s="6">
        <v>0.08</v>
      </c>
      <c r="F1590" s="4"/>
      <c r="G1590" s="7">
        <v>0.1</v>
      </c>
      <c r="H1590" s="7">
        <v>0.05</v>
      </c>
      <c r="I1590" s="7">
        <v>1898287.0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>
      <c r="A1591" s="5" t="s">
        <v>3176</v>
      </c>
      <c r="B1591" s="5" t="s">
        <v>3177</v>
      </c>
      <c r="C1591" s="4" t="s">
        <v>17</v>
      </c>
      <c r="D1591" s="6">
        <v>0.02</v>
      </c>
      <c r="E1591" s="6">
        <v>0.02</v>
      </c>
      <c r="F1591" s="4"/>
      <c r="G1591" s="7">
        <v>0.04</v>
      </c>
      <c r="H1591" s="7">
        <v>0.01</v>
      </c>
      <c r="I1591" s="7">
        <v>5559940.0</v>
      </c>
      <c r="J1591" s="7">
        <v>0.002</v>
      </c>
      <c r="K1591" s="7">
        <v>0.002</v>
      </c>
      <c r="L1591" s="7">
        <v>0.003</v>
      </c>
      <c r="M1591" s="7">
        <v>0.001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>
      <c r="A1592" s="5" t="s">
        <v>3178</v>
      </c>
      <c r="B1592" s="5" t="s">
        <v>3179</v>
      </c>
      <c r="C1592" s="4" t="s">
        <v>872</v>
      </c>
      <c r="D1592" s="6">
        <v>1.43</v>
      </c>
      <c r="E1592" s="6">
        <v>1.46</v>
      </c>
      <c r="F1592" s="7">
        <v>1.17</v>
      </c>
      <c r="G1592" s="7">
        <v>1.95</v>
      </c>
      <c r="H1592" s="7">
        <v>1.19</v>
      </c>
      <c r="I1592" s="7">
        <v>4.13601601E8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>
      <c r="A1593" s="5" t="s">
        <v>3180</v>
      </c>
      <c r="B1593" s="5" t="s">
        <v>3181</v>
      </c>
      <c r="C1593" s="4" t="s">
        <v>86</v>
      </c>
      <c r="D1593" s="6">
        <v>1.54</v>
      </c>
      <c r="E1593" s="6">
        <v>1.53</v>
      </c>
      <c r="F1593" s="7">
        <v>15.71</v>
      </c>
      <c r="G1593" s="7">
        <v>1.58</v>
      </c>
      <c r="H1593" s="7">
        <v>0.62</v>
      </c>
      <c r="I1593" s="7">
        <v>2.959668946E9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>
      <c r="A1594" s="5" t="s">
        <v>3182</v>
      </c>
      <c r="B1594" s="5" t="s">
        <v>3183</v>
      </c>
      <c r="C1594" s="4" t="s">
        <v>162</v>
      </c>
      <c r="D1594" s="6">
        <v>0.8</v>
      </c>
      <c r="E1594" s="6">
        <v>0.8</v>
      </c>
      <c r="F1594" s="4"/>
      <c r="G1594" s="7">
        <v>0.81</v>
      </c>
      <c r="H1594" s="7">
        <v>0.49</v>
      </c>
      <c r="I1594" s="7">
        <v>6.713052E8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>
      <c r="A1595" s="5" t="s">
        <v>3184</v>
      </c>
      <c r="B1595" s="5" t="s">
        <v>3185</v>
      </c>
      <c r="C1595" s="4" t="s">
        <v>60</v>
      </c>
      <c r="D1595" s="6">
        <v>1.12</v>
      </c>
      <c r="E1595" s="6">
        <v>1.09</v>
      </c>
      <c r="F1595" s="4"/>
      <c r="G1595" s="7">
        <v>1.79</v>
      </c>
      <c r="H1595" s="7">
        <v>0.96</v>
      </c>
      <c r="I1595" s="7">
        <v>3.02470897E8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>
      <c r="A1596" s="5" t="s">
        <v>3186</v>
      </c>
      <c r="B1596" s="5" t="s">
        <v>3187</v>
      </c>
      <c r="C1596" s="4" t="s">
        <v>182</v>
      </c>
      <c r="D1596" s="6">
        <v>16.48</v>
      </c>
      <c r="E1596" s="6">
        <v>16.51</v>
      </c>
      <c r="F1596" s="7">
        <v>44.99</v>
      </c>
      <c r="G1596" s="7">
        <v>23.1</v>
      </c>
      <c r="H1596" s="7">
        <v>13.44</v>
      </c>
      <c r="I1596" s="7">
        <v>1.580095434E9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>
      <c r="A1597" s="5" t="s">
        <v>3188</v>
      </c>
      <c r="B1597" s="5" t="s">
        <v>3189</v>
      </c>
      <c r="C1597" s="4" t="s">
        <v>37</v>
      </c>
      <c r="D1597" s="6">
        <v>0.26</v>
      </c>
      <c r="E1597" s="6">
        <v>0.24</v>
      </c>
      <c r="F1597" s="4"/>
      <c r="G1597" s="7">
        <v>0.27</v>
      </c>
      <c r="H1597" s="7">
        <v>0.02</v>
      </c>
      <c r="I1597" s="7">
        <v>4.2456555E7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>
      <c r="A1598" s="5" t="s">
        <v>3190</v>
      </c>
      <c r="B1598" s="5" t="s">
        <v>3191</v>
      </c>
      <c r="C1598" s="4" t="s">
        <v>86</v>
      </c>
      <c r="D1598" s="6">
        <v>0.05</v>
      </c>
      <c r="E1598" s="6">
        <v>0.05</v>
      </c>
      <c r="F1598" s="4"/>
      <c r="G1598" s="7">
        <v>0.14</v>
      </c>
      <c r="H1598" s="7">
        <v>0.03</v>
      </c>
      <c r="I1598" s="7">
        <v>5008742.0</v>
      </c>
      <c r="J1598" s="7">
        <v>16.49</v>
      </c>
      <c r="K1598" s="7">
        <v>16.61</v>
      </c>
      <c r="L1598" s="7">
        <v>18.63</v>
      </c>
      <c r="M1598" s="7">
        <v>9.15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>
      <c r="A1599" s="5" t="s">
        <v>3192</v>
      </c>
      <c r="B1599" s="5" t="s">
        <v>3193</v>
      </c>
      <c r="C1599" s="4" t="s">
        <v>37</v>
      </c>
      <c r="D1599" s="6">
        <v>0.08</v>
      </c>
      <c r="E1599" s="6">
        <v>0.09</v>
      </c>
      <c r="F1599" s="4"/>
      <c r="G1599" s="7">
        <v>0.13</v>
      </c>
      <c r="H1599" s="7">
        <v>0.02</v>
      </c>
      <c r="I1599" s="7">
        <v>1.5764571E7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>
      <c r="A1600" s="5" t="s">
        <v>3194</v>
      </c>
      <c r="B1600" s="5" t="s">
        <v>3195</v>
      </c>
      <c r="C1600" s="4" t="s">
        <v>782</v>
      </c>
      <c r="D1600" s="6">
        <v>0.06</v>
      </c>
      <c r="E1600" s="6">
        <v>0.06</v>
      </c>
      <c r="F1600" s="4"/>
      <c r="G1600" s="7">
        <v>0.13</v>
      </c>
      <c r="H1600" s="7">
        <v>0.06</v>
      </c>
      <c r="I1600" s="7">
        <v>1.143837E7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>
      <c r="A1601" s="5" t="s">
        <v>3196</v>
      </c>
      <c r="B1601" s="5" t="s">
        <v>3197</v>
      </c>
      <c r="C1601" s="4" t="s">
        <v>447</v>
      </c>
      <c r="D1601" s="6">
        <v>0.02</v>
      </c>
      <c r="E1601" s="6">
        <v>0.01</v>
      </c>
      <c r="F1601" s="4"/>
      <c r="G1601" s="7">
        <v>0.02</v>
      </c>
      <c r="H1601" s="7">
        <v>0.01</v>
      </c>
      <c r="I1601" s="7">
        <v>3.7040189E7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>
      <c r="A1602" s="5" t="s">
        <v>3198</v>
      </c>
      <c r="B1602" s="5" t="s">
        <v>3199</v>
      </c>
      <c r="C1602" s="4" t="s">
        <v>86</v>
      </c>
      <c r="D1602" s="6">
        <v>0.04</v>
      </c>
      <c r="E1602" s="6">
        <v>0.04</v>
      </c>
      <c r="F1602" s="4"/>
      <c r="G1602" s="7">
        <v>0.05</v>
      </c>
      <c r="H1602" s="7">
        <v>0.02</v>
      </c>
      <c r="I1602" s="7">
        <v>3.6323422E7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>
      <c r="A1603" s="5" t="s">
        <v>3200</v>
      </c>
      <c r="B1603" s="5" t="s">
        <v>3201</v>
      </c>
      <c r="C1603" s="4" t="s">
        <v>501</v>
      </c>
      <c r="D1603" s="6">
        <v>0.14</v>
      </c>
      <c r="E1603" s="6">
        <v>0.14</v>
      </c>
      <c r="F1603" s="4"/>
      <c r="G1603" s="7">
        <v>0.37</v>
      </c>
      <c r="H1603" s="7">
        <v>0.08</v>
      </c>
      <c r="I1603" s="7">
        <v>2.4173829E7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>
      <c r="A1604" s="5" t="s">
        <v>3202</v>
      </c>
      <c r="B1604" s="5" t="s">
        <v>3203</v>
      </c>
      <c r="C1604" s="4" t="s">
        <v>76</v>
      </c>
      <c r="D1604" s="6">
        <v>0.0</v>
      </c>
      <c r="E1604" s="6">
        <v>0.01</v>
      </c>
      <c r="F1604" s="7">
        <v>18.18</v>
      </c>
      <c r="G1604" s="7">
        <v>0.01</v>
      </c>
      <c r="H1604" s="7">
        <v>0.0</v>
      </c>
      <c r="I1604" s="7">
        <v>9590020.0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>
      <c r="A1605" s="5" t="s">
        <v>3204</v>
      </c>
      <c r="B1605" s="5" t="s">
        <v>3205</v>
      </c>
      <c r="C1605" s="4" t="s">
        <v>169</v>
      </c>
      <c r="D1605" s="6">
        <v>0.19</v>
      </c>
      <c r="E1605" s="6">
        <v>0.19</v>
      </c>
      <c r="F1605" s="7">
        <v>2.18</v>
      </c>
      <c r="G1605" s="7">
        <v>0.23</v>
      </c>
      <c r="H1605" s="7">
        <v>0.13</v>
      </c>
      <c r="I1605" s="7">
        <v>2895110.0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>
      <c r="A1606" s="5" t="s">
        <v>3206</v>
      </c>
      <c r="B1606" s="5" t="s">
        <v>3207</v>
      </c>
      <c r="C1606" s="4" t="s">
        <v>159</v>
      </c>
      <c r="D1606" s="6">
        <v>0.51</v>
      </c>
      <c r="E1606" s="6">
        <v>0.49</v>
      </c>
      <c r="F1606" s="7">
        <v>5.07</v>
      </c>
      <c r="G1606" s="7">
        <v>1.47</v>
      </c>
      <c r="H1606" s="7">
        <v>0.48</v>
      </c>
      <c r="I1606" s="7">
        <v>1.169661E8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>
      <c r="A1607" s="5" t="s">
        <v>3208</v>
      </c>
      <c r="B1607" s="5" t="s">
        <v>3209</v>
      </c>
      <c r="C1607" s="4" t="s">
        <v>60</v>
      </c>
      <c r="D1607" s="6">
        <v>0.1</v>
      </c>
      <c r="E1607" s="6">
        <v>0.1</v>
      </c>
      <c r="F1607" s="4"/>
      <c r="G1607" s="7">
        <v>0.17</v>
      </c>
      <c r="H1607" s="7">
        <v>0.08</v>
      </c>
      <c r="I1607" s="7">
        <v>1.04417701E8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>
      <c r="A1608" s="5" t="s">
        <v>3210</v>
      </c>
      <c r="B1608" s="5" t="s">
        <v>3211</v>
      </c>
      <c r="C1608" s="4" t="s">
        <v>86</v>
      </c>
      <c r="D1608" s="6">
        <v>0.07</v>
      </c>
      <c r="E1608" s="6">
        <v>0.07</v>
      </c>
      <c r="F1608" s="4"/>
      <c r="G1608" s="7">
        <v>0.07</v>
      </c>
      <c r="H1608" s="7">
        <v>0.01</v>
      </c>
      <c r="I1608" s="7">
        <v>6309779.0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>
      <c r="A1609" s="5" t="s">
        <v>3212</v>
      </c>
      <c r="B1609" s="5" t="s">
        <v>3213</v>
      </c>
      <c r="C1609" s="4" t="s">
        <v>1666</v>
      </c>
      <c r="D1609" s="6">
        <v>0.02</v>
      </c>
      <c r="E1609" s="6">
        <v>0.02</v>
      </c>
      <c r="F1609" s="4"/>
      <c r="G1609" s="7">
        <v>0.07</v>
      </c>
      <c r="H1609" s="7">
        <v>0.01</v>
      </c>
      <c r="I1609" s="7">
        <v>3195890.0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>
      <c r="A1610" s="5" t="s">
        <v>3214</v>
      </c>
      <c r="B1610" s="5" t="s">
        <v>3215</v>
      </c>
      <c r="C1610" s="4" t="s">
        <v>397</v>
      </c>
      <c r="D1610" s="6">
        <v>0.01</v>
      </c>
      <c r="E1610" s="6">
        <v>0.01</v>
      </c>
      <c r="F1610" s="4"/>
      <c r="G1610" s="7">
        <v>0.02</v>
      </c>
      <c r="H1610" s="7">
        <v>0.0</v>
      </c>
      <c r="I1610" s="7">
        <v>4325860.0</v>
      </c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>
      <c r="A1611" s="5" t="s">
        <v>3216</v>
      </c>
      <c r="B1611" s="5" t="s">
        <v>3217</v>
      </c>
      <c r="C1611" s="4" t="s">
        <v>14</v>
      </c>
      <c r="D1611" s="6">
        <v>0.04</v>
      </c>
      <c r="E1611" s="6">
        <v>0.04</v>
      </c>
      <c r="F1611" s="4"/>
      <c r="G1611" s="7">
        <v>0.05</v>
      </c>
      <c r="H1611" s="7">
        <v>0.01</v>
      </c>
      <c r="I1611" s="7">
        <v>2.8210879E7</v>
      </c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>
      <c r="A1612" s="5" t="s">
        <v>3218</v>
      </c>
      <c r="B1612" s="5" t="s">
        <v>3219</v>
      </c>
      <c r="C1612" s="4" t="s">
        <v>17</v>
      </c>
      <c r="D1612" s="6">
        <v>0.05</v>
      </c>
      <c r="E1612" s="6">
        <v>0.05</v>
      </c>
      <c r="F1612" s="4"/>
      <c r="G1612" s="7">
        <v>0.19</v>
      </c>
      <c r="H1612" s="7">
        <v>0.03</v>
      </c>
      <c r="I1612" s="7">
        <v>5862940.0</v>
      </c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>
      <c r="A1613" s="5" t="s">
        <v>3220</v>
      </c>
      <c r="B1613" s="5" t="s">
        <v>3221</v>
      </c>
      <c r="C1613" s="4" t="s">
        <v>17</v>
      </c>
      <c r="D1613" s="6">
        <v>0.02</v>
      </c>
      <c r="E1613" s="6">
        <v>0.02</v>
      </c>
      <c r="F1613" s="4"/>
      <c r="G1613" s="7">
        <v>0.03</v>
      </c>
      <c r="H1613" s="7">
        <v>0.01</v>
      </c>
      <c r="I1613" s="7">
        <v>7310603.0</v>
      </c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>
      <c r="A1614" s="5" t="s">
        <v>3222</v>
      </c>
      <c r="B1614" s="5" t="s">
        <v>3223</v>
      </c>
      <c r="C1614" s="4" t="s">
        <v>76</v>
      </c>
      <c r="D1614" s="6">
        <v>0.42</v>
      </c>
      <c r="E1614" s="6">
        <v>0.44</v>
      </c>
      <c r="F1614" s="4"/>
      <c r="G1614" s="7">
        <v>0.52</v>
      </c>
      <c r="H1614" s="7">
        <v>0.2</v>
      </c>
      <c r="I1614" s="7">
        <v>1.92063116E8</v>
      </c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>
      <c r="A1615" s="5" t="s">
        <v>3224</v>
      </c>
      <c r="B1615" s="5" t="s">
        <v>3225</v>
      </c>
      <c r="C1615" s="4" t="s">
        <v>96</v>
      </c>
      <c r="D1615" s="6">
        <v>0.01</v>
      </c>
      <c r="E1615" s="6">
        <v>0.01</v>
      </c>
      <c r="F1615" s="4"/>
      <c r="G1615" s="7">
        <v>0.02</v>
      </c>
      <c r="H1615" s="7">
        <v>0.0</v>
      </c>
      <c r="I1615" s="7">
        <v>9427949.0</v>
      </c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>
      <c r="A1616" s="5" t="s">
        <v>3226</v>
      </c>
      <c r="B1616" s="5" t="s">
        <v>3227</v>
      </c>
      <c r="C1616" s="4" t="s">
        <v>37</v>
      </c>
      <c r="D1616" s="6">
        <v>0.27</v>
      </c>
      <c r="E1616" s="6">
        <v>0.27</v>
      </c>
      <c r="F1616" s="4"/>
      <c r="G1616" s="7">
        <v>0.38</v>
      </c>
      <c r="H1616" s="7">
        <v>0.23</v>
      </c>
      <c r="I1616" s="7">
        <v>1.99297638E8</v>
      </c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>
      <c r="A1617" s="5" t="s">
        <v>3228</v>
      </c>
      <c r="B1617" s="5" t="s">
        <v>3229</v>
      </c>
      <c r="C1617" s="4" t="s">
        <v>1470</v>
      </c>
      <c r="D1617" s="6">
        <v>1.31</v>
      </c>
      <c r="E1617" s="6">
        <v>1.3</v>
      </c>
      <c r="F1617" s="7">
        <v>35.63</v>
      </c>
      <c r="G1617" s="7">
        <v>1.83</v>
      </c>
      <c r="H1617" s="7">
        <v>1.11</v>
      </c>
      <c r="I1617" s="7">
        <v>7.05803341E8</v>
      </c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>
      <c r="A1618" s="5" t="s">
        <v>3230</v>
      </c>
      <c r="B1618" s="5" t="s">
        <v>3231</v>
      </c>
      <c r="C1618" s="4" t="s">
        <v>17</v>
      </c>
      <c r="D1618" s="6">
        <v>0.08</v>
      </c>
      <c r="E1618" s="6">
        <v>0.08</v>
      </c>
      <c r="F1618" s="4"/>
      <c r="G1618" s="7">
        <v>0.12</v>
      </c>
      <c r="H1618" s="7">
        <v>0.02</v>
      </c>
      <c r="I1618" s="7">
        <v>1.3684016E7</v>
      </c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>
      <c r="A1619" s="5" t="s">
        <v>3232</v>
      </c>
      <c r="B1619" s="5" t="s">
        <v>3233</v>
      </c>
      <c r="C1619" s="4" t="s">
        <v>14</v>
      </c>
      <c r="D1619" s="6">
        <v>0.4</v>
      </c>
      <c r="E1619" s="6">
        <v>0.4</v>
      </c>
      <c r="F1619" s="4"/>
      <c r="G1619" s="7">
        <v>0.4</v>
      </c>
      <c r="H1619" s="7">
        <v>0.17</v>
      </c>
      <c r="I1619" s="7">
        <v>2.9926761E8</v>
      </c>
      <c r="J1619" s="7">
        <v>0.004</v>
      </c>
      <c r="K1619" s="7">
        <v>0.004</v>
      </c>
      <c r="L1619" s="7">
        <v>0.018</v>
      </c>
      <c r="M1619" s="7">
        <v>0.002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>
      <c r="A1620" s="5" t="s">
        <v>3234</v>
      </c>
      <c r="B1620" s="5" t="s">
        <v>3235</v>
      </c>
      <c r="C1620" s="4" t="s">
        <v>34</v>
      </c>
      <c r="D1620" s="6">
        <v>5.09</v>
      </c>
      <c r="E1620" s="6">
        <v>5.12</v>
      </c>
      <c r="F1620" s="4"/>
      <c r="G1620" s="7">
        <v>6.32</v>
      </c>
      <c r="H1620" s="7">
        <v>4.5</v>
      </c>
      <c r="I1620" s="7" t="e">
        <v>#N/A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>
      <c r="A1621" s="5" t="s">
        <v>3236</v>
      </c>
      <c r="B1621" s="5" t="s">
        <v>3237</v>
      </c>
      <c r="C1621" s="4" t="s">
        <v>1838</v>
      </c>
      <c r="D1621" s="6">
        <v>3.14</v>
      </c>
      <c r="E1621" s="6">
        <v>3.18</v>
      </c>
      <c r="F1621" s="7">
        <v>4.52</v>
      </c>
      <c r="G1621" s="7">
        <v>3.65</v>
      </c>
      <c r="H1621" s="7">
        <v>2.57</v>
      </c>
      <c r="I1621" s="7">
        <v>6.98959313E8</v>
      </c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>
      <c r="A1622" s="5" t="s">
        <v>3238</v>
      </c>
      <c r="B1622" s="5" t="s">
        <v>3239</v>
      </c>
      <c r="C1622" s="4" t="s">
        <v>68</v>
      </c>
      <c r="D1622" s="6">
        <v>0.01</v>
      </c>
      <c r="E1622" s="6">
        <v>0.01</v>
      </c>
      <c r="F1622" s="7">
        <v>0.78</v>
      </c>
      <c r="G1622" s="7">
        <v>0.6</v>
      </c>
      <c r="H1622" s="7">
        <v>0.5</v>
      </c>
      <c r="I1622" s="7">
        <v>4065048.0</v>
      </c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>
      <c r="A1623" s="5" t="s">
        <v>3240</v>
      </c>
      <c r="B1623" s="5" t="s">
        <v>3241</v>
      </c>
      <c r="C1623" s="4" t="s">
        <v>23</v>
      </c>
      <c r="D1623" s="6">
        <v>0.6</v>
      </c>
      <c r="E1623" s="6">
        <v>0.6</v>
      </c>
      <c r="F1623" s="4"/>
      <c r="G1623" s="7">
        <v>1.17</v>
      </c>
      <c r="H1623" s="7">
        <v>0.59</v>
      </c>
      <c r="I1623" s="7">
        <v>1.559374694E9</v>
      </c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>
      <c r="A1624" s="5" t="s">
        <v>3242</v>
      </c>
      <c r="B1624" s="5" t="s">
        <v>3243</v>
      </c>
      <c r="C1624" s="4" t="s">
        <v>17</v>
      </c>
      <c r="D1624" s="6">
        <v>0.06</v>
      </c>
      <c r="E1624" s="6">
        <v>0.06</v>
      </c>
      <c r="F1624" s="4"/>
      <c r="G1624" s="7">
        <v>0.07</v>
      </c>
      <c r="H1624" s="7">
        <v>0.05</v>
      </c>
      <c r="I1624" s="7">
        <v>4.4792621E7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>
      <c r="A1625" s="5" t="s">
        <v>3244</v>
      </c>
      <c r="B1625" s="5" t="s">
        <v>3245</v>
      </c>
      <c r="C1625" s="4" t="s">
        <v>373</v>
      </c>
      <c r="D1625" s="6">
        <v>2.22</v>
      </c>
      <c r="E1625" s="6">
        <v>2.21</v>
      </c>
      <c r="F1625" s="7">
        <v>44.76</v>
      </c>
      <c r="G1625" s="7">
        <v>2.49</v>
      </c>
      <c r="H1625" s="7">
        <v>1.66</v>
      </c>
      <c r="I1625" s="7">
        <v>2.739000515E9</v>
      </c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>
      <c r="A1626" s="5" t="s">
        <v>3246</v>
      </c>
      <c r="B1626" s="5" t="s">
        <v>3247</v>
      </c>
      <c r="C1626" s="4" t="s">
        <v>17</v>
      </c>
      <c r="D1626" s="6">
        <v>0.61</v>
      </c>
      <c r="E1626" s="6">
        <v>0.59</v>
      </c>
      <c r="F1626" s="4"/>
      <c r="G1626" s="7">
        <v>0.79</v>
      </c>
      <c r="H1626" s="7">
        <v>0.28</v>
      </c>
      <c r="I1626" s="7">
        <v>3.376236E7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>
      <c r="A1627" s="5" t="s">
        <v>3248</v>
      </c>
      <c r="B1627" s="5" t="s">
        <v>3249</v>
      </c>
      <c r="C1627" s="4" t="s">
        <v>3040</v>
      </c>
      <c r="D1627" s="6">
        <v>1.98</v>
      </c>
      <c r="E1627" s="6">
        <v>1.92</v>
      </c>
      <c r="F1627" s="4"/>
      <c r="G1627" s="7">
        <v>2.12</v>
      </c>
      <c r="H1627" s="7">
        <v>1.14</v>
      </c>
      <c r="I1627" s="7">
        <v>1.052937242E9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>
      <c r="A1628" s="5" t="s">
        <v>3250</v>
      </c>
      <c r="B1628" s="5" t="s">
        <v>3251</v>
      </c>
      <c r="C1628" s="4" t="s">
        <v>954</v>
      </c>
      <c r="D1628" s="6">
        <v>11.34</v>
      </c>
      <c r="E1628" s="6">
        <v>11.49</v>
      </c>
      <c r="F1628" s="7">
        <v>13.2</v>
      </c>
      <c r="G1628" s="7">
        <v>13.13</v>
      </c>
      <c r="H1628" s="7">
        <v>8.62</v>
      </c>
      <c r="I1628" s="7">
        <v>1.9535951242E10</v>
      </c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>
      <c r="A1629" s="5" t="s">
        <v>3252</v>
      </c>
      <c r="B1629" s="5" t="s">
        <v>3253</v>
      </c>
      <c r="C1629" s="4" t="s">
        <v>104</v>
      </c>
      <c r="D1629" s="6">
        <v>24.38</v>
      </c>
      <c r="E1629" s="6">
        <v>24.28</v>
      </c>
      <c r="F1629" s="7">
        <v>73.49</v>
      </c>
      <c r="G1629" s="7">
        <v>25.13</v>
      </c>
      <c r="H1629" s="7">
        <v>14.88</v>
      </c>
      <c r="I1629" s="7">
        <v>1.1379101304E10</v>
      </c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>
      <c r="A1630" s="5" t="s">
        <v>3254</v>
      </c>
      <c r="B1630" s="5" t="s">
        <v>3255</v>
      </c>
      <c r="C1630" s="4" t="s">
        <v>17</v>
      </c>
      <c r="D1630" s="6">
        <v>0.02</v>
      </c>
      <c r="E1630" s="6">
        <v>0.02</v>
      </c>
      <c r="F1630" s="4"/>
      <c r="G1630" s="7">
        <v>0.03</v>
      </c>
      <c r="H1630" s="7">
        <v>0.01</v>
      </c>
      <c r="I1630" s="7">
        <v>1.88170288E8</v>
      </c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>
      <c r="A1631" s="5" t="s">
        <v>3256</v>
      </c>
      <c r="B1631" s="5" t="s">
        <v>3257</v>
      </c>
      <c r="C1631" s="4" t="s">
        <v>26</v>
      </c>
      <c r="D1631" s="6">
        <v>0.05</v>
      </c>
      <c r="E1631" s="6">
        <v>0.05</v>
      </c>
      <c r="F1631" s="4"/>
      <c r="G1631" s="7">
        <v>0.06</v>
      </c>
      <c r="H1631" s="7">
        <v>0.02</v>
      </c>
      <c r="I1631" s="7">
        <v>1.4366556E7</v>
      </c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>
      <c r="A1632" s="5" t="s">
        <v>3256</v>
      </c>
      <c r="B1632" s="5" t="s">
        <v>3257</v>
      </c>
      <c r="C1632" s="4" t="s">
        <v>26</v>
      </c>
      <c r="D1632" s="6">
        <v>0.05</v>
      </c>
      <c r="E1632" s="6">
        <v>0.05</v>
      </c>
      <c r="F1632" s="4"/>
      <c r="G1632" s="7">
        <v>0.06</v>
      </c>
      <c r="H1632" s="7">
        <v>0.02</v>
      </c>
      <c r="I1632" s="7">
        <v>1.4366556E7</v>
      </c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>
      <c r="A1633" s="8" t="s">
        <v>3256</v>
      </c>
      <c r="B1633" s="8" t="s">
        <v>3257</v>
      </c>
      <c r="C1633" s="9" t="s">
        <v>26</v>
      </c>
      <c r="D1633" s="10">
        <v>0.05</v>
      </c>
      <c r="E1633" s="6">
        <v>0.05</v>
      </c>
      <c r="F1633" s="4"/>
      <c r="G1633" s="7">
        <v>0.06</v>
      </c>
      <c r="H1633" s="7">
        <v>0.02</v>
      </c>
      <c r="I1633" s="7">
        <v>1.4366556E7</v>
      </c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>
      <c r="A1634" s="5" t="s">
        <v>3258</v>
      </c>
      <c r="B1634" s="5" t="s">
        <v>3259</v>
      </c>
      <c r="C1634" s="4" t="s">
        <v>172</v>
      </c>
      <c r="D1634" s="6">
        <v>0.97</v>
      </c>
      <c r="E1634" s="6">
        <v>0.97</v>
      </c>
      <c r="F1634" s="4"/>
      <c r="G1634" s="7">
        <v>2.8</v>
      </c>
      <c r="H1634" s="7">
        <v>0.8</v>
      </c>
      <c r="I1634" s="7">
        <v>1.8325502E7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>
      <c r="A1635" s="5" t="s">
        <v>3260</v>
      </c>
      <c r="B1635" s="5" t="s">
        <v>3261</v>
      </c>
      <c r="C1635" s="4" t="s">
        <v>17</v>
      </c>
      <c r="D1635" s="6">
        <v>0.72</v>
      </c>
      <c r="E1635" s="6">
        <v>0.73</v>
      </c>
      <c r="F1635" s="4"/>
      <c r="G1635" s="7">
        <v>1.12</v>
      </c>
      <c r="H1635" s="7">
        <v>0.35</v>
      </c>
      <c r="I1635" s="7">
        <v>9.0833619E7</v>
      </c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>
      <c r="A1636" s="5" t="s">
        <v>3262</v>
      </c>
      <c r="B1636" s="5" t="s">
        <v>3263</v>
      </c>
      <c r="C1636" s="4" t="s">
        <v>274</v>
      </c>
      <c r="D1636" s="6">
        <v>0.01</v>
      </c>
      <c r="E1636" s="6">
        <v>0.01</v>
      </c>
      <c r="F1636" s="4"/>
      <c r="G1636" s="7">
        <v>0.05</v>
      </c>
      <c r="H1636" s="7">
        <v>0.01</v>
      </c>
      <c r="I1636" s="7">
        <v>1062756.0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>
      <c r="A1637" s="5" t="s">
        <v>3264</v>
      </c>
      <c r="B1637" s="5" t="s">
        <v>3265</v>
      </c>
      <c r="C1637" s="4" t="s">
        <v>31</v>
      </c>
      <c r="D1637" s="6">
        <v>0.0</v>
      </c>
      <c r="E1637" s="6">
        <v>0.0</v>
      </c>
      <c r="F1637" s="4"/>
      <c r="G1637" s="7">
        <v>0.02</v>
      </c>
      <c r="H1637" s="7">
        <v>0.0</v>
      </c>
      <c r="I1637" s="7">
        <v>8273685.0</v>
      </c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>
      <c r="A1638" s="5" t="s">
        <v>3266</v>
      </c>
      <c r="B1638" s="5" t="s">
        <v>3267</v>
      </c>
      <c r="C1638" s="4" t="s">
        <v>34</v>
      </c>
      <c r="D1638" s="6">
        <v>43.96</v>
      </c>
      <c r="E1638" s="6">
        <v>44.12</v>
      </c>
      <c r="F1638" s="4"/>
      <c r="G1638" s="7">
        <v>45.83</v>
      </c>
      <c r="H1638" s="7">
        <v>43.6</v>
      </c>
      <c r="I1638" s="7" t="e">
        <v>#N/A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>
      <c r="A1639" s="5" t="s">
        <v>3268</v>
      </c>
      <c r="B1639" s="5" t="s">
        <v>3269</v>
      </c>
      <c r="C1639" s="4" t="s">
        <v>34</v>
      </c>
      <c r="D1639" s="6">
        <v>29.75</v>
      </c>
      <c r="E1639" s="6">
        <v>29.53</v>
      </c>
      <c r="F1639" s="4"/>
      <c r="G1639" s="7">
        <v>32.11</v>
      </c>
      <c r="H1639" s="7">
        <v>24.43</v>
      </c>
      <c r="I1639" s="7" t="e">
        <v>#N/A</v>
      </c>
      <c r="J1639" s="7">
        <v>15.67</v>
      </c>
      <c r="K1639" s="7">
        <v>15.67</v>
      </c>
      <c r="L1639" s="7">
        <v>40.3</v>
      </c>
      <c r="M1639" s="7">
        <v>14.42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>
      <c r="A1640" s="5" t="s">
        <v>3270</v>
      </c>
      <c r="B1640" s="5" t="s">
        <v>3271</v>
      </c>
      <c r="C1640" s="4" t="s">
        <v>86</v>
      </c>
      <c r="D1640" s="6">
        <v>0.05</v>
      </c>
      <c r="E1640" s="6">
        <v>0.05</v>
      </c>
      <c r="F1640" s="4"/>
      <c r="G1640" s="7">
        <v>0.18</v>
      </c>
      <c r="H1640" s="7">
        <v>0.03</v>
      </c>
      <c r="I1640" s="7">
        <v>1.2151568E7</v>
      </c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>
      <c r="A1641" s="5" t="s">
        <v>3272</v>
      </c>
      <c r="B1641" s="5" t="s">
        <v>3273</v>
      </c>
      <c r="C1641" s="4" t="s">
        <v>34</v>
      </c>
      <c r="D1641" s="6">
        <v>15.1</v>
      </c>
      <c r="E1641" s="6">
        <v>15.09</v>
      </c>
      <c r="F1641" s="4"/>
      <c r="G1641" s="7">
        <v>15.56</v>
      </c>
      <c r="H1641" s="7">
        <v>10.12</v>
      </c>
      <c r="I1641" s="7" t="e">
        <v>#N/A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>
      <c r="A1642" s="5" t="s">
        <v>3274</v>
      </c>
      <c r="B1642" s="5" t="s">
        <v>3275</v>
      </c>
      <c r="C1642" s="4" t="s">
        <v>34</v>
      </c>
      <c r="D1642" s="6">
        <v>10.54</v>
      </c>
      <c r="E1642" s="6">
        <v>10.49</v>
      </c>
      <c r="F1642" s="4"/>
      <c r="G1642" s="7">
        <v>11.91</v>
      </c>
      <c r="H1642" s="7">
        <v>9.9</v>
      </c>
      <c r="I1642" s="7" t="e">
        <v>#N/A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>
      <c r="A1643" s="5" t="s">
        <v>3276</v>
      </c>
      <c r="B1643" s="5" t="s">
        <v>3277</v>
      </c>
      <c r="C1643" s="4" t="s">
        <v>86</v>
      </c>
      <c r="D1643" s="6">
        <v>0.06</v>
      </c>
      <c r="E1643" s="6">
        <v>0.06</v>
      </c>
      <c r="F1643" s="4"/>
      <c r="G1643" s="7">
        <v>0.06</v>
      </c>
      <c r="H1643" s="7">
        <v>0.06</v>
      </c>
      <c r="I1643" s="7">
        <v>4834701.0</v>
      </c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>
      <c r="A1644" s="5" t="s">
        <v>3278</v>
      </c>
      <c r="B1644" s="5" t="s">
        <v>3279</v>
      </c>
      <c r="C1644" s="4" t="s">
        <v>1899</v>
      </c>
      <c r="D1644" s="6">
        <v>0.08</v>
      </c>
      <c r="E1644" s="6">
        <v>0.08</v>
      </c>
      <c r="F1644" s="4"/>
      <c r="G1644" s="7">
        <v>0.09</v>
      </c>
      <c r="H1644" s="7">
        <v>0.07</v>
      </c>
      <c r="I1644" s="7">
        <v>2.8787514E7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>
      <c r="A1645" s="5" t="s">
        <v>3280</v>
      </c>
      <c r="B1645" s="5" t="s">
        <v>3281</v>
      </c>
      <c r="C1645" s="4" t="s">
        <v>23</v>
      </c>
      <c r="D1645" s="6">
        <v>0.03</v>
      </c>
      <c r="E1645" s="6">
        <v>0.03</v>
      </c>
      <c r="F1645" s="4"/>
      <c r="G1645" s="7">
        <v>0.05</v>
      </c>
      <c r="H1645" s="7">
        <v>0.01</v>
      </c>
      <c r="I1645" s="7">
        <v>9540400.0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>
      <c r="A1646" s="5" t="s">
        <v>3282</v>
      </c>
      <c r="B1646" s="5" t="s">
        <v>3283</v>
      </c>
      <c r="C1646" s="4" t="s">
        <v>169</v>
      </c>
      <c r="D1646" s="6">
        <v>10.0</v>
      </c>
      <c r="E1646" s="6">
        <v>9.99</v>
      </c>
      <c r="F1646" s="7">
        <v>5.18</v>
      </c>
      <c r="G1646" s="7">
        <v>12.14</v>
      </c>
      <c r="H1646" s="7">
        <v>9.34</v>
      </c>
      <c r="I1646" s="7">
        <v>2.996206E8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>
      <c r="A1647" s="5" t="s">
        <v>3284</v>
      </c>
      <c r="B1647" s="5" t="s">
        <v>3285</v>
      </c>
      <c r="C1647" s="4" t="s">
        <v>23</v>
      </c>
      <c r="D1647" s="6">
        <v>0.34</v>
      </c>
      <c r="E1647" s="6">
        <v>0.34</v>
      </c>
      <c r="F1647" s="4"/>
      <c r="G1647" s="7">
        <v>0.66</v>
      </c>
      <c r="H1647" s="7">
        <v>0.26</v>
      </c>
      <c r="I1647" s="7">
        <v>1.45696495E8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>
      <c r="A1648" s="5" t="s">
        <v>3286</v>
      </c>
      <c r="B1648" s="5" t="s">
        <v>3287</v>
      </c>
      <c r="C1648" s="4" t="s">
        <v>37</v>
      </c>
      <c r="D1648" s="6">
        <v>0.05</v>
      </c>
      <c r="E1648" s="6">
        <v>0.06</v>
      </c>
      <c r="F1648" s="4"/>
      <c r="G1648" s="7">
        <v>0.07</v>
      </c>
      <c r="H1648" s="7">
        <v>0.03</v>
      </c>
      <c r="I1648" s="7">
        <v>9960676.0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>
      <c r="A1649" s="5" t="s">
        <v>3288</v>
      </c>
      <c r="B1649" s="5" t="s">
        <v>3289</v>
      </c>
      <c r="C1649" s="4" t="s">
        <v>34</v>
      </c>
      <c r="D1649" s="6">
        <v>12.59</v>
      </c>
      <c r="E1649" s="6">
        <v>12.68</v>
      </c>
      <c r="F1649" s="4"/>
      <c r="G1649" s="7">
        <v>13.12</v>
      </c>
      <c r="H1649" s="7">
        <v>9.51</v>
      </c>
      <c r="I1649" s="7" t="e">
        <v>#N/A</v>
      </c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>
      <c r="A1650" s="5" t="s">
        <v>3290</v>
      </c>
      <c r="B1650" s="5" t="s">
        <v>3291</v>
      </c>
      <c r="C1650" s="4" t="s">
        <v>34</v>
      </c>
      <c r="D1650" s="6" t="e">
        <v>#N/A</v>
      </c>
      <c r="E1650" s="6" t="e">
        <v>#N/A</v>
      </c>
      <c r="F1650" s="4"/>
      <c r="G1650" s="4"/>
      <c r="H1650" s="4"/>
      <c r="I1650" s="7" t="e">
        <v>#N/A</v>
      </c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>
      <c r="A1651" s="5" t="s">
        <v>3292</v>
      </c>
      <c r="B1651" s="5" t="s">
        <v>3293</v>
      </c>
      <c r="C1651" s="4" t="s">
        <v>257</v>
      </c>
      <c r="D1651" s="6">
        <v>0.92</v>
      </c>
      <c r="E1651" s="6">
        <v>0.91</v>
      </c>
      <c r="F1651" s="4"/>
      <c r="G1651" s="7">
        <v>1.32</v>
      </c>
      <c r="H1651" s="7">
        <v>0.79</v>
      </c>
      <c r="I1651" s="7">
        <v>3.18041654E8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>
      <c r="A1652" s="5" t="s">
        <v>3294</v>
      </c>
      <c r="B1652" s="5" t="s">
        <v>3295</v>
      </c>
      <c r="C1652" s="4" t="s">
        <v>17</v>
      </c>
      <c r="D1652" s="6">
        <v>0.07</v>
      </c>
      <c r="E1652" s="6">
        <v>0.07</v>
      </c>
      <c r="F1652" s="4"/>
      <c r="G1652" s="7">
        <v>0.12</v>
      </c>
      <c r="H1652" s="7">
        <v>0.03</v>
      </c>
      <c r="I1652" s="7">
        <v>4111800.0</v>
      </c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>
      <c r="A1653" s="5" t="s">
        <v>3296</v>
      </c>
      <c r="B1653" s="5" t="s">
        <v>3297</v>
      </c>
      <c r="C1653" s="4" t="s">
        <v>86</v>
      </c>
      <c r="D1653" s="6">
        <v>0.36</v>
      </c>
      <c r="E1653" s="6">
        <v>0.36</v>
      </c>
      <c r="F1653" s="4"/>
      <c r="G1653" s="7">
        <v>0.4</v>
      </c>
      <c r="H1653" s="7">
        <v>0.21</v>
      </c>
      <c r="I1653" s="7">
        <v>5.6680094E7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>
      <c r="A1654" s="5" t="s">
        <v>3298</v>
      </c>
      <c r="B1654" s="5" t="s">
        <v>3299</v>
      </c>
      <c r="C1654" s="4" t="s">
        <v>169</v>
      </c>
      <c r="D1654" s="6">
        <v>0.67</v>
      </c>
      <c r="E1654" s="6">
        <v>0.67</v>
      </c>
      <c r="F1654" s="7">
        <v>23.77</v>
      </c>
      <c r="G1654" s="7">
        <v>0.98</v>
      </c>
      <c r="H1654" s="7">
        <v>0.65</v>
      </c>
      <c r="I1654" s="7">
        <v>6.5558362E7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>
      <c r="A1655" s="5" t="s">
        <v>3300</v>
      </c>
      <c r="B1655" s="5" t="s">
        <v>3301</v>
      </c>
      <c r="C1655" s="4" t="s">
        <v>1838</v>
      </c>
      <c r="D1655" s="6">
        <v>1.12</v>
      </c>
      <c r="E1655" s="6">
        <v>1.11</v>
      </c>
      <c r="F1655" s="7">
        <v>14.5</v>
      </c>
      <c r="G1655" s="7">
        <v>1.23</v>
      </c>
      <c r="H1655" s="7">
        <v>1.04</v>
      </c>
      <c r="I1655" s="7">
        <v>8.14661488E8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>
      <c r="A1656" s="5" t="s">
        <v>3302</v>
      </c>
      <c r="B1656" s="5" t="s">
        <v>3303</v>
      </c>
      <c r="C1656" s="4" t="s">
        <v>14</v>
      </c>
      <c r="D1656" s="6">
        <v>0.28</v>
      </c>
      <c r="E1656" s="6">
        <v>0.29</v>
      </c>
      <c r="F1656" s="4"/>
      <c r="G1656" s="7">
        <v>1.05</v>
      </c>
      <c r="H1656" s="7">
        <v>0.26</v>
      </c>
      <c r="I1656" s="7">
        <v>5.9567079E7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>
      <c r="A1657" s="5" t="s">
        <v>3304</v>
      </c>
      <c r="B1657" s="5" t="s">
        <v>3305</v>
      </c>
      <c r="C1657" s="4" t="s">
        <v>76</v>
      </c>
      <c r="D1657" s="6">
        <v>0.01</v>
      </c>
      <c r="E1657" s="6">
        <v>0.01</v>
      </c>
      <c r="F1657" s="4"/>
      <c r="G1657" s="7">
        <v>0.02</v>
      </c>
      <c r="H1657" s="7">
        <v>0.01</v>
      </c>
      <c r="I1657" s="7">
        <v>1.00261567E8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>
      <c r="A1658" s="5" t="s">
        <v>3306</v>
      </c>
      <c r="B1658" s="5" t="s">
        <v>3307</v>
      </c>
      <c r="C1658" s="4" t="s">
        <v>169</v>
      </c>
      <c r="D1658" s="6">
        <v>2.02</v>
      </c>
      <c r="E1658" s="6">
        <v>2.05</v>
      </c>
      <c r="F1658" s="4"/>
      <c r="G1658" s="7">
        <v>2.15</v>
      </c>
      <c r="H1658" s="7">
        <v>1.88</v>
      </c>
      <c r="I1658" s="7" t="e">
        <v>#N/A</v>
      </c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>
      <c r="A1659" s="5" t="s">
        <v>3308</v>
      </c>
      <c r="B1659" s="5" t="s">
        <v>3309</v>
      </c>
      <c r="C1659" s="4" t="s">
        <v>86</v>
      </c>
      <c r="D1659" s="6">
        <v>0.73</v>
      </c>
      <c r="E1659" s="6">
        <v>0.74</v>
      </c>
      <c r="F1659" s="4"/>
      <c r="G1659" s="7">
        <v>0.8</v>
      </c>
      <c r="H1659" s="7">
        <v>0.23</v>
      </c>
      <c r="I1659" s="7">
        <v>1.904243009E9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>
      <c r="A1660" s="5" t="s">
        <v>3310</v>
      </c>
      <c r="B1660" s="5" t="s">
        <v>3311</v>
      </c>
      <c r="C1660" s="4" t="s">
        <v>26</v>
      </c>
      <c r="D1660" s="6">
        <v>10.13</v>
      </c>
      <c r="E1660" s="6">
        <v>9.59</v>
      </c>
      <c r="F1660" s="4"/>
      <c r="G1660" s="7">
        <v>10.3</v>
      </c>
      <c r="H1660" s="7">
        <v>3.93</v>
      </c>
      <c r="I1660" s="7">
        <v>4.551696743E9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>
      <c r="A1661" s="5" t="s">
        <v>3310</v>
      </c>
      <c r="B1661" s="5" t="s">
        <v>3311</v>
      </c>
      <c r="C1661" s="4" t="s">
        <v>26</v>
      </c>
      <c r="D1661" s="6">
        <v>10.13</v>
      </c>
      <c r="E1661" s="6">
        <v>9.59</v>
      </c>
      <c r="F1661" s="4"/>
      <c r="G1661" s="7">
        <v>10.3</v>
      </c>
      <c r="H1661" s="7">
        <v>3.93</v>
      </c>
      <c r="I1661" s="7">
        <v>4.551696743E9</v>
      </c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>
      <c r="A1662" s="8" t="s">
        <v>3310</v>
      </c>
      <c r="B1662" s="8" t="s">
        <v>3311</v>
      </c>
      <c r="C1662" s="9" t="s">
        <v>26</v>
      </c>
      <c r="D1662" s="10">
        <v>10.13</v>
      </c>
      <c r="E1662" s="6">
        <v>9.59</v>
      </c>
      <c r="F1662" s="4"/>
      <c r="G1662" s="7">
        <v>10.3</v>
      </c>
      <c r="H1662" s="7">
        <v>3.93</v>
      </c>
      <c r="I1662" s="7">
        <v>4.551696743E9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>
      <c r="A1663" s="5" t="s">
        <v>3312</v>
      </c>
      <c r="B1663" s="5" t="s">
        <v>3313</v>
      </c>
      <c r="C1663" s="4" t="s">
        <v>169</v>
      </c>
      <c r="D1663" s="6">
        <v>1.37</v>
      </c>
      <c r="E1663" s="6">
        <v>1.36</v>
      </c>
      <c r="F1663" s="7">
        <v>7.57</v>
      </c>
      <c r="G1663" s="7">
        <v>1.46</v>
      </c>
      <c r="H1663" s="7">
        <v>1.08</v>
      </c>
      <c r="I1663" s="7">
        <v>3.66249636E8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>
      <c r="A1664" s="5" t="s">
        <v>3314</v>
      </c>
      <c r="B1664" s="5" t="s">
        <v>3315</v>
      </c>
      <c r="C1664" s="4" t="s">
        <v>23</v>
      </c>
      <c r="D1664" s="6">
        <v>0.16</v>
      </c>
      <c r="E1664" s="6">
        <v>0.16</v>
      </c>
      <c r="F1664" s="4"/>
      <c r="G1664" s="7">
        <v>0.19</v>
      </c>
      <c r="H1664" s="7">
        <v>0.05</v>
      </c>
      <c r="I1664" s="7">
        <v>1.895719E8</v>
      </c>
      <c r="J1664" s="7">
        <v>0.003</v>
      </c>
      <c r="K1664" s="7">
        <v>0.0025</v>
      </c>
      <c r="L1664" s="7">
        <v>0.011</v>
      </c>
      <c r="M1664" s="7">
        <v>0.002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>
      <c r="A1665" s="5" t="s">
        <v>3316</v>
      </c>
      <c r="B1665" s="5" t="s">
        <v>3317</v>
      </c>
      <c r="C1665" s="4" t="s">
        <v>37</v>
      </c>
      <c r="D1665" s="6">
        <v>0.01</v>
      </c>
      <c r="E1665" s="6">
        <v>0.01</v>
      </c>
      <c r="F1665" s="4"/>
      <c r="G1665" s="7">
        <v>0.03</v>
      </c>
      <c r="H1665" s="7">
        <v>0.01</v>
      </c>
      <c r="I1665" s="7">
        <v>8592349.0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>
      <c r="A1666" s="5" t="s">
        <v>3318</v>
      </c>
      <c r="B1666" s="5" t="s">
        <v>3319</v>
      </c>
      <c r="C1666" s="4" t="s">
        <v>26</v>
      </c>
      <c r="D1666" s="6">
        <v>0.7</v>
      </c>
      <c r="E1666" s="6">
        <v>0.65</v>
      </c>
      <c r="F1666" s="4"/>
      <c r="G1666" s="7">
        <v>1.48</v>
      </c>
      <c r="H1666" s="7">
        <v>0.28</v>
      </c>
      <c r="I1666" s="7">
        <v>2.81115682E8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>
      <c r="A1667" s="5" t="s">
        <v>3318</v>
      </c>
      <c r="B1667" s="5" t="s">
        <v>3319</v>
      </c>
      <c r="C1667" s="4" t="s">
        <v>26</v>
      </c>
      <c r="D1667" s="6">
        <v>0.7</v>
      </c>
      <c r="E1667" s="6">
        <v>0.65</v>
      </c>
      <c r="F1667" s="4"/>
      <c r="G1667" s="7">
        <v>1.48</v>
      </c>
      <c r="H1667" s="7">
        <v>0.28</v>
      </c>
      <c r="I1667" s="7">
        <v>2.81115682E8</v>
      </c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>
      <c r="A1668" s="8" t="s">
        <v>3318</v>
      </c>
      <c r="B1668" s="8" t="s">
        <v>3319</v>
      </c>
      <c r="C1668" s="9" t="s">
        <v>26</v>
      </c>
      <c r="D1668" s="10">
        <v>0.7</v>
      </c>
      <c r="E1668" s="6">
        <v>0.65</v>
      </c>
      <c r="F1668" s="4"/>
      <c r="G1668" s="7">
        <v>1.48</v>
      </c>
      <c r="H1668" s="7">
        <v>0.28</v>
      </c>
      <c r="I1668" s="7">
        <v>2.81115682E8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>
      <c r="A1669" s="5" t="s">
        <v>3320</v>
      </c>
      <c r="B1669" s="5" t="s">
        <v>3321</v>
      </c>
      <c r="C1669" s="4" t="s">
        <v>23</v>
      </c>
      <c r="D1669" s="6">
        <v>0.01</v>
      </c>
      <c r="E1669" s="6">
        <v>0.01</v>
      </c>
      <c r="F1669" s="4"/>
      <c r="G1669" s="7">
        <v>0.02</v>
      </c>
      <c r="H1669" s="7">
        <v>0.01</v>
      </c>
      <c r="I1669" s="7">
        <v>8808245.0</v>
      </c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>
      <c r="A1670" s="5" t="s">
        <v>3322</v>
      </c>
      <c r="B1670" s="5" t="s">
        <v>3323</v>
      </c>
      <c r="C1670" s="4" t="s">
        <v>50</v>
      </c>
      <c r="D1670" s="6">
        <v>0.01</v>
      </c>
      <c r="E1670" s="6">
        <v>0.01</v>
      </c>
      <c r="F1670" s="4"/>
      <c r="G1670" s="7">
        <v>0.03</v>
      </c>
      <c r="H1670" s="7">
        <v>0.01</v>
      </c>
      <c r="I1670" s="7">
        <v>1.1363911E7</v>
      </c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>
      <c r="A1671" s="5" t="s">
        <v>3324</v>
      </c>
      <c r="B1671" s="5" t="s">
        <v>3325</v>
      </c>
      <c r="C1671" s="4" t="s">
        <v>17</v>
      </c>
      <c r="D1671" s="6">
        <v>0.14</v>
      </c>
      <c r="E1671" s="6">
        <v>0.15</v>
      </c>
      <c r="F1671" s="4"/>
      <c r="G1671" s="7">
        <v>0.16</v>
      </c>
      <c r="H1671" s="7">
        <v>0.06</v>
      </c>
      <c r="I1671" s="7">
        <v>1.21075765E8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>
      <c r="A1672" s="5" t="s">
        <v>3326</v>
      </c>
      <c r="B1672" s="5" t="s">
        <v>3327</v>
      </c>
      <c r="C1672" s="4" t="s">
        <v>37</v>
      </c>
      <c r="D1672" s="6">
        <v>0.03</v>
      </c>
      <c r="E1672" s="6">
        <v>0.03</v>
      </c>
      <c r="F1672" s="4"/>
      <c r="G1672" s="7">
        <v>0.04</v>
      </c>
      <c r="H1672" s="7">
        <v>0.01</v>
      </c>
      <c r="I1672" s="7">
        <v>1.026961E7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>
      <c r="A1673" s="5" t="s">
        <v>3328</v>
      </c>
      <c r="B1673" s="5" t="s">
        <v>3329</v>
      </c>
      <c r="C1673" s="4" t="s">
        <v>159</v>
      </c>
      <c r="D1673" s="6">
        <v>0.23</v>
      </c>
      <c r="E1673" s="6">
        <v>0.23</v>
      </c>
      <c r="F1673" s="7">
        <v>12.32</v>
      </c>
      <c r="G1673" s="7">
        <v>0.27</v>
      </c>
      <c r="H1673" s="7">
        <v>0.2</v>
      </c>
      <c r="I1673" s="7">
        <v>6.125424E7</v>
      </c>
      <c r="J1673" s="7">
        <v>0.002</v>
      </c>
      <c r="K1673" s="7">
        <v>0.002</v>
      </c>
      <c r="L1673" s="7">
        <v>0.004</v>
      </c>
      <c r="M1673" s="7">
        <v>0.001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>
      <c r="A1674" s="5" t="s">
        <v>3330</v>
      </c>
      <c r="B1674" s="5" t="s">
        <v>3331</v>
      </c>
      <c r="C1674" s="4" t="s">
        <v>14</v>
      </c>
      <c r="D1674" s="6">
        <v>0.02</v>
      </c>
      <c r="E1674" s="6">
        <v>0.02</v>
      </c>
      <c r="F1674" s="4"/>
      <c r="G1674" s="7">
        <v>0.09</v>
      </c>
      <c r="H1674" s="7">
        <v>0.02</v>
      </c>
      <c r="I1674" s="7">
        <v>1993070.0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>
      <c r="A1675" s="5" t="s">
        <v>3332</v>
      </c>
      <c r="B1675" s="5" t="s">
        <v>3333</v>
      </c>
      <c r="C1675" s="4" t="s">
        <v>244</v>
      </c>
      <c r="D1675" s="6">
        <v>4.89</v>
      </c>
      <c r="E1675" s="6">
        <v>4.92</v>
      </c>
      <c r="F1675" s="7">
        <v>33.07</v>
      </c>
      <c r="G1675" s="7">
        <v>6.02</v>
      </c>
      <c r="H1675" s="7">
        <v>4.2</v>
      </c>
      <c r="I1675" s="7">
        <v>6.74690396E8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>
      <c r="A1676" s="5" t="s">
        <v>3334</v>
      </c>
      <c r="B1676" s="5" t="s">
        <v>3335</v>
      </c>
      <c r="C1676" s="4" t="s">
        <v>96</v>
      </c>
      <c r="D1676" s="6">
        <v>0.03</v>
      </c>
      <c r="E1676" s="6">
        <v>0.03</v>
      </c>
      <c r="F1676" s="4"/>
      <c r="G1676" s="7">
        <v>0.07</v>
      </c>
      <c r="H1676" s="7">
        <v>0.01</v>
      </c>
      <c r="I1676" s="7">
        <v>9681795.0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>
      <c r="A1677" s="5" t="s">
        <v>3336</v>
      </c>
      <c r="B1677" s="5" t="s">
        <v>3337</v>
      </c>
      <c r="C1677" s="4" t="s">
        <v>34</v>
      </c>
      <c r="D1677" s="6">
        <v>13.82</v>
      </c>
      <c r="E1677" s="6">
        <v>13.88</v>
      </c>
      <c r="F1677" s="4"/>
      <c r="G1677" s="7">
        <v>14.01</v>
      </c>
      <c r="H1677" s="7">
        <v>9.86</v>
      </c>
      <c r="I1677" s="7" t="e">
        <v>#N/A</v>
      </c>
      <c r="J1677" s="7">
        <v>0.004</v>
      </c>
      <c r="K1677" s="4"/>
      <c r="L1677" s="7">
        <v>0.004</v>
      </c>
      <c r="M1677" s="7">
        <v>0.004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>
      <c r="A1678" s="5" t="s">
        <v>3338</v>
      </c>
      <c r="B1678" s="5" t="s">
        <v>3339</v>
      </c>
      <c r="C1678" s="4" t="s">
        <v>274</v>
      </c>
      <c r="D1678" s="6">
        <v>0.22</v>
      </c>
      <c r="E1678" s="6">
        <v>0.22</v>
      </c>
      <c r="F1678" s="7">
        <v>17.71</v>
      </c>
      <c r="G1678" s="7">
        <v>0.59</v>
      </c>
      <c r="H1678" s="7">
        <v>0.2</v>
      </c>
      <c r="I1678" s="7">
        <v>3.55890698E8</v>
      </c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>
      <c r="A1679" s="5" t="s">
        <v>3340</v>
      </c>
      <c r="B1679" s="5" t="s">
        <v>3341</v>
      </c>
      <c r="C1679" s="4" t="s">
        <v>86</v>
      </c>
      <c r="D1679" s="6">
        <v>0.26</v>
      </c>
      <c r="E1679" s="6">
        <v>0.26</v>
      </c>
      <c r="F1679" s="4"/>
      <c r="G1679" s="7">
        <v>0.39</v>
      </c>
      <c r="H1679" s="7">
        <v>0.11</v>
      </c>
      <c r="I1679" s="7">
        <v>2.5196195E7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>
      <c r="A1680" s="5" t="s">
        <v>3342</v>
      </c>
      <c r="B1680" s="5" t="s">
        <v>3343</v>
      </c>
      <c r="C1680" s="4" t="s">
        <v>169</v>
      </c>
      <c r="D1680" s="6">
        <v>2.97</v>
      </c>
      <c r="E1680" s="6">
        <v>2.94</v>
      </c>
      <c r="F1680" s="7">
        <v>8.32</v>
      </c>
      <c r="G1680" s="7">
        <v>2.98</v>
      </c>
      <c r="H1680" s="7">
        <v>1.96</v>
      </c>
      <c r="I1680" s="7">
        <v>1.425375481E9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>
      <c r="A1681" s="5" t="s">
        <v>3344</v>
      </c>
      <c r="B1681" s="5" t="s">
        <v>3345</v>
      </c>
      <c r="C1681" s="4" t="s">
        <v>17</v>
      </c>
      <c r="D1681" s="6">
        <v>0.04</v>
      </c>
      <c r="E1681" s="6">
        <v>0.04</v>
      </c>
      <c r="F1681" s="4"/>
      <c r="G1681" s="7">
        <v>0.05</v>
      </c>
      <c r="H1681" s="7">
        <v>0.02</v>
      </c>
      <c r="I1681" s="7">
        <v>2.84253E7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>
      <c r="A1682" s="5" t="s">
        <v>3346</v>
      </c>
      <c r="B1682" s="5" t="s">
        <v>3347</v>
      </c>
      <c r="C1682" s="4" t="s">
        <v>86</v>
      </c>
      <c r="D1682" s="6">
        <v>0.09</v>
      </c>
      <c r="E1682" s="6">
        <v>0.09</v>
      </c>
      <c r="F1682" s="4"/>
      <c r="G1682" s="7">
        <v>0.1</v>
      </c>
      <c r="H1682" s="7">
        <v>0.05</v>
      </c>
      <c r="I1682" s="7">
        <v>3.4542279E7</v>
      </c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>
      <c r="A1683" s="5" t="s">
        <v>3348</v>
      </c>
      <c r="B1683" s="5" t="s">
        <v>3349</v>
      </c>
      <c r="C1683" s="4" t="s">
        <v>3350</v>
      </c>
      <c r="D1683" s="6">
        <v>0.01</v>
      </c>
      <c r="E1683" s="6">
        <v>0.01</v>
      </c>
      <c r="F1683" s="4"/>
      <c r="G1683" s="7">
        <v>0.01</v>
      </c>
      <c r="H1683" s="7">
        <v>0.0</v>
      </c>
      <c r="I1683" s="7">
        <v>5396649.0</v>
      </c>
      <c r="J1683" s="7">
        <v>0.56</v>
      </c>
      <c r="K1683" s="7">
        <v>0.56</v>
      </c>
      <c r="L1683" s="7">
        <v>0.64</v>
      </c>
      <c r="M1683" s="7">
        <v>0.36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>
      <c r="A1684" s="5" t="s">
        <v>3351</v>
      </c>
      <c r="B1684" s="5" t="s">
        <v>3352</v>
      </c>
      <c r="C1684" s="4" t="s">
        <v>17</v>
      </c>
      <c r="D1684" s="6">
        <v>0.16</v>
      </c>
      <c r="E1684" s="6">
        <v>0.16</v>
      </c>
      <c r="F1684" s="4"/>
      <c r="G1684" s="7">
        <v>0.19</v>
      </c>
      <c r="H1684" s="7">
        <v>0.05</v>
      </c>
      <c r="I1684" s="7">
        <v>7.4856334E7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>
      <c r="A1685" s="5" t="s">
        <v>3353</v>
      </c>
      <c r="B1685" s="5" t="s">
        <v>3354</v>
      </c>
      <c r="C1685" s="4" t="s">
        <v>68</v>
      </c>
      <c r="D1685" s="6">
        <v>0.15</v>
      </c>
      <c r="E1685" s="6">
        <v>0.16</v>
      </c>
      <c r="F1685" s="4"/>
      <c r="G1685" s="7">
        <v>0.2</v>
      </c>
      <c r="H1685" s="7">
        <v>0.07</v>
      </c>
      <c r="I1685" s="7">
        <v>8.9926023E7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>
      <c r="A1686" s="5" t="s">
        <v>3355</v>
      </c>
      <c r="B1686" s="5" t="s">
        <v>3356</v>
      </c>
      <c r="C1686" s="4" t="s">
        <v>169</v>
      </c>
      <c r="D1686" s="6">
        <v>1.29</v>
      </c>
      <c r="E1686" s="6">
        <v>1.3</v>
      </c>
      <c r="F1686" s="7">
        <v>9.83</v>
      </c>
      <c r="G1686" s="7">
        <v>1.3</v>
      </c>
      <c r="H1686" s="7">
        <v>1.02</v>
      </c>
      <c r="I1686" s="7">
        <v>3.30964841E8</v>
      </c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>
      <c r="A1687" s="5" t="s">
        <v>3357</v>
      </c>
      <c r="B1687" s="5" t="s">
        <v>3358</v>
      </c>
      <c r="C1687" s="4" t="s">
        <v>169</v>
      </c>
      <c r="D1687" s="6">
        <v>1.25</v>
      </c>
      <c r="E1687" s="6">
        <v>1.25</v>
      </c>
      <c r="F1687" s="7">
        <v>21.98</v>
      </c>
      <c r="G1687" s="7">
        <v>1.32</v>
      </c>
      <c r="H1687" s="7">
        <v>1.09</v>
      </c>
      <c r="I1687" s="7">
        <v>4.80167125E8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>
      <c r="A1688" s="5" t="s">
        <v>3359</v>
      </c>
      <c r="B1688" s="5" t="s">
        <v>3360</v>
      </c>
      <c r="C1688" s="4" t="s">
        <v>14</v>
      </c>
      <c r="D1688" s="6">
        <v>0.0</v>
      </c>
      <c r="E1688" s="6">
        <v>0.0</v>
      </c>
      <c r="F1688" s="4"/>
      <c r="G1688" s="7">
        <v>0.01</v>
      </c>
      <c r="H1688" s="7">
        <v>0.0</v>
      </c>
      <c r="I1688" s="7">
        <v>5018040.0</v>
      </c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>
      <c r="A1689" s="5" t="s">
        <v>3361</v>
      </c>
      <c r="B1689" s="5" t="s">
        <v>3362</v>
      </c>
      <c r="C1689" s="4" t="s">
        <v>37</v>
      </c>
      <c r="D1689" s="6">
        <v>0.05</v>
      </c>
      <c r="E1689" s="6">
        <v>0.05</v>
      </c>
      <c r="F1689" s="4"/>
      <c r="G1689" s="7">
        <v>0.25</v>
      </c>
      <c r="H1689" s="7">
        <v>0.03</v>
      </c>
      <c r="I1689" s="7">
        <v>6364342.0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>
      <c r="A1690" s="5" t="s">
        <v>3363</v>
      </c>
      <c r="B1690" s="5" t="s">
        <v>3364</v>
      </c>
      <c r="C1690" s="4" t="s">
        <v>23</v>
      </c>
      <c r="D1690" s="6">
        <v>0.72</v>
      </c>
      <c r="E1690" s="6">
        <v>0.66</v>
      </c>
      <c r="F1690" s="4"/>
      <c r="G1690" s="7">
        <v>0.82</v>
      </c>
      <c r="H1690" s="7">
        <v>0.28</v>
      </c>
      <c r="I1690" s="7">
        <v>1.17022756E8</v>
      </c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>
      <c r="A1691" s="5" t="s">
        <v>3365</v>
      </c>
      <c r="B1691" s="5" t="s">
        <v>3366</v>
      </c>
      <c r="C1691" s="4" t="s">
        <v>34</v>
      </c>
      <c r="D1691" s="6" t="e">
        <v>#N/A</v>
      </c>
      <c r="E1691" s="6" t="e">
        <v>#N/A</v>
      </c>
      <c r="F1691" s="4"/>
      <c r="G1691" s="4"/>
      <c r="H1691" s="4"/>
      <c r="I1691" s="7" t="e">
        <v>#N/A</v>
      </c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>
      <c r="A1692" s="5" t="s">
        <v>3367</v>
      </c>
      <c r="B1692" s="5" t="s">
        <v>3368</v>
      </c>
      <c r="C1692" s="4" t="s">
        <v>121</v>
      </c>
      <c r="D1692" s="6">
        <v>0.04</v>
      </c>
      <c r="E1692" s="6">
        <v>0.04</v>
      </c>
      <c r="F1692" s="4"/>
      <c r="G1692" s="7">
        <v>0.07</v>
      </c>
      <c r="H1692" s="7">
        <v>0.02</v>
      </c>
      <c r="I1692" s="7">
        <v>4473542.0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>
      <c r="A1693" s="5" t="s">
        <v>3369</v>
      </c>
      <c r="B1693" s="5" t="s">
        <v>3370</v>
      </c>
      <c r="C1693" s="4" t="s">
        <v>37</v>
      </c>
      <c r="D1693" s="6">
        <v>0.0</v>
      </c>
      <c r="E1693" s="6">
        <v>0.0</v>
      </c>
      <c r="F1693" s="4"/>
      <c r="G1693" s="7">
        <v>0.01</v>
      </c>
      <c r="H1693" s="7">
        <v>0.0</v>
      </c>
      <c r="I1693" s="7">
        <v>2975484.0</v>
      </c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>
      <c r="A1694" s="5" t="s">
        <v>3371</v>
      </c>
      <c r="B1694" s="5" t="s">
        <v>3372</v>
      </c>
      <c r="C1694" s="4" t="s">
        <v>172</v>
      </c>
      <c r="D1694" s="6" t="e">
        <v>#N/A</v>
      </c>
      <c r="E1694" s="6" t="e">
        <v>#N/A</v>
      </c>
      <c r="F1694" s="4"/>
      <c r="G1694" s="4"/>
      <c r="H1694" s="4"/>
      <c r="I1694" s="7" t="e">
        <v>#N/A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>
      <c r="A1695" s="5" t="s">
        <v>3373</v>
      </c>
      <c r="B1695" s="5" t="s">
        <v>3374</v>
      </c>
      <c r="C1695" s="4" t="s">
        <v>60</v>
      </c>
      <c r="D1695" s="6">
        <v>0.02</v>
      </c>
      <c r="E1695" s="6">
        <v>0.02</v>
      </c>
      <c r="F1695" s="4"/>
      <c r="G1695" s="7">
        <v>0.03</v>
      </c>
      <c r="H1695" s="7">
        <v>0.01</v>
      </c>
      <c r="I1695" s="7">
        <v>6453320.0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>
      <c r="A1696" s="5" t="s">
        <v>3375</v>
      </c>
      <c r="B1696" s="5" t="s">
        <v>3376</v>
      </c>
      <c r="C1696" s="4" t="s">
        <v>37</v>
      </c>
      <c r="D1696" s="6">
        <v>0.06</v>
      </c>
      <c r="E1696" s="6">
        <v>0.05</v>
      </c>
      <c r="F1696" s="4"/>
      <c r="G1696" s="7">
        <v>0.16</v>
      </c>
      <c r="H1696" s="7">
        <v>0.03</v>
      </c>
      <c r="I1696" s="7">
        <v>1.1413243E7</v>
      </c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>
      <c r="A1697" s="5" t="s">
        <v>3377</v>
      </c>
      <c r="B1697" s="5" t="s">
        <v>3378</v>
      </c>
      <c r="C1697" s="4" t="s">
        <v>169</v>
      </c>
      <c r="D1697" s="6">
        <v>1.47</v>
      </c>
      <c r="E1697" s="6">
        <v>1.46</v>
      </c>
      <c r="F1697" s="7">
        <v>13.17</v>
      </c>
      <c r="G1697" s="7">
        <v>1.5</v>
      </c>
      <c r="H1697" s="7">
        <v>1.1</v>
      </c>
      <c r="I1697" s="7">
        <v>1.100495382E9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>
      <c r="A1698" s="5" t="s">
        <v>3379</v>
      </c>
      <c r="B1698" s="5" t="s">
        <v>3380</v>
      </c>
      <c r="C1698" s="4" t="s">
        <v>37</v>
      </c>
      <c r="D1698" s="6">
        <v>0.01</v>
      </c>
      <c r="E1698" s="6">
        <v>0.01</v>
      </c>
      <c r="F1698" s="7">
        <v>2.42</v>
      </c>
      <c r="G1698" s="7">
        <v>0.01</v>
      </c>
      <c r="H1698" s="7">
        <v>0.01</v>
      </c>
      <c r="I1698" s="7">
        <v>3.3481889E7</v>
      </c>
      <c r="J1698" s="7">
        <v>1.62</v>
      </c>
      <c r="K1698" s="7">
        <v>1.645</v>
      </c>
      <c r="L1698" s="7">
        <v>1.69</v>
      </c>
      <c r="M1698" s="7">
        <v>1.095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>
      <c r="A1699" s="5" t="s">
        <v>3381</v>
      </c>
      <c r="B1699" s="5" t="s">
        <v>3382</v>
      </c>
      <c r="C1699" s="4" t="s">
        <v>961</v>
      </c>
      <c r="D1699" s="6">
        <v>0.32</v>
      </c>
      <c r="E1699" s="6">
        <v>0.31</v>
      </c>
      <c r="F1699" s="7">
        <v>711.11</v>
      </c>
      <c r="G1699" s="7">
        <v>0.33</v>
      </c>
      <c r="H1699" s="7">
        <v>0.24</v>
      </c>
      <c r="I1699" s="7">
        <v>2.70222105E8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>
      <c r="A1700" s="5" t="s">
        <v>3383</v>
      </c>
      <c r="B1700" s="5" t="s">
        <v>3384</v>
      </c>
      <c r="C1700" s="4" t="s">
        <v>17</v>
      </c>
      <c r="D1700" s="6">
        <v>0.01</v>
      </c>
      <c r="E1700" s="6">
        <v>0.01</v>
      </c>
      <c r="F1700" s="4"/>
      <c r="G1700" s="7">
        <v>0.02</v>
      </c>
      <c r="H1700" s="7">
        <v>0.0</v>
      </c>
      <c r="I1700" s="7">
        <v>4826560.0</v>
      </c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>
      <c r="A1701" s="5" t="s">
        <v>3385</v>
      </c>
      <c r="B1701" s="5" t="s">
        <v>3386</v>
      </c>
      <c r="C1701" s="4" t="s">
        <v>394</v>
      </c>
      <c r="D1701" s="6">
        <v>0.03</v>
      </c>
      <c r="E1701" s="6">
        <v>0.03</v>
      </c>
      <c r="F1701" s="4"/>
      <c r="G1701" s="7">
        <v>0.03</v>
      </c>
      <c r="H1701" s="7">
        <v>0.01</v>
      </c>
      <c r="I1701" s="7">
        <v>4602185.0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>
      <c r="A1702" s="5" t="s">
        <v>3387</v>
      </c>
      <c r="B1702" s="5" t="s">
        <v>3388</v>
      </c>
      <c r="C1702" s="4" t="s">
        <v>17</v>
      </c>
      <c r="D1702" s="6">
        <v>4.31</v>
      </c>
      <c r="E1702" s="6">
        <v>4.22</v>
      </c>
      <c r="F1702" s="4"/>
      <c r="G1702" s="7">
        <v>4.53</v>
      </c>
      <c r="H1702" s="7">
        <v>1.07</v>
      </c>
      <c r="I1702" s="7">
        <v>1.3881876245E10</v>
      </c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>
      <c r="A1703" s="5" t="s">
        <v>3389</v>
      </c>
      <c r="B1703" s="5" t="s">
        <v>3390</v>
      </c>
      <c r="C1703" s="4" t="s">
        <v>239</v>
      </c>
      <c r="D1703" s="6">
        <v>1.11</v>
      </c>
      <c r="E1703" s="6">
        <v>1.12</v>
      </c>
      <c r="F1703" s="7">
        <v>6.2</v>
      </c>
      <c r="G1703" s="7">
        <v>1.65</v>
      </c>
      <c r="H1703" s="7">
        <v>0.64</v>
      </c>
      <c r="I1703" s="7">
        <v>1.99651928E8</v>
      </c>
      <c r="J1703" s="7">
        <v>2.45</v>
      </c>
      <c r="K1703" s="7">
        <v>2.45</v>
      </c>
      <c r="L1703" s="7">
        <v>2.54</v>
      </c>
      <c r="M1703" s="7">
        <v>2.125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>
      <c r="A1704" s="5" t="s">
        <v>3391</v>
      </c>
      <c r="B1704" s="5" t="s">
        <v>3392</v>
      </c>
      <c r="C1704" s="4" t="s">
        <v>34</v>
      </c>
      <c r="D1704" s="6">
        <v>16.92</v>
      </c>
      <c r="E1704" s="6">
        <v>16.98</v>
      </c>
      <c r="F1704" s="4"/>
      <c r="G1704" s="7">
        <v>17.46</v>
      </c>
      <c r="H1704" s="7">
        <v>16.63</v>
      </c>
      <c r="I1704" s="7" t="e">
        <v>#N/A</v>
      </c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>
      <c r="A1705" s="5" t="s">
        <v>3393</v>
      </c>
      <c r="B1705" s="5" t="s">
        <v>3394</v>
      </c>
      <c r="C1705" s="4" t="s">
        <v>14</v>
      </c>
      <c r="D1705" s="6">
        <v>0.27</v>
      </c>
      <c r="E1705" s="6">
        <v>0.25</v>
      </c>
      <c r="F1705" s="4"/>
      <c r="G1705" s="7">
        <v>0.47</v>
      </c>
      <c r="H1705" s="7">
        <v>0.11</v>
      </c>
      <c r="I1705" s="7">
        <v>1.19642299E8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>
      <c r="A1706" s="5" t="s">
        <v>3395</v>
      </c>
      <c r="B1706" s="5" t="s">
        <v>3396</v>
      </c>
      <c r="C1706" s="4" t="s">
        <v>60</v>
      </c>
      <c r="D1706" s="6">
        <v>222.63</v>
      </c>
      <c r="E1706" s="6">
        <v>220.87</v>
      </c>
      <c r="F1706" s="7">
        <v>202.23</v>
      </c>
      <c r="G1706" s="7">
        <v>336.0</v>
      </c>
      <c r="H1706" s="7">
        <v>161.64</v>
      </c>
      <c r="I1706" s="7">
        <v>2.3267239914E10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>
      <c r="A1707" s="5" t="s">
        <v>3397</v>
      </c>
      <c r="B1707" s="5" t="s">
        <v>3398</v>
      </c>
      <c r="C1707" s="4" t="s">
        <v>3399</v>
      </c>
      <c r="D1707" s="6" t="e">
        <v>#N/A</v>
      </c>
      <c r="E1707" s="6" t="e">
        <v>#N/A</v>
      </c>
      <c r="F1707" s="4"/>
      <c r="G1707" s="4"/>
      <c r="H1707" s="4"/>
      <c r="I1707" s="7" t="e">
        <v>#N/A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>
      <c r="A1708" s="5" t="s">
        <v>3400</v>
      </c>
      <c r="B1708" s="5" t="s">
        <v>3401</v>
      </c>
      <c r="C1708" s="4" t="s">
        <v>37</v>
      </c>
      <c r="D1708" s="6" t="e">
        <v>#N/A</v>
      </c>
      <c r="E1708" s="6" t="e">
        <v>#N/A</v>
      </c>
      <c r="F1708" s="4"/>
      <c r="G1708" s="4"/>
      <c r="H1708" s="4"/>
      <c r="I1708" s="7" t="e">
        <v>#N/A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>
      <c r="A1709" s="5" t="s">
        <v>3402</v>
      </c>
      <c r="B1709" s="5" t="s">
        <v>3403</v>
      </c>
      <c r="C1709" s="4" t="s">
        <v>17</v>
      </c>
      <c r="D1709" s="6">
        <v>0.6</v>
      </c>
      <c r="E1709" s="6">
        <v>0.61</v>
      </c>
      <c r="F1709" s="4"/>
      <c r="G1709" s="7">
        <v>0.65</v>
      </c>
      <c r="H1709" s="7">
        <v>0.19</v>
      </c>
      <c r="I1709" s="7">
        <v>9.07356151E8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>
      <c r="A1710" s="5" t="s">
        <v>3404</v>
      </c>
      <c r="B1710" s="5" t="s">
        <v>3405</v>
      </c>
      <c r="C1710" s="4" t="s">
        <v>618</v>
      </c>
      <c r="D1710" s="6">
        <v>13.83</v>
      </c>
      <c r="E1710" s="6">
        <v>13.79</v>
      </c>
      <c r="F1710" s="7">
        <v>15.38</v>
      </c>
      <c r="G1710" s="7">
        <v>34.91</v>
      </c>
      <c r="H1710" s="7">
        <v>13.76</v>
      </c>
      <c r="I1710" s="7">
        <v>2.211139004E9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>
      <c r="A1711" s="5" t="s">
        <v>3406</v>
      </c>
      <c r="B1711" s="5" t="s">
        <v>3407</v>
      </c>
      <c r="C1711" s="4" t="s">
        <v>872</v>
      </c>
      <c r="D1711" s="6">
        <v>0.68</v>
      </c>
      <c r="E1711" s="6">
        <v>0.67</v>
      </c>
      <c r="F1711" s="7">
        <v>18.63</v>
      </c>
      <c r="G1711" s="7">
        <v>0.79</v>
      </c>
      <c r="H1711" s="7">
        <v>0.37</v>
      </c>
      <c r="I1711" s="7">
        <v>1.08474893E8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>
      <c r="A1712" s="5" t="s">
        <v>3408</v>
      </c>
      <c r="B1712" s="5" t="s">
        <v>3409</v>
      </c>
      <c r="C1712" s="4" t="s">
        <v>169</v>
      </c>
      <c r="D1712" s="6">
        <v>17.12</v>
      </c>
      <c r="E1712" s="6">
        <v>17.15</v>
      </c>
      <c r="F1712" s="7">
        <v>27.45</v>
      </c>
      <c r="G1712" s="7">
        <v>27.11</v>
      </c>
      <c r="H1712" s="7">
        <v>13.59</v>
      </c>
      <c r="I1712" s="7">
        <v>3.910175663E9</v>
      </c>
      <c r="J1712" s="7">
        <v>67.57</v>
      </c>
      <c r="K1712" s="7">
        <v>67.57</v>
      </c>
      <c r="L1712" s="7">
        <v>70.0</v>
      </c>
      <c r="M1712" s="7">
        <v>55.41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>
      <c r="A1713" s="5" t="s">
        <v>3410</v>
      </c>
      <c r="B1713" s="5" t="s">
        <v>3411</v>
      </c>
      <c r="C1713" s="4" t="s">
        <v>37</v>
      </c>
      <c r="D1713" s="6">
        <v>0.02</v>
      </c>
      <c r="E1713" s="6">
        <v>0.02</v>
      </c>
      <c r="F1713" s="4"/>
      <c r="G1713" s="7">
        <v>0.02</v>
      </c>
      <c r="H1713" s="7">
        <v>0.02</v>
      </c>
      <c r="I1713" s="7">
        <v>1.0539984E7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>
      <c r="A1714" s="5" t="s">
        <v>3412</v>
      </c>
      <c r="B1714" s="5" t="s">
        <v>3413</v>
      </c>
      <c r="C1714" s="4" t="s">
        <v>17</v>
      </c>
      <c r="D1714" s="6">
        <v>0.09</v>
      </c>
      <c r="E1714" s="6">
        <v>0.08</v>
      </c>
      <c r="F1714" s="4"/>
      <c r="G1714" s="7">
        <v>0.31</v>
      </c>
      <c r="H1714" s="7">
        <v>0.06</v>
      </c>
      <c r="I1714" s="7">
        <v>2.5121745E7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>
      <c r="A1715" s="5" t="s">
        <v>3414</v>
      </c>
      <c r="B1715" s="5" t="s">
        <v>3415</v>
      </c>
      <c r="C1715" s="4" t="s">
        <v>86</v>
      </c>
      <c r="D1715" s="6">
        <v>5.16</v>
      </c>
      <c r="E1715" s="6">
        <v>4.89</v>
      </c>
      <c r="F1715" s="7">
        <v>35.55</v>
      </c>
      <c r="G1715" s="7">
        <v>6.61</v>
      </c>
      <c r="H1715" s="7">
        <v>1.5</v>
      </c>
      <c r="I1715" s="7">
        <v>2.033973383E9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>
      <c r="A1716" s="5" t="s">
        <v>3416</v>
      </c>
      <c r="B1716" s="5" t="s">
        <v>3417</v>
      </c>
      <c r="C1716" s="4" t="s">
        <v>17</v>
      </c>
      <c r="D1716" s="6">
        <v>0.01</v>
      </c>
      <c r="E1716" s="6">
        <v>0.01</v>
      </c>
      <c r="F1716" s="4"/>
      <c r="G1716" s="7">
        <v>0.02</v>
      </c>
      <c r="H1716" s="7">
        <v>0.01</v>
      </c>
      <c r="I1716" s="7">
        <v>3675350.0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>
      <c r="A1717" s="5" t="s">
        <v>3418</v>
      </c>
      <c r="B1717" s="5" t="s">
        <v>3419</v>
      </c>
      <c r="C1717" s="4" t="s">
        <v>274</v>
      </c>
      <c r="D1717" s="6">
        <v>1.25</v>
      </c>
      <c r="E1717" s="6">
        <v>1.23</v>
      </c>
      <c r="F1717" s="7">
        <v>65.51</v>
      </c>
      <c r="G1717" s="7">
        <v>2.36</v>
      </c>
      <c r="H1717" s="7">
        <v>0.93</v>
      </c>
      <c r="I1717" s="7">
        <v>8.6355375E8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>
      <c r="A1718" s="5" t="s">
        <v>3420</v>
      </c>
      <c r="B1718" s="5" t="s">
        <v>3421</v>
      </c>
      <c r="C1718" s="4" t="s">
        <v>17</v>
      </c>
      <c r="D1718" s="6">
        <v>0.08</v>
      </c>
      <c r="E1718" s="6">
        <v>0.09</v>
      </c>
      <c r="F1718" s="4"/>
      <c r="G1718" s="7">
        <v>0.12</v>
      </c>
      <c r="H1718" s="7">
        <v>0.02</v>
      </c>
      <c r="I1718" s="7">
        <v>8.1973494E7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>
      <c r="A1719" s="5" t="s">
        <v>3422</v>
      </c>
      <c r="B1719" s="5" t="s">
        <v>3423</v>
      </c>
      <c r="C1719" s="4" t="s">
        <v>86</v>
      </c>
      <c r="D1719" s="6">
        <v>1.28</v>
      </c>
      <c r="E1719" s="6">
        <v>1.26</v>
      </c>
      <c r="F1719" s="4"/>
      <c r="G1719" s="7">
        <v>1.5</v>
      </c>
      <c r="H1719" s="7">
        <v>0.63</v>
      </c>
      <c r="I1719" s="7">
        <v>3.95878263E8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>
      <c r="A1720" s="5" t="s">
        <v>3424</v>
      </c>
      <c r="B1720" s="5" t="s">
        <v>3425</v>
      </c>
      <c r="C1720" s="4" t="s">
        <v>141</v>
      </c>
      <c r="D1720" s="6">
        <v>1.97</v>
      </c>
      <c r="E1720" s="6">
        <v>1.98</v>
      </c>
      <c r="F1720" s="7">
        <v>15.74</v>
      </c>
      <c r="G1720" s="7">
        <v>2.1</v>
      </c>
      <c r="H1720" s="7">
        <v>1.26</v>
      </c>
      <c r="I1720" s="7">
        <v>9.19932254E8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>
      <c r="A1721" s="5" t="s">
        <v>3426</v>
      </c>
      <c r="B1721" s="5" t="s">
        <v>3427</v>
      </c>
      <c r="C1721" s="4" t="s">
        <v>506</v>
      </c>
      <c r="D1721" s="6">
        <v>0.87</v>
      </c>
      <c r="E1721" s="6">
        <v>0.89</v>
      </c>
      <c r="F1721" s="4"/>
      <c r="G1721" s="7">
        <v>1.03</v>
      </c>
      <c r="H1721" s="7">
        <v>0.59</v>
      </c>
      <c r="I1721" s="7">
        <v>9.506751E7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>
      <c r="A1722" s="5" t="s">
        <v>3428</v>
      </c>
      <c r="B1722" s="5" t="s">
        <v>3429</v>
      </c>
      <c r="C1722" s="4" t="s">
        <v>373</v>
      </c>
      <c r="D1722" s="6">
        <v>0.02</v>
      </c>
      <c r="E1722" s="6">
        <v>0.02</v>
      </c>
      <c r="F1722" s="4"/>
      <c r="G1722" s="7">
        <v>0.03</v>
      </c>
      <c r="H1722" s="7">
        <v>0.01</v>
      </c>
      <c r="I1722" s="7">
        <v>3270380.0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>
      <c r="A1723" s="5" t="s">
        <v>3430</v>
      </c>
      <c r="B1723" s="5" t="s">
        <v>3431</v>
      </c>
      <c r="C1723" s="4" t="s">
        <v>20</v>
      </c>
      <c r="D1723" s="6">
        <v>0.47</v>
      </c>
      <c r="E1723" s="6">
        <v>0.48</v>
      </c>
      <c r="F1723" s="4"/>
      <c r="G1723" s="7">
        <v>0.72</v>
      </c>
      <c r="H1723" s="7">
        <v>0.28</v>
      </c>
      <c r="I1723" s="7">
        <v>4.1787941E7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>
      <c r="A1724" s="5" t="s">
        <v>3432</v>
      </c>
      <c r="B1724" s="5" t="s">
        <v>3433</v>
      </c>
      <c r="C1724" s="4" t="s">
        <v>1470</v>
      </c>
      <c r="D1724" s="6">
        <v>0.05</v>
      </c>
      <c r="E1724" s="6">
        <v>0.05</v>
      </c>
      <c r="F1724" s="7">
        <v>38.4</v>
      </c>
      <c r="G1724" s="7">
        <v>0.05</v>
      </c>
      <c r="H1724" s="7">
        <v>0.03</v>
      </c>
      <c r="I1724" s="7">
        <v>5.50272E7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>
      <c r="A1725" s="5" t="s">
        <v>3434</v>
      </c>
      <c r="B1725" s="5" t="s">
        <v>3435</v>
      </c>
      <c r="C1725" s="4" t="s">
        <v>239</v>
      </c>
      <c r="D1725" s="6">
        <v>2.24</v>
      </c>
      <c r="E1725" s="6">
        <v>2.16</v>
      </c>
      <c r="F1725" s="7">
        <v>10.44</v>
      </c>
      <c r="G1725" s="7">
        <v>2.58</v>
      </c>
      <c r="H1725" s="7">
        <v>1.27</v>
      </c>
      <c r="I1725" s="7">
        <v>9.9571338E8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>
      <c r="A1726" s="5" t="s">
        <v>3436</v>
      </c>
      <c r="B1726" s="5" t="s">
        <v>3437</v>
      </c>
      <c r="C1726" s="4" t="s">
        <v>31</v>
      </c>
      <c r="D1726" s="6">
        <v>0.79</v>
      </c>
      <c r="E1726" s="6">
        <v>0.8</v>
      </c>
      <c r="F1726" s="7">
        <v>27.92</v>
      </c>
      <c r="G1726" s="7">
        <v>0.95</v>
      </c>
      <c r="H1726" s="7">
        <v>0.56</v>
      </c>
      <c r="I1726" s="7">
        <v>3.75593818E8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>
      <c r="A1727" s="5" t="s">
        <v>3438</v>
      </c>
      <c r="B1727" s="5" t="s">
        <v>3439</v>
      </c>
      <c r="C1727" s="4" t="s">
        <v>169</v>
      </c>
      <c r="D1727" s="6">
        <v>18.88</v>
      </c>
      <c r="E1727" s="6">
        <v>18.66</v>
      </c>
      <c r="F1727" s="4"/>
      <c r="G1727" s="7">
        <v>24.08</v>
      </c>
      <c r="H1727" s="7">
        <v>14.98</v>
      </c>
      <c r="I1727" s="7">
        <v>2.181196863E9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>
      <c r="A1728" s="5" t="s">
        <v>3440</v>
      </c>
      <c r="B1728" s="5" t="s">
        <v>3441</v>
      </c>
      <c r="C1728" s="4" t="s">
        <v>3442</v>
      </c>
      <c r="D1728" s="6">
        <v>0.01</v>
      </c>
      <c r="E1728" s="6">
        <v>0.01</v>
      </c>
      <c r="F1728" s="4"/>
      <c r="G1728" s="7">
        <v>0.05</v>
      </c>
      <c r="H1728" s="7">
        <v>0.01</v>
      </c>
      <c r="I1728" s="7">
        <v>5547440.0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>
      <c r="A1729" s="5" t="s">
        <v>3443</v>
      </c>
      <c r="B1729" s="5" t="s">
        <v>3444</v>
      </c>
      <c r="C1729" s="4" t="s">
        <v>17</v>
      </c>
      <c r="D1729" s="6">
        <v>0.2</v>
      </c>
      <c r="E1729" s="6">
        <v>0.2</v>
      </c>
      <c r="F1729" s="4"/>
      <c r="G1729" s="7">
        <v>0.22</v>
      </c>
      <c r="H1729" s="7">
        <v>0.09</v>
      </c>
      <c r="I1729" s="7">
        <v>1.127921E7</v>
      </c>
      <c r="J1729" s="7">
        <v>0.003</v>
      </c>
      <c r="K1729" s="7">
        <v>0.003</v>
      </c>
      <c r="L1729" s="7">
        <v>0.006</v>
      </c>
      <c r="M1729" s="7">
        <v>0.002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>
      <c r="A1730" s="5" t="s">
        <v>3445</v>
      </c>
      <c r="B1730" s="5" t="s">
        <v>3446</v>
      </c>
      <c r="C1730" s="4" t="s">
        <v>17</v>
      </c>
      <c r="D1730" s="6">
        <v>0.14</v>
      </c>
      <c r="E1730" s="6">
        <v>0.14</v>
      </c>
      <c r="F1730" s="4"/>
      <c r="G1730" s="7">
        <v>0.24</v>
      </c>
      <c r="H1730" s="7">
        <v>0.05</v>
      </c>
      <c r="I1730" s="7">
        <v>1.303282E7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>
      <c r="A1731" s="5" t="s">
        <v>3447</v>
      </c>
      <c r="B1731" s="5" t="s">
        <v>3448</v>
      </c>
      <c r="C1731" s="4" t="s">
        <v>3449</v>
      </c>
      <c r="D1731" s="6">
        <v>1.27</v>
      </c>
      <c r="E1731" s="6">
        <v>1.27</v>
      </c>
      <c r="F1731" s="7">
        <v>13.36</v>
      </c>
      <c r="G1731" s="7">
        <v>1.9</v>
      </c>
      <c r="H1731" s="7">
        <v>1.24</v>
      </c>
      <c r="I1731" s="7">
        <v>1.406527E8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>
      <c r="A1732" s="5" t="s">
        <v>3450</v>
      </c>
      <c r="B1732" s="5" t="s">
        <v>3451</v>
      </c>
      <c r="C1732" s="4" t="s">
        <v>76</v>
      </c>
      <c r="D1732" s="6">
        <v>0.0</v>
      </c>
      <c r="E1732" s="6">
        <v>0.0</v>
      </c>
      <c r="F1732" s="4"/>
      <c r="G1732" s="7">
        <v>0.01</v>
      </c>
      <c r="H1732" s="7">
        <v>0.0</v>
      </c>
      <c r="I1732" s="7">
        <v>583764.0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>
      <c r="A1733" s="5" t="s">
        <v>3452</v>
      </c>
      <c r="B1733" s="5" t="s">
        <v>3453</v>
      </c>
      <c r="C1733" s="4" t="s">
        <v>394</v>
      </c>
      <c r="D1733" s="6">
        <v>2.82</v>
      </c>
      <c r="E1733" s="6">
        <v>2.79</v>
      </c>
      <c r="F1733" s="7">
        <v>22.47</v>
      </c>
      <c r="G1733" s="7">
        <v>2.98</v>
      </c>
      <c r="H1733" s="7">
        <v>1.11</v>
      </c>
      <c r="I1733" s="7">
        <v>4.95255651E8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>
      <c r="A1734" s="5" t="s">
        <v>3454</v>
      </c>
      <c r="B1734" s="5" t="s">
        <v>3455</v>
      </c>
      <c r="C1734" s="4" t="s">
        <v>14</v>
      </c>
      <c r="D1734" s="6">
        <v>0.14</v>
      </c>
      <c r="E1734" s="6">
        <v>0.14</v>
      </c>
      <c r="F1734" s="4"/>
      <c r="G1734" s="7">
        <v>0.56</v>
      </c>
      <c r="H1734" s="7">
        <v>0.13</v>
      </c>
      <c r="I1734" s="7">
        <v>1.0694173E7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>
      <c r="A1735" s="5" t="s">
        <v>3456</v>
      </c>
      <c r="B1735" s="5" t="s">
        <v>3457</v>
      </c>
      <c r="C1735" s="4" t="s">
        <v>86</v>
      </c>
      <c r="D1735" s="6">
        <v>5.64</v>
      </c>
      <c r="E1735" s="6">
        <v>5.68</v>
      </c>
      <c r="F1735" s="7">
        <v>14.06</v>
      </c>
      <c r="G1735" s="7">
        <v>5.85</v>
      </c>
      <c r="H1735" s="7">
        <v>2.56</v>
      </c>
      <c r="I1735" s="7">
        <v>7.620937019E9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>
      <c r="A1736" s="5" t="s">
        <v>3458</v>
      </c>
      <c r="B1736" s="5" t="s">
        <v>3459</v>
      </c>
      <c r="C1736" s="4" t="s">
        <v>17</v>
      </c>
      <c r="D1736" s="6">
        <v>0.06</v>
      </c>
      <c r="E1736" s="6">
        <v>0.06</v>
      </c>
      <c r="F1736" s="4"/>
      <c r="G1736" s="7">
        <v>0.08</v>
      </c>
      <c r="H1736" s="7">
        <v>0.02</v>
      </c>
      <c r="I1736" s="7">
        <v>1.8573849E7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>
      <c r="A1737" s="5" t="s">
        <v>3460</v>
      </c>
      <c r="B1737" s="5" t="s">
        <v>3461</v>
      </c>
      <c r="C1737" s="4" t="s">
        <v>37</v>
      </c>
      <c r="D1737" s="6">
        <v>0.26</v>
      </c>
      <c r="E1737" s="6">
        <v>0.26</v>
      </c>
      <c r="F1737" s="4"/>
      <c r="G1737" s="7">
        <v>0.27</v>
      </c>
      <c r="H1737" s="7">
        <v>0.09</v>
      </c>
      <c r="I1737" s="7">
        <v>1.76336984E8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>
      <c r="A1738" s="5" t="s">
        <v>3462</v>
      </c>
      <c r="B1738" s="5" t="s">
        <v>3463</v>
      </c>
      <c r="C1738" s="4" t="s">
        <v>17</v>
      </c>
      <c r="D1738" s="6">
        <v>0.03</v>
      </c>
      <c r="E1738" s="6">
        <v>0.03</v>
      </c>
      <c r="F1738" s="4"/>
      <c r="G1738" s="7">
        <v>0.04</v>
      </c>
      <c r="H1738" s="7">
        <v>0.01</v>
      </c>
      <c r="I1738" s="7">
        <v>2.1130807E7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>
      <c r="A1739" s="5" t="s">
        <v>3464</v>
      </c>
      <c r="B1739" s="5" t="s">
        <v>3465</v>
      </c>
      <c r="C1739" s="4" t="s">
        <v>68</v>
      </c>
      <c r="D1739" s="6">
        <v>0.05</v>
      </c>
      <c r="E1739" s="6">
        <v>0.05</v>
      </c>
      <c r="F1739" s="4"/>
      <c r="G1739" s="7">
        <v>0.1</v>
      </c>
      <c r="H1739" s="7">
        <v>0.04</v>
      </c>
      <c r="I1739" s="7">
        <v>7527494.0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>
      <c r="A1740" s="5" t="s">
        <v>3466</v>
      </c>
      <c r="B1740" s="5" t="s">
        <v>3467</v>
      </c>
      <c r="C1740" s="4" t="s">
        <v>17</v>
      </c>
      <c r="D1740" s="6">
        <v>0.07</v>
      </c>
      <c r="E1740" s="6">
        <v>0.07</v>
      </c>
      <c r="F1740" s="4"/>
      <c r="G1740" s="7">
        <v>0.1</v>
      </c>
      <c r="H1740" s="7">
        <v>0.05</v>
      </c>
      <c r="I1740" s="7">
        <v>1.0650759E8</v>
      </c>
      <c r="J1740" s="7">
        <v>0.019</v>
      </c>
      <c r="K1740" s="7">
        <v>0.019</v>
      </c>
      <c r="L1740" s="7">
        <v>0.034</v>
      </c>
      <c r="M1740" s="7">
        <v>0.008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>
      <c r="A1741" s="5" t="s">
        <v>3468</v>
      </c>
      <c r="B1741" s="5" t="s">
        <v>3469</v>
      </c>
      <c r="C1741" s="4" t="s">
        <v>17</v>
      </c>
      <c r="D1741" s="6">
        <v>0.3</v>
      </c>
      <c r="E1741" s="6">
        <v>0.28</v>
      </c>
      <c r="F1741" s="4"/>
      <c r="G1741" s="7">
        <v>0.49</v>
      </c>
      <c r="H1741" s="7">
        <v>0.21</v>
      </c>
      <c r="I1741" s="7">
        <v>1.15916884E8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>
      <c r="A1742" s="5" t="s">
        <v>3470</v>
      </c>
      <c r="B1742" s="5" t="s">
        <v>3471</v>
      </c>
      <c r="C1742" s="4" t="s">
        <v>23</v>
      </c>
      <c r="D1742" s="6">
        <v>0.08</v>
      </c>
      <c r="E1742" s="6">
        <v>0.08</v>
      </c>
      <c r="F1742" s="4"/>
      <c r="G1742" s="7">
        <v>0.13</v>
      </c>
      <c r="H1742" s="7">
        <v>0.04</v>
      </c>
      <c r="I1742" s="7">
        <v>9.1639466E7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>
      <c r="A1743" s="5" t="s">
        <v>3472</v>
      </c>
      <c r="B1743" s="5" t="s">
        <v>3473</v>
      </c>
      <c r="C1743" s="4" t="s">
        <v>17</v>
      </c>
      <c r="D1743" s="6">
        <v>0.09</v>
      </c>
      <c r="E1743" s="6">
        <v>0.1</v>
      </c>
      <c r="F1743" s="4"/>
      <c r="G1743" s="7">
        <v>0.13</v>
      </c>
      <c r="H1743" s="7">
        <v>0.04</v>
      </c>
      <c r="I1743" s="7">
        <v>1.7318423E7</v>
      </c>
      <c r="J1743" s="7">
        <v>0.014</v>
      </c>
      <c r="K1743" s="7">
        <v>0.014</v>
      </c>
      <c r="L1743" s="7">
        <v>0.35</v>
      </c>
      <c r="M1743" s="7">
        <v>0.014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>
      <c r="A1744" s="5" t="s">
        <v>3474</v>
      </c>
      <c r="B1744" s="5" t="s">
        <v>3475</v>
      </c>
      <c r="C1744" s="4" t="s">
        <v>104</v>
      </c>
      <c r="D1744" s="6">
        <v>0.01</v>
      </c>
      <c r="E1744" s="6">
        <v>0.01</v>
      </c>
      <c r="F1744" s="4"/>
      <c r="G1744" s="7">
        <v>0.03</v>
      </c>
      <c r="H1744" s="7">
        <v>0.01</v>
      </c>
      <c r="I1744" s="7">
        <v>1.8224864E7</v>
      </c>
      <c r="J1744" s="7">
        <v>0.003</v>
      </c>
      <c r="K1744" s="7">
        <v>0.003</v>
      </c>
      <c r="L1744" s="7">
        <v>0.004</v>
      </c>
      <c r="M1744" s="7">
        <v>0.002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>
      <c r="A1745" s="5" t="s">
        <v>3476</v>
      </c>
      <c r="B1745" s="5" t="s">
        <v>3477</v>
      </c>
      <c r="C1745" s="4" t="s">
        <v>76</v>
      </c>
      <c r="D1745" s="6">
        <v>0.06</v>
      </c>
      <c r="E1745" s="6">
        <v>0.06</v>
      </c>
      <c r="F1745" s="7">
        <v>12.76</v>
      </c>
      <c r="G1745" s="7">
        <v>0.07</v>
      </c>
      <c r="H1745" s="7">
        <v>0.03</v>
      </c>
      <c r="I1745" s="7">
        <v>7.4250764E7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>
      <c r="A1746" s="5" t="s">
        <v>3478</v>
      </c>
      <c r="B1746" s="5" t="s">
        <v>3479</v>
      </c>
      <c r="C1746" s="4" t="s">
        <v>169</v>
      </c>
      <c r="D1746" s="6">
        <v>0.15</v>
      </c>
      <c r="E1746" s="6">
        <v>0.15</v>
      </c>
      <c r="F1746" s="7">
        <v>13.55</v>
      </c>
      <c r="G1746" s="7">
        <v>0.17</v>
      </c>
      <c r="H1746" s="7">
        <v>0.08</v>
      </c>
      <c r="I1746" s="7">
        <v>2.391981E7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>
      <c r="A1747" s="5" t="s">
        <v>3480</v>
      </c>
      <c r="B1747" s="5" t="s">
        <v>3481</v>
      </c>
      <c r="C1747" s="4" t="s">
        <v>37</v>
      </c>
      <c r="D1747" s="6">
        <v>0.02</v>
      </c>
      <c r="E1747" s="6">
        <v>0.02</v>
      </c>
      <c r="F1747" s="4"/>
      <c r="G1747" s="7">
        <v>0.03</v>
      </c>
      <c r="H1747" s="7">
        <v>0.01</v>
      </c>
      <c r="I1747" s="7">
        <v>1.5731069E7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>
      <c r="A1748" s="5" t="s">
        <v>3482</v>
      </c>
      <c r="B1748" s="5" t="s">
        <v>3483</v>
      </c>
      <c r="C1748" s="4" t="s">
        <v>86</v>
      </c>
      <c r="D1748" s="6">
        <v>0.02</v>
      </c>
      <c r="E1748" s="6">
        <v>0.02</v>
      </c>
      <c r="F1748" s="4"/>
      <c r="G1748" s="7">
        <v>0.04</v>
      </c>
      <c r="H1748" s="7">
        <v>0.01</v>
      </c>
      <c r="I1748" s="7">
        <v>4485376.0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>
      <c r="A1749" s="5" t="s">
        <v>3484</v>
      </c>
      <c r="B1749" s="5" t="s">
        <v>3485</v>
      </c>
      <c r="C1749" s="4" t="s">
        <v>146</v>
      </c>
      <c r="D1749" s="6">
        <v>7.9</v>
      </c>
      <c r="E1749" s="6">
        <v>7.85</v>
      </c>
      <c r="F1749" s="7">
        <v>81.33</v>
      </c>
      <c r="G1749" s="7">
        <v>9.03</v>
      </c>
      <c r="H1749" s="7">
        <v>5.96</v>
      </c>
      <c r="I1749" s="7">
        <v>7.94535399E8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>
      <c r="A1750" s="5" t="s">
        <v>3486</v>
      </c>
      <c r="B1750" s="5" t="s">
        <v>3487</v>
      </c>
      <c r="C1750" s="4" t="s">
        <v>221</v>
      </c>
      <c r="D1750" s="6">
        <v>0.01</v>
      </c>
      <c r="E1750" s="6">
        <v>0.01</v>
      </c>
      <c r="F1750" s="7">
        <v>1300.0</v>
      </c>
      <c r="G1750" s="7">
        <v>0.02</v>
      </c>
      <c r="H1750" s="7">
        <v>0.01</v>
      </c>
      <c r="I1750" s="7">
        <v>4.6780786E7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>
      <c r="A1751" s="5" t="s">
        <v>3488</v>
      </c>
      <c r="B1751" s="5" t="s">
        <v>3489</v>
      </c>
      <c r="C1751" s="4" t="s">
        <v>432</v>
      </c>
      <c r="D1751" s="6">
        <v>1.83</v>
      </c>
      <c r="E1751" s="6">
        <v>1.86</v>
      </c>
      <c r="F1751" s="7">
        <v>26.03</v>
      </c>
      <c r="G1751" s="7">
        <v>2.05</v>
      </c>
      <c r="H1751" s="7">
        <v>1.21</v>
      </c>
      <c r="I1751" s="7">
        <v>3.14381197E8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>
      <c r="A1752" s="5" t="s">
        <v>3490</v>
      </c>
      <c r="B1752" s="5" t="s">
        <v>3491</v>
      </c>
      <c r="C1752" s="4" t="s">
        <v>68</v>
      </c>
      <c r="D1752" s="6">
        <v>13.4</v>
      </c>
      <c r="E1752" s="6">
        <v>13.43</v>
      </c>
      <c r="F1752" s="4"/>
      <c r="G1752" s="7">
        <v>17.18</v>
      </c>
      <c r="H1752" s="7">
        <v>10.65</v>
      </c>
      <c r="I1752" s="7">
        <v>2.379864052E9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>
      <c r="A1753" s="5" t="s">
        <v>3492</v>
      </c>
      <c r="B1753" s="5" t="s">
        <v>3493</v>
      </c>
      <c r="C1753" s="4" t="s">
        <v>76</v>
      </c>
      <c r="D1753" s="6">
        <v>0.0</v>
      </c>
      <c r="E1753" s="6">
        <v>0.0</v>
      </c>
      <c r="F1753" s="4"/>
      <c r="G1753" s="7">
        <v>0.0</v>
      </c>
      <c r="H1753" s="7">
        <v>0.0</v>
      </c>
      <c r="I1753" s="7">
        <v>5400580.0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>
      <c r="A1754" s="5" t="s">
        <v>3494</v>
      </c>
      <c r="B1754" s="5" t="s">
        <v>3495</v>
      </c>
      <c r="C1754" s="4" t="s">
        <v>17</v>
      </c>
      <c r="D1754" s="6">
        <v>0.02</v>
      </c>
      <c r="E1754" s="6">
        <v>0.02</v>
      </c>
      <c r="F1754" s="4"/>
      <c r="G1754" s="7">
        <v>0.03</v>
      </c>
      <c r="H1754" s="7">
        <v>0.01</v>
      </c>
      <c r="I1754" s="7">
        <v>5.9948069E7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>
      <c r="A1755" s="5" t="s">
        <v>3496</v>
      </c>
      <c r="B1755" s="5" t="s">
        <v>3497</v>
      </c>
      <c r="C1755" s="4" t="s">
        <v>23</v>
      </c>
      <c r="D1755" s="6">
        <v>1.66</v>
      </c>
      <c r="E1755" s="6">
        <v>1.66</v>
      </c>
      <c r="F1755" s="4"/>
      <c r="G1755" s="7">
        <v>1.73</v>
      </c>
      <c r="H1755" s="7">
        <v>0.85</v>
      </c>
      <c r="I1755" s="7">
        <v>9.62388441E8</v>
      </c>
      <c r="J1755" s="7">
        <v>0.12</v>
      </c>
      <c r="K1755" s="7">
        <v>0.11</v>
      </c>
      <c r="L1755" s="7">
        <v>0.23</v>
      </c>
      <c r="M1755" s="7">
        <v>0.025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>
      <c r="A1756" s="5" t="s">
        <v>3498</v>
      </c>
      <c r="B1756" s="5" t="s">
        <v>3499</v>
      </c>
      <c r="C1756" s="4" t="s">
        <v>169</v>
      </c>
      <c r="D1756" s="6">
        <v>3.6</v>
      </c>
      <c r="E1756" s="6">
        <v>3.58</v>
      </c>
      <c r="F1756" s="7">
        <v>32.28</v>
      </c>
      <c r="G1756" s="7">
        <v>4.1</v>
      </c>
      <c r="H1756" s="7">
        <v>2.14</v>
      </c>
      <c r="I1756" s="7">
        <v>1.085128171E9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>
      <c r="A1757" s="5" t="s">
        <v>3500</v>
      </c>
      <c r="B1757" s="5" t="s">
        <v>3501</v>
      </c>
      <c r="C1757" s="4" t="s">
        <v>309</v>
      </c>
      <c r="D1757" s="6">
        <v>10.49</v>
      </c>
      <c r="E1757" s="6">
        <v>10.38</v>
      </c>
      <c r="F1757" s="7">
        <v>10.0</v>
      </c>
      <c r="G1757" s="7">
        <v>12.62</v>
      </c>
      <c r="H1757" s="7">
        <v>7.55</v>
      </c>
      <c r="I1757" s="7">
        <v>1.5873457163E10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>
      <c r="A1758" s="5" t="s">
        <v>3502</v>
      </c>
      <c r="B1758" s="5" t="s">
        <v>3503</v>
      </c>
      <c r="C1758" s="4" t="s">
        <v>34</v>
      </c>
      <c r="D1758" s="6">
        <v>34.98</v>
      </c>
      <c r="E1758" s="6">
        <v>34.75</v>
      </c>
      <c r="F1758" s="4"/>
      <c r="G1758" s="7">
        <v>36.39</v>
      </c>
      <c r="H1758" s="7">
        <v>21.55</v>
      </c>
      <c r="I1758" s="7" t="e">
        <v>#N/A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>
      <c r="A1759" s="5" t="s">
        <v>3504</v>
      </c>
      <c r="B1759" s="5" t="s">
        <v>3505</v>
      </c>
      <c r="C1759" s="4" t="s">
        <v>2112</v>
      </c>
      <c r="D1759" s="6">
        <v>19.81</v>
      </c>
      <c r="E1759" s="6">
        <v>19.89</v>
      </c>
      <c r="F1759" s="7">
        <v>10.35</v>
      </c>
      <c r="G1759" s="7">
        <v>24.2</v>
      </c>
      <c r="H1759" s="7">
        <v>18.38</v>
      </c>
      <c r="I1759" s="7">
        <v>2.9917001763E10</v>
      </c>
      <c r="J1759" s="7">
        <v>0.004</v>
      </c>
      <c r="K1759" s="7">
        <v>0.0045</v>
      </c>
      <c r="L1759" s="7">
        <v>0.007</v>
      </c>
      <c r="M1759" s="7">
        <v>0.002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>
      <c r="A1760" s="5" t="s">
        <v>3506</v>
      </c>
      <c r="B1760" s="5" t="s">
        <v>3507</v>
      </c>
      <c r="C1760" s="4" t="s">
        <v>34</v>
      </c>
      <c r="D1760" s="6">
        <v>25.88</v>
      </c>
      <c r="E1760" s="6">
        <v>25.9</v>
      </c>
      <c r="F1760" s="4"/>
      <c r="G1760" s="7">
        <v>37.21</v>
      </c>
      <c r="H1760" s="7">
        <v>24.07</v>
      </c>
      <c r="I1760" s="7" t="e">
        <v>#N/A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>
      <c r="A1761" s="5" t="s">
        <v>3508</v>
      </c>
      <c r="B1761" s="5" t="s">
        <v>3509</v>
      </c>
      <c r="C1761" s="4" t="s">
        <v>26</v>
      </c>
      <c r="D1761" s="6">
        <v>0.02</v>
      </c>
      <c r="E1761" s="6">
        <v>0.02</v>
      </c>
      <c r="F1761" s="4"/>
      <c r="G1761" s="7">
        <v>0.08</v>
      </c>
      <c r="H1761" s="7">
        <v>0.02</v>
      </c>
      <c r="I1761" s="7">
        <v>2836808.0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>
      <c r="A1762" s="5" t="s">
        <v>3508</v>
      </c>
      <c r="B1762" s="5" t="s">
        <v>3509</v>
      </c>
      <c r="C1762" s="4" t="s">
        <v>26</v>
      </c>
      <c r="D1762" s="6">
        <v>0.02</v>
      </c>
      <c r="E1762" s="6">
        <v>0.02</v>
      </c>
      <c r="F1762" s="4"/>
      <c r="G1762" s="7">
        <v>0.08</v>
      </c>
      <c r="H1762" s="7">
        <v>0.02</v>
      </c>
      <c r="I1762" s="7">
        <v>2836808.0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>
      <c r="A1763" s="8" t="s">
        <v>3508</v>
      </c>
      <c r="B1763" s="8" t="s">
        <v>3509</v>
      </c>
      <c r="C1763" s="9" t="s">
        <v>26</v>
      </c>
      <c r="D1763" s="10">
        <v>0.02</v>
      </c>
      <c r="E1763" s="6">
        <v>0.02</v>
      </c>
      <c r="F1763" s="4"/>
      <c r="G1763" s="7">
        <v>0.08</v>
      </c>
      <c r="H1763" s="7">
        <v>0.02</v>
      </c>
      <c r="I1763" s="7">
        <v>2836808.0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>
      <c r="A1764" s="5" t="s">
        <v>3510</v>
      </c>
      <c r="B1764" s="5" t="s">
        <v>3511</v>
      </c>
      <c r="C1764" s="4" t="s">
        <v>34</v>
      </c>
      <c r="D1764" s="6">
        <v>31.4</v>
      </c>
      <c r="E1764" s="6">
        <v>31.02</v>
      </c>
      <c r="F1764" s="4"/>
      <c r="G1764" s="7">
        <v>51.52</v>
      </c>
      <c r="H1764" s="7">
        <v>16.5</v>
      </c>
      <c r="I1764" s="7" t="e">
        <v>#N/A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>
      <c r="A1765" s="5" t="s">
        <v>3512</v>
      </c>
      <c r="B1765" s="5" t="s">
        <v>3513</v>
      </c>
      <c r="C1765" s="4" t="s">
        <v>31</v>
      </c>
      <c r="D1765" s="6">
        <v>0.07</v>
      </c>
      <c r="E1765" s="6">
        <v>0.07</v>
      </c>
      <c r="F1765" s="4"/>
      <c r="G1765" s="7">
        <v>0.2</v>
      </c>
      <c r="H1765" s="7">
        <v>0.04</v>
      </c>
      <c r="I1765" s="7">
        <v>2.7799887E7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>
      <c r="A1766" s="5" t="s">
        <v>3514</v>
      </c>
      <c r="B1766" s="5" t="s">
        <v>3515</v>
      </c>
      <c r="C1766" s="4" t="s">
        <v>34</v>
      </c>
      <c r="D1766" s="6">
        <v>17.51</v>
      </c>
      <c r="E1766" s="6">
        <v>17.65</v>
      </c>
      <c r="F1766" s="4"/>
      <c r="G1766" s="7">
        <v>19.5</v>
      </c>
      <c r="H1766" s="7">
        <v>14.21</v>
      </c>
      <c r="I1766" s="7" t="e">
        <v>#N/A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>
      <c r="A1767" s="5" t="s">
        <v>3516</v>
      </c>
      <c r="B1767" s="5" t="s">
        <v>3517</v>
      </c>
      <c r="C1767" s="4" t="s">
        <v>34</v>
      </c>
      <c r="D1767" s="6">
        <v>5.07</v>
      </c>
      <c r="E1767" s="6">
        <v>5.07</v>
      </c>
      <c r="F1767" s="4"/>
      <c r="G1767" s="7">
        <v>5.07</v>
      </c>
      <c r="H1767" s="7">
        <v>5.0</v>
      </c>
      <c r="I1767" s="7" t="e">
        <v>#N/A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>
      <c r="A1768" s="5" t="s">
        <v>3518</v>
      </c>
      <c r="B1768" s="5" t="s">
        <v>3519</v>
      </c>
      <c r="C1768" s="4" t="s">
        <v>37</v>
      </c>
      <c r="D1768" s="6">
        <v>0.35</v>
      </c>
      <c r="E1768" s="6">
        <v>0.35</v>
      </c>
      <c r="F1768" s="4"/>
      <c r="G1768" s="7">
        <v>0.51</v>
      </c>
      <c r="H1768" s="7">
        <v>0.34</v>
      </c>
      <c r="I1768" s="7">
        <v>1.22704467E8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>
      <c r="A1769" s="5" t="s">
        <v>3520</v>
      </c>
      <c r="B1769" s="5" t="s">
        <v>3521</v>
      </c>
      <c r="C1769" s="4" t="s">
        <v>34</v>
      </c>
      <c r="D1769" s="6" t="e">
        <v>#N/A</v>
      </c>
      <c r="E1769" s="6" t="e">
        <v>#N/A</v>
      </c>
      <c r="F1769" s="4"/>
      <c r="G1769" s="4"/>
      <c r="H1769" s="4"/>
      <c r="I1769" s="7" t="e">
        <v>#N/A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>
      <c r="A1770" s="5" t="s">
        <v>3522</v>
      </c>
      <c r="B1770" s="5" t="s">
        <v>3523</v>
      </c>
      <c r="C1770" s="4" t="s">
        <v>34</v>
      </c>
      <c r="D1770" s="6">
        <v>53.17</v>
      </c>
      <c r="E1770" s="6">
        <v>53.24</v>
      </c>
      <c r="F1770" s="4"/>
      <c r="G1770" s="7">
        <v>54.5</v>
      </c>
      <c r="H1770" s="7">
        <v>39.5</v>
      </c>
      <c r="I1770" s="7" t="e">
        <v>#N/A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>
      <c r="A1771" s="5" t="s">
        <v>3524</v>
      </c>
      <c r="B1771" s="5" t="s">
        <v>3525</v>
      </c>
      <c r="C1771" s="4" t="s">
        <v>34</v>
      </c>
      <c r="D1771" s="6">
        <v>31.65</v>
      </c>
      <c r="E1771" s="6">
        <v>32.01</v>
      </c>
      <c r="F1771" s="4"/>
      <c r="G1771" s="7">
        <v>32.68</v>
      </c>
      <c r="H1771" s="7">
        <v>23.97</v>
      </c>
      <c r="I1771" s="7" t="e">
        <v>#N/A</v>
      </c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>
      <c r="A1772" s="5" t="s">
        <v>3526</v>
      </c>
      <c r="B1772" s="5" t="s">
        <v>3527</v>
      </c>
      <c r="C1772" s="4" t="s">
        <v>34</v>
      </c>
      <c r="D1772" s="6">
        <v>32.92</v>
      </c>
      <c r="E1772" s="6">
        <v>33.07</v>
      </c>
      <c r="F1772" s="4"/>
      <c r="G1772" s="7">
        <v>34.08</v>
      </c>
      <c r="H1772" s="7">
        <v>28.04</v>
      </c>
      <c r="I1772" s="7" t="e">
        <v>#N/A</v>
      </c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>
      <c r="A1773" s="5" t="s">
        <v>3528</v>
      </c>
      <c r="B1773" s="5" t="s">
        <v>3529</v>
      </c>
      <c r="C1773" s="4" t="s">
        <v>34</v>
      </c>
      <c r="D1773" s="6" t="e">
        <v>#N/A</v>
      </c>
      <c r="E1773" s="6" t="e">
        <v>#N/A</v>
      </c>
      <c r="F1773" s="4"/>
      <c r="G1773" s="4"/>
      <c r="H1773" s="4"/>
      <c r="I1773" s="7" t="e">
        <v>#N/A</v>
      </c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>
      <c r="A1774" s="5" t="s">
        <v>3530</v>
      </c>
      <c r="B1774" s="5" t="s">
        <v>3531</v>
      </c>
      <c r="C1774" s="4" t="s">
        <v>34</v>
      </c>
      <c r="D1774" s="6">
        <v>34.94</v>
      </c>
      <c r="E1774" s="6">
        <v>34.94</v>
      </c>
      <c r="F1774" s="4"/>
      <c r="G1774" s="7">
        <v>35.64</v>
      </c>
      <c r="H1774" s="7">
        <v>30.5</v>
      </c>
      <c r="I1774" s="7" t="e">
        <v>#N/A</v>
      </c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>
      <c r="A1775" s="5" t="s">
        <v>3532</v>
      </c>
      <c r="B1775" s="5" t="s">
        <v>3533</v>
      </c>
      <c r="C1775" s="4" t="s">
        <v>86</v>
      </c>
      <c r="D1775" s="6">
        <v>0.05</v>
      </c>
      <c r="E1775" s="6">
        <v>0.05</v>
      </c>
      <c r="F1775" s="4"/>
      <c r="G1775" s="7">
        <v>0.07</v>
      </c>
      <c r="H1775" s="7">
        <v>0.03</v>
      </c>
      <c r="I1775" s="7">
        <v>2.9859276E7</v>
      </c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>
      <c r="A1776" s="5" t="s">
        <v>3534</v>
      </c>
      <c r="B1776" s="5" t="s">
        <v>3535</v>
      </c>
      <c r="C1776" s="4" t="s">
        <v>34</v>
      </c>
      <c r="D1776" s="6">
        <v>16.86</v>
      </c>
      <c r="E1776" s="6">
        <v>16.9</v>
      </c>
      <c r="F1776" s="4"/>
      <c r="G1776" s="7">
        <v>17.66</v>
      </c>
      <c r="H1776" s="7">
        <v>13.94</v>
      </c>
      <c r="I1776" s="7" t="e">
        <v>#N/A</v>
      </c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>
      <c r="A1777" s="5" t="s">
        <v>3536</v>
      </c>
      <c r="B1777" s="5" t="s">
        <v>3537</v>
      </c>
      <c r="C1777" s="4" t="s">
        <v>14</v>
      </c>
      <c r="D1777" s="6">
        <v>0.61</v>
      </c>
      <c r="E1777" s="6">
        <v>0.59</v>
      </c>
      <c r="F1777" s="4"/>
      <c r="G1777" s="7">
        <v>0.94</v>
      </c>
      <c r="H1777" s="7">
        <v>0.31</v>
      </c>
      <c r="I1777" s="7">
        <v>8.12364985E8</v>
      </c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>
      <c r="A1778" s="5" t="s">
        <v>3538</v>
      </c>
      <c r="B1778" s="5" t="s">
        <v>3539</v>
      </c>
      <c r="C1778" s="4" t="s">
        <v>34</v>
      </c>
      <c r="D1778" s="6">
        <v>18.16</v>
      </c>
      <c r="E1778" s="6">
        <v>18.39</v>
      </c>
      <c r="F1778" s="4"/>
      <c r="G1778" s="7">
        <v>18.61</v>
      </c>
      <c r="H1778" s="7">
        <v>14.4</v>
      </c>
      <c r="I1778" s="7" t="e">
        <v>#N/A</v>
      </c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>
      <c r="A1779" s="5" t="s">
        <v>3540</v>
      </c>
      <c r="B1779" s="5" t="s">
        <v>3541</v>
      </c>
      <c r="C1779" s="4" t="s">
        <v>104</v>
      </c>
      <c r="D1779" s="6">
        <v>0.04</v>
      </c>
      <c r="E1779" s="6">
        <v>0.04</v>
      </c>
      <c r="F1779" s="7">
        <v>11.84</v>
      </c>
      <c r="G1779" s="7">
        <v>0.08</v>
      </c>
      <c r="H1779" s="7">
        <v>0.03</v>
      </c>
      <c r="I1779" s="7">
        <v>1.27635611E8</v>
      </c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>
      <c r="A1780" s="5" t="s">
        <v>3542</v>
      </c>
      <c r="B1780" s="5" t="s">
        <v>3543</v>
      </c>
      <c r="C1780" s="4" t="s">
        <v>34</v>
      </c>
      <c r="D1780" s="6">
        <v>26.14</v>
      </c>
      <c r="E1780" s="6">
        <v>26.19</v>
      </c>
      <c r="F1780" s="4"/>
      <c r="G1780" s="7">
        <v>26.25</v>
      </c>
      <c r="H1780" s="7">
        <v>25.65</v>
      </c>
      <c r="I1780" s="7" t="e">
        <v>#N/A</v>
      </c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>
      <c r="A1781" s="5" t="s">
        <v>3544</v>
      </c>
      <c r="B1781" s="5" t="s">
        <v>3545</v>
      </c>
      <c r="C1781" s="4" t="s">
        <v>34</v>
      </c>
      <c r="D1781" s="6">
        <v>8.71</v>
      </c>
      <c r="E1781" s="6">
        <v>8.81</v>
      </c>
      <c r="F1781" s="4"/>
      <c r="G1781" s="7">
        <v>8.97</v>
      </c>
      <c r="H1781" s="7">
        <v>5.82</v>
      </c>
      <c r="I1781" s="7" t="e">
        <v>#N/A</v>
      </c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>
      <c r="A1782" s="5" t="s">
        <v>3546</v>
      </c>
      <c r="B1782" s="5" t="s">
        <v>3547</v>
      </c>
      <c r="C1782" s="4" t="s">
        <v>872</v>
      </c>
      <c r="D1782" s="6">
        <v>1.6</v>
      </c>
      <c r="E1782" s="6">
        <v>1.6</v>
      </c>
      <c r="F1782" s="7">
        <v>11.99</v>
      </c>
      <c r="G1782" s="7">
        <v>1.69</v>
      </c>
      <c r="H1782" s="7">
        <v>1.47</v>
      </c>
      <c r="I1782" s="7">
        <v>1.003342742E9</v>
      </c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>
      <c r="A1783" s="5" t="s">
        <v>3548</v>
      </c>
      <c r="B1783" s="5" t="s">
        <v>3549</v>
      </c>
      <c r="C1783" s="4" t="s">
        <v>34</v>
      </c>
      <c r="D1783" s="6">
        <v>31.19</v>
      </c>
      <c r="E1783" s="6">
        <v>31.54</v>
      </c>
      <c r="F1783" s="4"/>
      <c r="G1783" s="7">
        <v>33.02</v>
      </c>
      <c r="H1783" s="7">
        <v>25.82</v>
      </c>
      <c r="I1783" s="7" t="e">
        <v>#N/A</v>
      </c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>
      <c r="A1784" s="5" t="s">
        <v>3550</v>
      </c>
      <c r="B1784" s="5" t="s">
        <v>3551</v>
      </c>
      <c r="C1784" s="4" t="s">
        <v>34</v>
      </c>
      <c r="D1784" s="6">
        <v>61.81</v>
      </c>
      <c r="E1784" s="6">
        <v>61.93</v>
      </c>
      <c r="F1784" s="4"/>
      <c r="G1784" s="7">
        <v>62.94</v>
      </c>
      <c r="H1784" s="7">
        <v>51.5</v>
      </c>
      <c r="I1784" s="7" t="e">
        <v>#N/A</v>
      </c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>
      <c r="A1785" s="5" t="s">
        <v>3552</v>
      </c>
      <c r="B1785" s="5" t="s">
        <v>3553</v>
      </c>
      <c r="C1785" s="4" t="s">
        <v>897</v>
      </c>
      <c r="D1785" s="6">
        <v>4.81</v>
      </c>
      <c r="E1785" s="6">
        <v>4.77</v>
      </c>
      <c r="F1785" s="7">
        <v>75.3</v>
      </c>
      <c r="G1785" s="7">
        <v>4.99</v>
      </c>
      <c r="H1785" s="7">
        <v>3.55</v>
      </c>
      <c r="I1785" s="7">
        <v>8.514714808E9</v>
      </c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>
      <c r="A1786" s="5" t="s">
        <v>3554</v>
      </c>
      <c r="B1786" s="5" t="s">
        <v>3555</v>
      </c>
      <c r="C1786" s="4" t="s">
        <v>169</v>
      </c>
      <c r="D1786" s="6">
        <v>0.06</v>
      </c>
      <c r="E1786" s="6">
        <v>0.06</v>
      </c>
      <c r="F1786" s="7">
        <v>2.11</v>
      </c>
      <c r="G1786" s="7">
        <v>0.07</v>
      </c>
      <c r="H1786" s="7">
        <v>0.04</v>
      </c>
      <c r="I1786" s="7">
        <v>1516050.0</v>
      </c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>
      <c r="A1787" s="5" t="s">
        <v>3556</v>
      </c>
      <c r="B1787" s="5" t="s">
        <v>3557</v>
      </c>
      <c r="C1787" s="4" t="s">
        <v>34</v>
      </c>
      <c r="D1787" s="6">
        <v>53.06</v>
      </c>
      <c r="E1787" s="6">
        <v>53.8</v>
      </c>
      <c r="F1787" s="4"/>
      <c r="G1787" s="7">
        <v>55.96</v>
      </c>
      <c r="H1787" s="7">
        <v>46.62</v>
      </c>
      <c r="I1787" s="7" t="e">
        <v>#N/A</v>
      </c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>
      <c r="A1788" s="5" t="s">
        <v>3558</v>
      </c>
      <c r="B1788" s="5" t="s">
        <v>3559</v>
      </c>
      <c r="C1788" s="4" t="s">
        <v>37</v>
      </c>
      <c r="D1788" s="6">
        <v>0.0</v>
      </c>
      <c r="E1788" s="6">
        <v>0.0</v>
      </c>
      <c r="F1788" s="4"/>
      <c r="G1788" s="7">
        <v>0.01</v>
      </c>
      <c r="H1788" s="7">
        <v>0.0</v>
      </c>
      <c r="I1788" s="7">
        <v>3685328.0</v>
      </c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>
      <c r="A1789" s="5" t="s">
        <v>3560</v>
      </c>
      <c r="B1789" s="5" t="s">
        <v>3561</v>
      </c>
      <c r="C1789" s="4" t="s">
        <v>34</v>
      </c>
      <c r="D1789" s="6">
        <v>11.37</v>
      </c>
      <c r="E1789" s="6">
        <v>11.41</v>
      </c>
      <c r="F1789" s="4"/>
      <c r="G1789" s="7">
        <v>13.47</v>
      </c>
      <c r="H1789" s="7">
        <v>10.2</v>
      </c>
      <c r="I1789" s="7" t="e">
        <v>#N/A</v>
      </c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>
      <c r="A1790" s="5" t="s">
        <v>3562</v>
      </c>
      <c r="B1790" s="5" t="s">
        <v>3563</v>
      </c>
      <c r="C1790" s="4" t="s">
        <v>34</v>
      </c>
      <c r="D1790" s="6">
        <v>1.64</v>
      </c>
      <c r="E1790" s="6">
        <v>1.64</v>
      </c>
      <c r="F1790" s="4"/>
      <c r="G1790" s="7">
        <v>1.7</v>
      </c>
      <c r="H1790" s="7">
        <v>1.5</v>
      </c>
      <c r="I1790" s="7" t="e">
        <v>#N/A</v>
      </c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>
      <c r="A1791" s="5" t="s">
        <v>3564</v>
      </c>
      <c r="B1791" s="5" t="s">
        <v>3565</v>
      </c>
      <c r="C1791" s="4" t="s">
        <v>86</v>
      </c>
      <c r="D1791" s="6">
        <v>0.14</v>
      </c>
      <c r="E1791" s="6">
        <v>0.14</v>
      </c>
      <c r="F1791" s="4"/>
      <c r="G1791" s="7">
        <v>0.2</v>
      </c>
      <c r="H1791" s="7">
        <v>0.08</v>
      </c>
      <c r="I1791" s="7">
        <v>4564350.0</v>
      </c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>
      <c r="A1792" s="5" t="s">
        <v>3566</v>
      </c>
      <c r="B1792" s="5" t="s">
        <v>3567</v>
      </c>
      <c r="C1792" s="4" t="s">
        <v>23</v>
      </c>
      <c r="D1792" s="6">
        <v>2.87</v>
      </c>
      <c r="E1792" s="6">
        <v>2.73</v>
      </c>
      <c r="F1792" s="4"/>
      <c r="G1792" s="7">
        <v>4.9</v>
      </c>
      <c r="H1792" s="7">
        <v>0.92</v>
      </c>
      <c r="I1792" s="7">
        <v>5.18950222E8</v>
      </c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>
      <c r="A1793" s="5" t="s">
        <v>3568</v>
      </c>
      <c r="B1793" s="5" t="s">
        <v>3569</v>
      </c>
      <c r="C1793" s="4" t="s">
        <v>172</v>
      </c>
      <c r="D1793" s="6">
        <v>0.03</v>
      </c>
      <c r="E1793" s="6">
        <v>0.03</v>
      </c>
      <c r="F1793" s="4"/>
      <c r="G1793" s="7">
        <v>0.04</v>
      </c>
      <c r="H1793" s="7">
        <v>0.02</v>
      </c>
      <c r="I1793" s="7">
        <v>7.3837826E7</v>
      </c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>
      <c r="A1794" s="5" t="s">
        <v>3570</v>
      </c>
      <c r="B1794" s="5" t="s">
        <v>3571</v>
      </c>
      <c r="C1794" s="4" t="s">
        <v>37</v>
      </c>
      <c r="D1794" s="6">
        <v>0.03</v>
      </c>
      <c r="E1794" s="6">
        <v>0.03</v>
      </c>
      <c r="F1794" s="4"/>
      <c r="G1794" s="7">
        <v>0.03</v>
      </c>
      <c r="H1794" s="7">
        <v>0.02</v>
      </c>
      <c r="I1794" s="7">
        <v>1.1517857E7</v>
      </c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>
      <c r="A1795" s="5" t="s">
        <v>3572</v>
      </c>
      <c r="B1795" s="5" t="s">
        <v>3573</v>
      </c>
      <c r="C1795" s="4" t="s">
        <v>104</v>
      </c>
      <c r="D1795" s="6">
        <v>0.0</v>
      </c>
      <c r="E1795" s="6">
        <v>0.0</v>
      </c>
      <c r="F1795" s="4"/>
      <c r="G1795" s="7">
        <v>0.01</v>
      </c>
      <c r="H1795" s="7">
        <v>0.0</v>
      </c>
      <c r="I1795" s="7">
        <v>1618935.0</v>
      </c>
      <c r="J1795" s="7">
        <v>0.004</v>
      </c>
      <c r="K1795" s="7">
        <v>0.004</v>
      </c>
      <c r="L1795" s="7">
        <v>0.007</v>
      </c>
      <c r="M1795" s="7">
        <v>0.003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>
      <c r="A1796" s="5" t="s">
        <v>3574</v>
      </c>
      <c r="B1796" s="5" t="s">
        <v>3575</v>
      </c>
      <c r="C1796" s="4" t="s">
        <v>34</v>
      </c>
      <c r="D1796" s="6">
        <v>30.76</v>
      </c>
      <c r="E1796" s="6">
        <v>30.73</v>
      </c>
      <c r="F1796" s="4"/>
      <c r="G1796" s="7">
        <v>33.17</v>
      </c>
      <c r="H1796" s="7">
        <v>26.79</v>
      </c>
      <c r="I1796" s="7" t="e">
        <v>#N/A</v>
      </c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>
      <c r="A1797" s="5" t="s">
        <v>3576</v>
      </c>
      <c r="B1797" s="5" t="s">
        <v>3577</v>
      </c>
      <c r="C1797" s="4" t="s">
        <v>17</v>
      </c>
      <c r="D1797" s="6">
        <v>0.03</v>
      </c>
      <c r="E1797" s="6">
        <v>0.03</v>
      </c>
      <c r="F1797" s="4"/>
      <c r="G1797" s="7">
        <v>0.06</v>
      </c>
      <c r="H1797" s="7">
        <v>0.01</v>
      </c>
      <c r="I1797" s="7">
        <v>4823240.0</v>
      </c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>
      <c r="A1798" s="5" t="s">
        <v>3578</v>
      </c>
      <c r="B1798" s="5" t="s">
        <v>3579</v>
      </c>
      <c r="C1798" s="4" t="s">
        <v>3580</v>
      </c>
      <c r="D1798" s="6">
        <v>0.23</v>
      </c>
      <c r="E1798" s="6">
        <v>0.23</v>
      </c>
      <c r="F1798" s="4"/>
      <c r="G1798" s="7">
        <v>0.38</v>
      </c>
      <c r="H1798" s="7">
        <v>0.15</v>
      </c>
      <c r="I1798" s="7">
        <v>2.5821599E7</v>
      </c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>
      <c r="A1799" s="5" t="s">
        <v>3581</v>
      </c>
      <c r="B1799" s="5" t="s">
        <v>3582</v>
      </c>
      <c r="C1799" s="4" t="s">
        <v>17</v>
      </c>
      <c r="D1799" s="6">
        <v>0.13</v>
      </c>
      <c r="E1799" s="6">
        <v>0.13</v>
      </c>
      <c r="F1799" s="4"/>
      <c r="G1799" s="7">
        <v>0.18</v>
      </c>
      <c r="H1799" s="7">
        <v>0.07</v>
      </c>
      <c r="I1799" s="7">
        <v>7988499.0</v>
      </c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>
      <c r="A1800" s="5" t="s">
        <v>3583</v>
      </c>
      <c r="B1800" s="5" t="s">
        <v>3584</v>
      </c>
      <c r="C1800" s="4" t="s">
        <v>1457</v>
      </c>
      <c r="D1800" s="6">
        <v>0.02</v>
      </c>
      <c r="E1800" s="6">
        <v>0.02</v>
      </c>
      <c r="F1800" s="4"/>
      <c r="G1800" s="7">
        <v>0.06</v>
      </c>
      <c r="H1800" s="7">
        <v>0.02</v>
      </c>
      <c r="I1800" s="7">
        <v>2301811.0</v>
      </c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>
      <c r="A1801" s="5" t="s">
        <v>3585</v>
      </c>
      <c r="B1801" s="5" t="s">
        <v>3586</v>
      </c>
      <c r="C1801" s="4" t="s">
        <v>34</v>
      </c>
      <c r="D1801" s="6">
        <v>15.46</v>
      </c>
      <c r="E1801" s="6">
        <v>15.41</v>
      </c>
      <c r="F1801" s="4"/>
      <c r="G1801" s="7">
        <v>16.61</v>
      </c>
      <c r="H1801" s="7">
        <v>11.47</v>
      </c>
      <c r="I1801" s="7" t="e">
        <v>#N/A</v>
      </c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>
      <c r="A1802" s="5" t="s">
        <v>3587</v>
      </c>
      <c r="B1802" s="5" t="s">
        <v>3588</v>
      </c>
      <c r="C1802" s="4" t="s">
        <v>17</v>
      </c>
      <c r="D1802" s="6">
        <v>0.03</v>
      </c>
      <c r="E1802" s="6">
        <v>0.03</v>
      </c>
      <c r="F1802" s="4"/>
      <c r="G1802" s="7">
        <v>0.06</v>
      </c>
      <c r="H1802" s="7">
        <v>0.02</v>
      </c>
      <c r="I1802" s="7">
        <v>3570720.0</v>
      </c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>
      <c r="A1803" s="5" t="s">
        <v>3589</v>
      </c>
      <c r="B1803" s="5" t="s">
        <v>3590</v>
      </c>
      <c r="C1803" s="4" t="s">
        <v>17</v>
      </c>
      <c r="D1803" s="6">
        <v>0.1</v>
      </c>
      <c r="E1803" s="6">
        <v>0.1</v>
      </c>
      <c r="F1803" s="4"/>
      <c r="G1803" s="7">
        <v>0.13</v>
      </c>
      <c r="H1803" s="7">
        <v>0.04</v>
      </c>
      <c r="I1803" s="7">
        <v>1.1359616E7</v>
      </c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>
      <c r="A1804" s="5" t="s">
        <v>3591</v>
      </c>
      <c r="B1804" s="5" t="s">
        <v>3592</v>
      </c>
      <c r="C1804" s="4" t="s">
        <v>34</v>
      </c>
      <c r="D1804" s="6" t="e">
        <v>#N/A</v>
      </c>
      <c r="E1804" s="6" t="e">
        <v>#N/A</v>
      </c>
      <c r="F1804" s="4"/>
      <c r="G1804" s="4"/>
      <c r="H1804" s="4"/>
      <c r="I1804" s="7" t="e">
        <v>#N/A</v>
      </c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>
      <c r="A1805" s="5" t="s">
        <v>3593</v>
      </c>
      <c r="B1805" s="5" t="s">
        <v>3594</v>
      </c>
      <c r="C1805" s="4" t="s">
        <v>34</v>
      </c>
      <c r="D1805" s="6">
        <v>19.84</v>
      </c>
      <c r="E1805" s="6">
        <v>19.91</v>
      </c>
      <c r="F1805" s="4"/>
      <c r="G1805" s="7">
        <v>20.63</v>
      </c>
      <c r="H1805" s="7">
        <v>19.83</v>
      </c>
      <c r="I1805" s="7" t="e">
        <v>#N/A</v>
      </c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>
      <c r="A1806" s="5" t="s">
        <v>3595</v>
      </c>
      <c r="B1806" s="5" t="s">
        <v>3596</v>
      </c>
      <c r="C1806" s="4" t="s">
        <v>172</v>
      </c>
      <c r="D1806" s="6">
        <v>0.67</v>
      </c>
      <c r="E1806" s="6">
        <v>0.65</v>
      </c>
      <c r="F1806" s="4"/>
      <c r="G1806" s="7">
        <v>0.67</v>
      </c>
      <c r="H1806" s="7">
        <v>0.28</v>
      </c>
      <c r="I1806" s="7">
        <v>1.92885259E8</v>
      </c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>
      <c r="A1807" s="5" t="s">
        <v>3597</v>
      </c>
      <c r="B1807" s="5" t="s">
        <v>3598</v>
      </c>
      <c r="C1807" s="4" t="s">
        <v>14</v>
      </c>
      <c r="D1807" s="6">
        <v>0.12</v>
      </c>
      <c r="E1807" s="6">
        <v>0.12</v>
      </c>
      <c r="F1807" s="4"/>
      <c r="G1807" s="7">
        <v>0.14</v>
      </c>
      <c r="H1807" s="7">
        <v>0.07</v>
      </c>
      <c r="I1807" s="7">
        <v>1.766627E7</v>
      </c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>
      <c r="A1808" s="5" t="s">
        <v>3599</v>
      </c>
      <c r="B1808" s="5" t="s">
        <v>3600</v>
      </c>
      <c r="C1808" s="4" t="s">
        <v>17</v>
      </c>
      <c r="D1808" s="6">
        <v>0.07</v>
      </c>
      <c r="E1808" s="6">
        <v>0.07</v>
      </c>
      <c r="F1808" s="4"/>
      <c r="G1808" s="7">
        <v>0.09</v>
      </c>
      <c r="H1808" s="7">
        <v>0.02</v>
      </c>
      <c r="I1808" s="7">
        <v>7.9639798E7</v>
      </c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>
      <c r="A1809" s="5" t="s">
        <v>3601</v>
      </c>
      <c r="B1809" s="5" t="s">
        <v>3602</v>
      </c>
      <c r="C1809" s="4" t="s">
        <v>17</v>
      </c>
      <c r="D1809" s="6">
        <v>0.01</v>
      </c>
      <c r="E1809" s="6">
        <v>0.02</v>
      </c>
      <c r="F1809" s="4"/>
      <c r="G1809" s="7">
        <v>0.03</v>
      </c>
      <c r="H1809" s="7">
        <v>0.01</v>
      </c>
      <c r="I1809" s="7">
        <v>3313408.0</v>
      </c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>
      <c r="A1810" s="5" t="s">
        <v>3603</v>
      </c>
      <c r="B1810" s="5" t="s">
        <v>3604</v>
      </c>
      <c r="C1810" s="4" t="s">
        <v>141</v>
      </c>
      <c r="D1810" s="6">
        <v>3.52</v>
      </c>
      <c r="E1810" s="6">
        <v>3.52</v>
      </c>
      <c r="F1810" s="7">
        <v>19.2</v>
      </c>
      <c r="G1810" s="7">
        <v>3.9</v>
      </c>
      <c r="H1810" s="7">
        <v>2.6</v>
      </c>
      <c r="I1810" s="7">
        <v>1.726949E8</v>
      </c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>
      <c r="A1811" s="5" t="s">
        <v>3605</v>
      </c>
      <c r="B1811" s="5" t="s">
        <v>3606</v>
      </c>
      <c r="C1811" s="4" t="s">
        <v>17</v>
      </c>
      <c r="D1811" s="6">
        <v>0.14</v>
      </c>
      <c r="E1811" s="6">
        <v>0.14</v>
      </c>
      <c r="F1811" s="4"/>
      <c r="G1811" s="7">
        <v>0.17</v>
      </c>
      <c r="H1811" s="7">
        <v>0.1</v>
      </c>
      <c r="I1811" s="7">
        <v>5.3627755E7</v>
      </c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>
      <c r="A1812" s="5" t="s">
        <v>3607</v>
      </c>
      <c r="B1812" s="5" t="s">
        <v>3608</v>
      </c>
      <c r="C1812" s="4" t="s">
        <v>17</v>
      </c>
      <c r="D1812" s="6">
        <v>0.01</v>
      </c>
      <c r="E1812" s="6">
        <v>0.01</v>
      </c>
      <c r="F1812" s="4"/>
      <c r="G1812" s="7">
        <v>0.02</v>
      </c>
      <c r="H1812" s="7">
        <v>0.0</v>
      </c>
      <c r="I1812" s="7">
        <v>8627229.0</v>
      </c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>
      <c r="A1813" s="5" t="s">
        <v>3609</v>
      </c>
      <c r="B1813" s="5" t="s">
        <v>3610</v>
      </c>
      <c r="C1813" s="4" t="s">
        <v>37</v>
      </c>
      <c r="D1813" s="6">
        <v>0.0</v>
      </c>
      <c r="E1813" s="6">
        <v>0.0</v>
      </c>
      <c r="F1813" s="4"/>
      <c r="G1813" s="7">
        <v>0.01</v>
      </c>
      <c r="H1813" s="7">
        <v>0.0</v>
      </c>
      <c r="I1813" s="7">
        <v>1551402.0</v>
      </c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>
      <c r="A1814" s="5" t="s">
        <v>3611</v>
      </c>
      <c r="B1814" s="5" t="s">
        <v>3612</v>
      </c>
      <c r="C1814" s="4" t="s">
        <v>34</v>
      </c>
      <c r="D1814" s="6">
        <v>33.94</v>
      </c>
      <c r="E1814" s="6">
        <v>33.8</v>
      </c>
      <c r="F1814" s="4"/>
      <c r="G1814" s="7">
        <v>36.01</v>
      </c>
      <c r="H1814" s="7">
        <v>28.3</v>
      </c>
      <c r="I1814" s="7" t="e">
        <v>#N/A</v>
      </c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>
      <c r="A1815" s="5" t="s">
        <v>3613</v>
      </c>
      <c r="B1815" s="5" t="s">
        <v>3614</v>
      </c>
      <c r="C1815" s="4" t="s">
        <v>226</v>
      </c>
      <c r="D1815" s="6">
        <v>3.07</v>
      </c>
      <c r="E1815" s="6">
        <v>3.04</v>
      </c>
      <c r="F1815" s="7">
        <v>20.94</v>
      </c>
      <c r="G1815" s="7">
        <v>4.64</v>
      </c>
      <c r="H1815" s="7">
        <v>2.02</v>
      </c>
      <c r="I1815" s="7">
        <v>1.612000169E9</v>
      </c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>
      <c r="A1816" s="5" t="s">
        <v>3615</v>
      </c>
      <c r="B1816" s="5" t="s">
        <v>3616</v>
      </c>
      <c r="C1816" s="4" t="s">
        <v>14</v>
      </c>
      <c r="D1816" s="6">
        <v>2.46</v>
      </c>
      <c r="E1816" s="6">
        <v>2.45</v>
      </c>
      <c r="F1816" s="4"/>
      <c r="G1816" s="7">
        <v>3.35</v>
      </c>
      <c r="H1816" s="7">
        <v>2.02</v>
      </c>
      <c r="I1816" s="7">
        <v>3.0396769E8</v>
      </c>
      <c r="J1816" s="7">
        <v>0.18</v>
      </c>
      <c r="K1816" s="7">
        <v>0.18</v>
      </c>
      <c r="L1816" s="7">
        <v>0.29</v>
      </c>
      <c r="M1816" s="7">
        <v>0.069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>
      <c r="A1817" s="5" t="s">
        <v>3617</v>
      </c>
      <c r="B1817" s="5" t="s">
        <v>3618</v>
      </c>
      <c r="C1817" s="4" t="s">
        <v>68</v>
      </c>
      <c r="D1817" s="6">
        <v>184.78</v>
      </c>
      <c r="E1817" s="6">
        <v>183.39</v>
      </c>
      <c r="F1817" s="7">
        <v>36.02</v>
      </c>
      <c r="G1817" s="7">
        <v>276.64</v>
      </c>
      <c r="H1817" s="7">
        <v>179.0</v>
      </c>
      <c r="I1817" s="7">
        <v>2.4412616054E10</v>
      </c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>
      <c r="A1818" s="5" t="s">
        <v>3619</v>
      </c>
      <c r="B1818" s="5" t="s">
        <v>3620</v>
      </c>
      <c r="C1818" s="4" t="s">
        <v>17</v>
      </c>
      <c r="D1818" s="6">
        <v>0.02</v>
      </c>
      <c r="E1818" s="6">
        <v>0.02</v>
      </c>
      <c r="F1818" s="4"/>
      <c r="G1818" s="7">
        <v>0.03</v>
      </c>
      <c r="H1818" s="7">
        <v>0.01</v>
      </c>
      <c r="I1818" s="7">
        <v>4625819.0</v>
      </c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>
      <c r="A1819" s="5" t="s">
        <v>3621</v>
      </c>
      <c r="B1819" s="5" t="s">
        <v>3622</v>
      </c>
      <c r="C1819" s="4" t="s">
        <v>17</v>
      </c>
      <c r="D1819" s="6">
        <v>0.03</v>
      </c>
      <c r="E1819" s="6">
        <v>0.03</v>
      </c>
      <c r="F1819" s="4"/>
      <c r="G1819" s="7">
        <v>0.05</v>
      </c>
      <c r="H1819" s="7">
        <v>0.01</v>
      </c>
      <c r="I1819" s="7">
        <v>2.4642369E7</v>
      </c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>
      <c r="A1820" s="5" t="s">
        <v>3623</v>
      </c>
      <c r="B1820" s="5" t="s">
        <v>3624</v>
      </c>
      <c r="C1820" s="4" t="s">
        <v>162</v>
      </c>
      <c r="D1820" s="6">
        <v>6.95</v>
      </c>
      <c r="E1820" s="6">
        <v>6.95</v>
      </c>
      <c r="F1820" s="7">
        <v>43.14</v>
      </c>
      <c r="G1820" s="7">
        <v>9.4</v>
      </c>
      <c r="H1820" s="7">
        <v>5.89</v>
      </c>
      <c r="I1820" s="7">
        <v>2.101411672E9</v>
      </c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>
      <c r="A1821" s="5" t="s">
        <v>3625</v>
      </c>
      <c r="B1821" s="5" t="s">
        <v>3626</v>
      </c>
      <c r="C1821" s="4" t="s">
        <v>1666</v>
      </c>
      <c r="D1821" s="6">
        <v>13.34</v>
      </c>
      <c r="E1821" s="6">
        <v>13.4</v>
      </c>
      <c r="F1821" s="7">
        <v>27.11</v>
      </c>
      <c r="G1821" s="7">
        <v>24.39</v>
      </c>
      <c r="H1821" s="7">
        <v>10.14</v>
      </c>
      <c r="I1821" s="7">
        <v>8.24260467E9</v>
      </c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>
      <c r="A1822" s="5" t="s">
        <v>3627</v>
      </c>
      <c r="B1822" s="5" t="s">
        <v>3628</v>
      </c>
      <c r="C1822" s="4" t="s">
        <v>34</v>
      </c>
      <c r="D1822" s="6">
        <v>15.59</v>
      </c>
      <c r="E1822" s="6">
        <v>15.88</v>
      </c>
      <c r="F1822" s="4"/>
      <c r="G1822" s="7">
        <v>16.46</v>
      </c>
      <c r="H1822" s="7">
        <v>13.41</v>
      </c>
      <c r="I1822" s="7" t="e">
        <v>#N/A</v>
      </c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>
      <c r="A1823" s="5" t="s">
        <v>3629</v>
      </c>
      <c r="B1823" s="5" t="s">
        <v>3630</v>
      </c>
      <c r="C1823" s="4" t="s">
        <v>182</v>
      </c>
      <c r="D1823" s="6">
        <v>0.04</v>
      </c>
      <c r="E1823" s="6">
        <v>0.04</v>
      </c>
      <c r="F1823" s="4"/>
      <c r="G1823" s="7">
        <v>0.07</v>
      </c>
      <c r="H1823" s="7">
        <v>0.03</v>
      </c>
      <c r="I1823" s="7">
        <v>7902847.0</v>
      </c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>
      <c r="A1824" s="5" t="s">
        <v>3631</v>
      </c>
      <c r="B1824" s="5" t="s">
        <v>3632</v>
      </c>
      <c r="C1824" s="4" t="s">
        <v>1968</v>
      </c>
      <c r="D1824" s="6">
        <v>0.59</v>
      </c>
      <c r="E1824" s="6">
        <v>0.59</v>
      </c>
      <c r="F1824" s="4"/>
      <c r="G1824" s="7">
        <v>0.65</v>
      </c>
      <c r="H1824" s="7">
        <v>0.53</v>
      </c>
      <c r="I1824" s="7">
        <v>2.90638987E8</v>
      </c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>
      <c r="A1825" s="5" t="s">
        <v>3633</v>
      </c>
      <c r="B1825" s="5" t="s">
        <v>3634</v>
      </c>
      <c r="C1825" s="4" t="s">
        <v>3635</v>
      </c>
      <c r="D1825" s="6">
        <v>2.02</v>
      </c>
      <c r="E1825" s="6">
        <v>2.02</v>
      </c>
      <c r="F1825" s="4"/>
      <c r="G1825" s="7">
        <v>2.03</v>
      </c>
      <c r="H1825" s="7">
        <v>1.98</v>
      </c>
      <c r="I1825" s="7" t="e">
        <v>#N/A</v>
      </c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>
      <c r="A1826" s="5" t="s">
        <v>3636</v>
      </c>
      <c r="B1826" s="5" t="s">
        <v>3637</v>
      </c>
      <c r="C1826" s="4" t="s">
        <v>86</v>
      </c>
      <c r="D1826" s="6">
        <v>0.02</v>
      </c>
      <c r="E1826" s="6">
        <v>0.02</v>
      </c>
      <c r="F1826" s="4"/>
      <c r="G1826" s="7">
        <v>0.04</v>
      </c>
      <c r="H1826" s="7">
        <v>0.01</v>
      </c>
      <c r="I1826" s="7">
        <v>1.0301212E7</v>
      </c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>
      <c r="A1827" s="5" t="s">
        <v>3638</v>
      </c>
      <c r="B1827" s="5" t="s">
        <v>3639</v>
      </c>
      <c r="C1827" s="4" t="s">
        <v>169</v>
      </c>
      <c r="D1827" s="6">
        <v>3.42</v>
      </c>
      <c r="E1827" s="6">
        <v>3.42</v>
      </c>
      <c r="F1827" s="7">
        <v>28.45</v>
      </c>
      <c r="G1827" s="7">
        <v>3.54</v>
      </c>
      <c r="H1827" s="7">
        <v>2.35</v>
      </c>
      <c r="I1827" s="7">
        <v>7.20725686E8</v>
      </c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>
      <c r="A1828" s="5" t="s">
        <v>3640</v>
      </c>
      <c r="B1828" s="5" t="s">
        <v>3641</v>
      </c>
      <c r="C1828" s="4" t="s">
        <v>472</v>
      </c>
      <c r="D1828" s="6">
        <v>1.98</v>
      </c>
      <c r="E1828" s="6">
        <v>1.97</v>
      </c>
      <c r="F1828" s="7">
        <v>29.57</v>
      </c>
      <c r="G1828" s="7">
        <v>2.07</v>
      </c>
      <c r="H1828" s="7">
        <v>1.59</v>
      </c>
      <c r="I1828" s="7">
        <v>7.71651349E8</v>
      </c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>
      <c r="A1829" s="5" t="s">
        <v>3642</v>
      </c>
      <c r="B1829" s="5" t="s">
        <v>3643</v>
      </c>
      <c r="C1829" s="4" t="s">
        <v>96</v>
      </c>
      <c r="D1829" s="6">
        <v>1.49</v>
      </c>
      <c r="E1829" s="6">
        <v>1.48</v>
      </c>
      <c r="F1829" s="4"/>
      <c r="G1829" s="7">
        <v>2.63</v>
      </c>
      <c r="H1829" s="7">
        <v>1.23</v>
      </c>
      <c r="I1829" s="7">
        <v>9.3696684E7</v>
      </c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>
      <c r="A1830" s="5" t="s">
        <v>3644</v>
      </c>
      <c r="B1830" s="5" t="s">
        <v>3645</v>
      </c>
      <c r="C1830" s="4" t="s">
        <v>3002</v>
      </c>
      <c r="D1830" s="6">
        <v>0.0</v>
      </c>
      <c r="E1830" s="6">
        <v>0.0</v>
      </c>
      <c r="F1830" s="4"/>
      <c r="G1830" s="7">
        <v>0.01</v>
      </c>
      <c r="H1830" s="7">
        <v>0.0</v>
      </c>
      <c r="I1830" s="7">
        <v>2072976.0</v>
      </c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>
      <c r="A1831" s="5" t="s">
        <v>3646</v>
      </c>
      <c r="B1831" s="5" t="s">
        <v>3647</v>
      </c>
      <c r="C1831" s="4" t="s">
        <v>169</v>
      </c>
      <c r="D1831" s="6">
        <v>2.21</v>
      </c>
      <c r="E1831" s="6">
        <v>2.2</v>
      </c>
      <c r="F1831" s="4"/>
      <c r="G1831" s="7">
        <v>2.24</v>
      </c>
      <c r="H1831" s="7">
        <v>1.91</v>
      </c>
      <c r="I1831" s="7">
        <v>5.38110257E8</v>
      </c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>
      <c r="A1832" s="5" t="s">
        <v>3648</v>
      </c>
      <c r="B1832" s="5" t="s">
        <v>3649</v>
      </c>
      <c r="C1832" s="4" t="s">
        <v>169</v>
      </c>
      <c r="D1832" s="6">
        <v>2.63</v>
      </c>
      <c r="E1832" s="6">
        <v>2.64</v>
      </c>
      <c r="F1832" s="7">
        <v>121.76</v>
      </c>
      <c r="G1832" s="7">
        <v>2.64</v>
      </c>
      <c r="H1832" s="7">
        <v>1.55</v>
      </c>
      <c r="I1832" s="7">
        <v>3.86035361E8</v>
      </c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>
      <c r="A1833" s="5" t="s">
        <v>3650</v>
      </c>
      <c r="B1833" s="5" t="s">
        <v>3651</v>
      </c>
      <c r="C1833" s="4" t="s">
        <v>34</v>
      </c>
      <c r="D1833" s="6">
        <v>18.76</v>
      </c>
      <c r="E1833" s="6">
        <v>18.8</v>
      </c>
      <c r="F1833" s="4"/>
      <c r="G1833" s="7">
        <v>20.02</v>
      </c>
      <c r="H1833" s="7">
        <v>18.52</v>
      </c>
      <c r="I1833" s="7" t="e">
        <v>#N/A</v>
      </c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>
      <c r="A1834" s="5" t="s">
        <v>3652</v>
      </c>
      <c r="B1834" s="5" t="s">
        <v>3653</v>
      </c>
      <c r="C1834" s="4" t="s">
        <v>86</v>
      </c>
      <c r="D1834" s="6">
        <v>0.01</v>
      </c>
      <c r="E1834" s="6">
        <v>0.01</v>
      </c>
      <c r="F1834" s="4"/>
      <c r="G1834" s="7">
        <v>0.01</v>
      </c>
      <c r="H1834" s="7">
        <v>0.0</v>
      </c>
      <c r="I1834" s="7">
        <v>1.0210193E7</v>
      </c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>
      <c r="A1835" s="5" t="s">
        <v>3654</v>
      </c>
      <c r="B1835" s="5" t="s">
        <v>3655</v>
      </c>
      <c r="C1835" s="4" t="s">
        <v>416</v>
      </c>
      <c r="D1835" s="6">
        <v>2.35</v>
      </c>
      <c r="E1835" s="6">
        <v>2.35</v>
      </c>
      <c r="F1835" s="7">
        <v>12.93</v>
      </c>
      <c r="G1835" s="7">
        <v>2.5</v>
      </c>
      <c r="H1835" s="7">
        <v>2.02</v>
      </c>
      <c r="I1835" s="7">
        <v>2.713674139E9</v>
      </c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>
      <c r="A1836" s="5" t="s">
        <v>3656</v>
      </c>
      <c r="B1836" s="5" t="s">
        <v>3657</v>
      </c>
      <c r="C1836" s="4" t="s">
        <v>34</v>
      </c>
      <c r="D1836" s="6">
        <v>22.5</v>
      </c>
      <c r="E1836" s="6">
        <v>22.46</v>
      </c>
      <c r="F1836" s="4"/>
      <c r="G1836" s="7">
        <v>22.83</v>
      </c>
      <c r="H1836" s="7">
        <v>19.49</v>
      </c>
      <c r="I1836" s="7" t="e">
        <v>#N/A</v>
      </c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>
      <c r="A1837" s="5" t="s">
        <v>3658</v>
      </c>
      <c r="B1837" s="5" t="s">
        <v>3659</v>
      </c>
      <c r="C1837" s="4" t="s">
        <v>23</v>
      </c>
      <c r="D1837" s="6">
        <v>0.07</v>
      </c>
      <c r="E1837" s="6">
        <v>0.07</v>
      </c>
      <c r="F1837" s="4"/>
      <c r="G1837" s="7">
        <v>0.32</v>
      </c>
      <c r="H1837" s="7">
        <v>0.06</v>
      </c>
      <c r="I1837" s="7">
        <v>5836940.0</v>
      </c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>
      <c r="A1838" s="5" t="s">
        <v>3660</v>
      </c>
      <c r="B1838" s="5" t="s">
        <v>3661</v>
      </c>
      <c r="C1838" s="4" t="s">
        <v>162</v>
      </c>
      <c r="D1838" s="6">
        <v>34.59</v>
      </c>
      <c r="E1838" s="6">
        <v>34.36</v>
      </c>
      <c r="F1838" s="7">
        <v>1169.77</v>
      </c>
      <c r="G1838" s="7">
        <v>39.84</v>
      </c>
      <c r="H1838" s="7">
        <v>30.39</v>
      </c>
      <c r="I1838" s="7">
        <v>7.984402817E9</v>
      </c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>
      <c r="A1839" s="5" t="s">
        <v>3662</v>
      </c>
      <c r="B1839" s="5" t="s">
        <v>3663</v>
      </c>
      <c r="C1839" s="4" t="s">
        <v>210</v>
      </c>
      <c r="D1839" s="6">
        <v>4.85</v>
      </c>
      <c r="E1839" s="6">
        <v>4.84</v>
      </c>
      <c r="F1839" s="7">
        <v>34.09</v>
      </c>
      <c r="G1839" s="7">
        <v>4.97</v>
      </c>
      <c r="H1839" s="7">
        <v>2.8</v>
      </c>
      <c r="I1839" s="7">
        <v>3.1101895E8</v>
      </c>
      <c r="J1839" s="7">
        <v>0.004</v>
      </c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>
      <c r="A1840" s="5" t="s">
        <v>3662</v>
      </c>
      <c r="B1840" s="5" t="s">
        <v>3663</v>
      </c>
      <c r="C1840" s="4" t="s">
        <v>210</v>
      </c>
      <c r="D1840" s="6">
        <v>4.85</v>
      </c>
      <c r="E1840" s="6">
        <v>4.84</v>
      </c>
      <c r="F1840" s="7">
        <v>34.09</v>
      </c>
      <c r="G1840" s="7">
        <v>4.97</v>
      </c>
      <c r="H1840" s="7">
        <v>2.8</v>
      </c>
      <c r="I1840" s="7">
        <v>3.1101895E8</v>
      </c>
      <c r="J1840" s="7">
        <v>0.004</v>
      </c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>
      <c r="A1841" s="5" t="s">
        <v>3664</v>
      </c>
      <c r="B1841" s="5" t="s">
        <v>3665</v>
      </c>
      <c r="C1841" s="4" t="s">
        <v>60</v>
      </c>
      <c r="D1841" s="6">
        <v>0.05</v>
      </c>
      <c r="E1841" s="6">
        <v>0.05</v>
      </c>
      <c r="F1841" s="4"/>
      <c r="G1841" s="7">
        <v>0.07</v>
      </c>
      <c r="H1841" s="7">
        <v>0.03</v>
      </c>
      <c r="I1841" s="7">
        <v>2.1868948E7</v>
      </c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>
      <c r="A1842" s="5" t="s">
        <v>3666</v>
      </c>
      <c r="B1842" s="5" t="s">
        <v>3667</v>
      </c>
      <c r="C1842" s="4" t="s">
        <v>23</v>
      </c>
      <c r="D1842" s="6">
        <v>0.13</v>
      </c>
      <c r="E1842" s="6">
        <v>0.14</v>
      </c>
      <c r="F1842" s="4"/>
      <c r="G1842" s="7">
        <v>0.21</v>
      </c>
      <c r="H1842" s="7">
        <v>0.05</v>
      </c>
      <c r="I1842" s="7">
        <v>3.9302887E7</v>
      </c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>
      <c r="A1843" s="5" t="s">
        <v>3668</v>
      </c>
      <c r="B1843" s="5" t="s">
        <v>3669</v>
      </c>
      <c r="C1843" s="4" t="s">
        <v>126</v>
      </c>
      <c r="D1843" s="6">
        <v>2.59</v>
      </c>
      <c r="E1843" s="6">
        <v>2.65</v>
      </c>
      <c r="F1843" s="7">
        <v>19.82</v>
      </c>
      <c r="G1843" s="7">
        <v>3.3</v>
      </c>
      <c r="H1843" s="7">
        <v>2.17</v>
      </c>
      <c r="I1843" s="7">
        <v>9.70869237E8</v>
      </c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>
      <c r="A1844" s="5" t="s">
        <v>3670</v>
      </c>
      <c r="B1844" s="5" t="s">
        <v>3671</v>
      </c>
      <c r="C1844" s="4" t="s">
        <v>17</v>
      </c>
      <c r="D1844" s="6">
        <v>0.03</v>
      </c>
      <c r="E1844" s="6">
        <v>0.03</v>
      </c>
      <c r="F1844" s="4"/>
      <c r="G1844" s="7">
        <v>0.05</v>
      </c>
      <c r="H1844" s="7">
        <v>0.02</v>
      </c>
      <c r="I1844" s="7">
        <v>5909847.0</v>
      </c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>
      <c r="A1845" s="5" t="s">
        <v>3672</v>
      </c>
      <c r="B1845" s="5" t="s">
        <v>3673</v>
      </c>
      <c r="C1845" s="4" t="s">
        <v>34</v>
      </c>
      <c r="D1845" s="6">
        <v>1.15</v>
      </c>
      <c r="E1845" s="6">
        <v>1.17</v>
      </c>
      <c r="F1845" s="4"/>
      <c r="G1845" s="7">
        <v>1.2</v>
      </c>
      <c r="H1845" s="7">
        <v>1.01</v>
      </c>
      <c r="I1845" s="7" t="e">
        <v>#N/A</v>
      </c>
      <c r="J1845" s="7">
        <v>1.95</v>
      </c>
      <c r="K1845" s="7">
        <v>1.985</v>
      </c>
      <c r="L1845" s="7">
        <v>2.24</v>
      </c>
      <c r="M1845" s="7">
        <v>1.4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>
      <c r="A1846" s="5" t="s">
        <v>3674</v>
      </c>
      <c r="B1846" s="5" t="s">
        <v>3675</v>
      </c>
      <c r="C1846" s="4" t="s">
        <v>221</v>
      </c>
      <c r="D1846" s="6">
        <v>0.0</v>
      </c>
      <c r="E1846" s="6">
        <v>0.0</v>
      </c>
      <c r="F1846" s="4"/>
      <c r="G1846" s="7">
        <v>0.0</v>
      </c>
      <c r="H1846" s="7">
        <v>0.0</v>
      </c>
      <c r="I1846" s="7">
        <v>5493708.0</v>
      </c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>
      <c r="A1847" s="5" t="s">
        <v>3676</v>
      </c>
      <c r="B1847" s="5" t="s">
        <v>3677</v>
      </c>
      <c r="C1847" s="4" t="s">
        <v>447</v>
      </c>
      <c r="D1847" s="6">
        <v>0.02</v>
      </c>
      <c r="E1847" s="6">
        <v>0.02</v>
      </c>
      <c r="F1847" s="4"/>
      <c r="G1847" s="7">
        <v>0.04</v>
      </c>
      <c r="H1847" s="7">
        <v>0.01</v>
      </c>
      <c r="I1847" s="7">
        <v>3.1117244E7</v>
      </c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>
      <c r="A1848" s="5" t="s">
        <v>3678</v>
      </c>
      <c r="B1848" s="5" t="s">
        <v>3679</v>
      </c>
      <c r="C1848" s="4" t="s">
        <v>17</v>
      </c>
      <c r="D1848" s="6">
        <v>147.69</v>
      </c>
      <c r="E1848" s="6">
        <v>146.82</v>
      </c>
      <c r="F1848" s="7">
        <v>15.74</v>
      </c>
      <c r="G1848" s="7">
        <v>148.8</v>
      </c>
      <c r="H1848" s="7">
        <v>100.75</v>
      </c>
      <c r="I1848" s="7" t="s">
        <v>3680</v>
      </c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>
      <c r="A1849" s="5" t="s">
        <v>3681</v>
      </c>
      <c r="B1849" s="5" t="s">
        <v>3682</v>
      </c>
      <c r="C1849" s="4" t="s">
        <v>1291</v>
      </c>
      <c r="D1849" s="6" t="e">
        <v>#N/A</v>
      </c>
      <c r="E1849" s="6" t="e">
        <v>#N/A</v>
      </c>
      <c r="F1849" s="4"/>
      <c r="G1849" s="4"/>
      <c r="H1849" s="4"/>
      <c r="I1849" s="7" t="e">
        <v>#N/A</v>
      </c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>
      <c r="A1850" s="5" t="s">
        <v>3681</v>
      </c>
      <c r="B1850" s="5" t="s">
        <v>3682</v>
      </c>
      <c r="C1850" s="4" t="s">
        <v>1291</v>
      </c>
      <c r="D1850" s="6" t="e">
        <v>#N/A</v>
      </c>
      <c r="E1850" s="6" t="e">
        <v>#N/A</v>
      </c>
      <c r="F1850" s="4"/>
      <c r="G1850" s="4"/>
      <c r="H1850" s="4"/>
      <c r="I1850" s="7" t="e">
        <v>#N/A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>
      <c r="A1851" s="8" t="s">
        <v>3681</v>
      </c>
      <c r="B1851" s="8" t="s">
        <v>3682</v>
      </c>
      <c r="C1851" s="9" t="s">
        <v>1291</v>
      </c>
      <c r="D1851" s="10" t="e">
        <v>#N/A</v>
      </c>
      <c r="E1851" s="6" t="e">
        <v>#N/A</v>
      </c>
      <c r="F1851" s="4"/>
      <c r="G1851" s="4"/>
      <c r="H1851" s="4"/>
      <c r="I1851" s="7" t="e">
        <v>#N/A</v>
      </c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>
      <c r="A1852" s="5" t="s">
        <v>3683</v>
      </c>
      <c r="B1852" s="5" t="s">
        <v>3684</v>
      </c>
      <c r="C1852" s="4" t="s">
        <v>37</v>
      </c>
      <c r="D1852" s="6">
        <v>0.0</v>
      </c>
      <c r="E1852" s="6">
        <v>0.0</v>
      </c>
      <c r="F1852" s="4"/>
      <c r="G1852" s="7">
        <v>0.02</v>
      </c>
      <c r="H1852" s="7">
        <v>0.0</v>
      </c>
      <c r="I1852" s="7">
        <v>5479680.0</v>
      </c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>
      <c r="A1853" s="5" t="s">
        <v>3685</v>
      </c>
      <c r="B1853" s="5" t="s">
        <v>3686</v>
      </c>
      <c r="C1853" s="4" t="s">
        <v>14</v>
      </c>
      <c r="D1853" s="6">
        <v>0.57</v>
      </c>
      <c r="E1853" s="6">
        <v>0.57</v>
      </c>
      <c r="F1853" s="7">
        <v>12.08</v>
      </c>
      <c r="G1853" s="7">
        <v>0.67</v>
      </c>
      <c r="H1853" s="7">
        <v>0.45</v>
      </c>
      <c r="I1853" s="7">
        <v>6.4578035E7</v>
      </c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>
      <c r="A1854" s="5" t="s">
        <v>3687</v>
      </c>
      <c r="B1854" s="5" t="s">
        <v>3688</v>
      </c>
      <c r="C1854" s="4" t="s">
        <v>501</v>
      </c>
      <c r="D1854" s="6">
        <v>0.02</v>
      </c>
      <c r="E1854" s="6">
        <v>0.02</v>
      </c>
      <c r="F1854" s="4"/>
      <c r="G1854" s="7">
        <v>0.03</v>
      </c>
      <c r="H1854" s="7">
        <v>0.01</v>
      </c>
      <c r="I1854" s="7">
        <v>3.4047072E7</v>
      </c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>
      <c r="A1855" s="5" t="s">
        <v>3689</v>
      </c>
      <c r="B1855" s="5" t="s">
        <v>3690</v>
      </c>
      <c r="C1855" s="4" t="s">
        <v>17</v>
      </c>
      <c r="D1855" s="6">
        <v>0.0</v>
      </c>
      <c r="E1855" s="6">
        <v>0.0</v>
      </c>
      <c r="F1855" s="4"/>
      <c r="G1855" s="7">
        <v>0.01</v>
      </c>
      <c r="H1855" s="7">
        <v>0.0</v>
      </c>
      <c r="I1855" s="7">
        <v>2330120.0</v>
      </c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>
      <c r="A1856" s="5" t="s">
        <v>3691</v>
      </c>
      <c r="B1856" s="5" t="s">
        <v>3692</v>
      </c>
      <c r="C1856" s="4" t="s">
        <v>265</v>
      </c>
      <c r="D1856" s="6">
        <v>0.07</v>
      </c>
      <c r="E1856" s="6">
        <v>0.07</v>
      </c>
      <c r="F1856" s="4"/>
      <c r="G1856" s="7">
        <v>0.1</v>
      </c>
      <c r="H1856" s="7">
        <v>0.03</v>
      </c>
      <c r="I1856" s="7">
        <v>3.0032813E7</v>
      </c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>
      <c r="A1857" s="5" t="s">
        <v>3693</v>
      </c>
      <c r="B1857" s="5" t="s">
        <v>3694</v>
      </c>
      <c r="C1857" s="4" t="s">
        <v>14</v>
      </c>
      <c r="D1857" s="6">
        <v>0.01</v>
      </c>
      <c r="E1857" s="6">
        <v>0.0</v>
      </c>
      <c r="F1857" s="4"/>
      <c r="G1857" s="7">
        <v>0.01</v>
      </c>
      <c r="H1857" s="7">
        <v>0.0</v>
      </c>
      <c r="I1857" s="7">
        <v>5635488.0</v>
      </c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>
      <c r="A1858" s="5" t="s">
        <v>3695</v>
      </c>
      <c r="B1858" s="5" t="s">
        <v>3696</v>
      </c>
      <c r="C1858" s="4" t="s">
        <v>76</v>
      </c>
      <c r="D1858" s="6">
        <v>0.75</v>
      </c>
      <c r="E1858" s="6">
        <v>0.75</v>
      </c>
      <c r="F1858" s="4"/>
      <c r="G1858" s="7">
        <v>1.5</v>
      </c>
      <c r="H1858" s="7">
        <v>0.32</v>
      </c>
      <c r="I1858" s="7">
        <v>1.42757136E9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>
      <c r="A1859" s="5" t="s">
        <v>3697</v>
      </c>
      <c r="B1859" s="5" t="s">
        <v>3698</v>
      </c>
      <c r="C1859" s="4" t="s">
        <v>34</v>
      </c>
      <c r="D1859" s="6">
        <v>25.15</v>
      </c>
      <c r="E1859" s="6">
        <v>25.14</v>
      </c>
      <c r="F1859" s="4"/>
      <c r="G1859" s="7">
        <v>25.16</v>
      </c>
      <c r="H1859" s="7">
        <v>24.94</v>
      </c>
      <c r="I1859" s="7" t="e">
        <v>#N/A</v>
      </c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>
      <c r="A1860" s="5" t="s">
        <v>3699</v>
      </c>
      <c r="B1860" s="5" t="s">
        <v>3700</v>
      </c>
      <c r="C1860" s="4" t="s">
        <v>239</v>
      </c>
      <c r="D1860" s="6">
        <v>0.96</v>
      </c>
      <c r="E1860" s="6">
        <v>0.96</v>
      </c>
      <c r="F1860" s="7">
        <v>11.12</v>
      </c>
      <c r="G1860" s="7">
        <v>1.23</v>
      </c>
      <c r="H1860" s="7">
        <v>0.81</v>
      </c>
      <c r="I1860" s="7">
        <v>3.79707831E8</v>
      </c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>
      <c r="A1861" s="5" t="s">
        <v>3701</v>
      </c>
      <c r="B1861" s="5" t="s">
        <v>3702</v>
      </c>
      <c r="C1861" s="4" t="s">
        <v>60</v>
      </c>
      <c r="D1861" s="6">
        <v>36.17</v>
      </c>
      <c r="E1861" s="6">
        <v>35.94</v>
      </c>
      <c r="F1861" s="4"/>
      <c r="G1861" s="7">
        <v>45.25</v>
      </c>
      <c r="H1861" s="7">
        <v>32.04</v>
      </c>
      <c r="I1861" s="7">
        <v>3.5733985065E10</v>
      </c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>
      <c r="A1862" s="5" t="s">
        <v>3703</v>
      </c>
      <c r="B1862" s="5" t="s">
        <v>3704</v>
      </c>
      <c r="C1862" s="4" t="s">
        <v>37</v>
      </c>
      <c r="D1862" s="6">
        <v>0.03</v>
      </c>
      <c r="E1862" s="6">
        <v>0.03</v>
      </c>
      <c r="F1862" s="4"/>
      <c r="G1862" s="7">
        <v>0.03</v>
      </c>
      <c r="H1862" s="7">
        <v>0.0</v>
      </c>
      <c r="I1862" s="7">
        <v>1.9200878E7</v>
      </c>
      <c r="J1862" s="7">
        <v>0.001</v>
      </c>
      <c r="K1862" s="7">
        <v>0.001</v>
      </c>
      <c r="L1862" s="7">
        <v>0.001</v>
      </c>
      <c r="M1862" s="7">
        <v>0.001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>
      <c r="A1863" s="5" t="s">
        <v>3705</v>
      </c>
      <c r="B1863" s="5" t="s">
        <v>3706</v>
      </c>
      <c r="C1863" s="4" t="s">
        <v>37</v>
      </c>
      <c r="D1863" s="6">
        <v>0.05</v>
      </c>
      <c r="E1863" s="6">
        <v>0.05</v>
      </c>
      <c r="F1863" s="4"/>
      <c r="G1863" s="7">
        <v>0.15</v>
      </c>
      <c r="H1863" s="7">
        <v>0.01</v>
      </c>
      <c r="I1863" s="7">
        <v>9.6976093E7</v>
      </c>
      <c r="J1863" s="7">
        <v>62.98</v>
      </c>
      <c r="K1863" s="7">
        <v>63.49</v>
      </c>
      <c r="L1863" s="7">
        <v>64.77</v>
      </c>
      <c r="M1863" s="7">
        <v>58.0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>
      <c r="A1864" s="5" t="s">
        <v>3707</v>
      </c>
      <c r="B1864" s="5" t="s">
        <v>3708</v>
      </c>
      <c r="C1864" s="4" t="s">
        <v>86</v>
      </c>
      <c r="D1864" s="6">
        <v>4.23</v>
      </c>
      <c r="E1864" s="6">
        <v>4.16</v>
      </c>
      <c r="F1864" s="7">
        <v>10.4</v>
      </c>
      <c r="G1864" s="7">
        <v>4.26</v>
      </c>
      <c r="H1864" s="7">
        <v>2.06</v>
      </c>
      <c r="I1864" s="7">
        <v>8.142483546E9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>
      <c r="A1865" s="5" t="s">
        <v>3709</v>
      </c>
      <c r="B1865" s="5" t="s">
        <v>3710</v>
      </c>
      <c r="C1865" s="4" t="s">
        <v>37</v>
      </c>
      <c r="D1865" s="6">
        <v>0.02</v>
      </c>
      <c r="E1865" s="6">
        <v>0.03</v>
      </c>
      <c r="F1865" s="4"/>
      <c r="G1865" s="7">
        <v>0.05</v>
      </c>
      <c r="H1865" s="7">
        <v>0.01</v>
      </c>
      <c r="I1865" s="7">
        <v>1.8821928E7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>
      <c r="A1866" s="5" t="s">
        <v>3711</v>
      </c>
      <c r="B1866" s="5" t="s">
        <v>3712</v>
      </c>
      <c r="C1866" s="4" t="s">
        <v>68</v>
      </c>
      <c r="D1866" s="6">
        <v>0.05</v>
      </c>
      <c r="E1866" s="6">
        <v>0.05</v>
      </c>
      <c r="F1866" s="4"/>
      <c r="G1866" s="7">
        <v>0.05</v>
      </c>
      <c r="H1866" s="7">
        <v>0.03</v>
      </c>
      <c r="I1866" s="7">
        <v>3.0599117E7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>
      <c r="A1867" s="5" t="s">
        <v>3713</v>
      </c>
      <c r="B1867" s="5" t="s">
        <v>3714</v>
      </c>
      <c r="C1867" s="4" t="s">
        <v>86</v>
      </c>
      <c r="D1867" s="6">
        <v>2.58</v>
      </c>
      <c r="E1867" s="6">
        <v>2.57</v>
      </c>
      <c r="F1867" s="7">
        <v>11.17</v>
      </c>
      <c r="G1867" s="7">
        <v>2.82</v>
      </c>
      <c r="H1867" s="7">
        <v>1.37</v>
      </c>
      <c r="I1867" s="7">
        <v>1.46739946E8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>
      <c r="A1868" s="5" t="s">
        <v>3715</v>
      </c>
      <c r="B1868" s="5" t="s">
        <v>3716</v>
      </c>
      <c r="C1868" s="4" t="s">
        <v>141</v>
      </c>
      <c r="D1868" s="6">
        <v>0.05</v>
      </c>
      <c r="E1868" s="6">
        <v>0.05</v>
      </c>
      <c r="F1868" s="4"/>
      <c r="G1868" s="7">
        <v>0.06</v>
      </c>
      <c r="H1868" s="7">
        <v>0.01</v>
      </c>
      <c r="I1868" s="7">
        <v>4.9711728E7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>
      <c r="A1869" s="5" t="s">
        <v>3717</v>
      </c>
      <c r="B1869" s="5" t="s">
        <v>3718</v>
      </c>
      <c r="C1869" s="4" t="s">
        <v>37</v>
      </c>
      <c r="D1869" s="6">
        <v>0.08</v>
      </c>
      <c r="E1869" s="6">
        <v>0.08</v>
      </c>
      <c r="F1869" s="7">
        <v>109.72</v>
      </c>
      <c r="G1869" s="7">
        <v>0.11</v>
      </c>
      <c r="H1869" s="7">
        <v>0.04</v>
      </c>
      <c r="I1869" s="7">
        <v>2.00981144E8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>
      <c r="A1870" s="5" t="s">
        <v>3719</v>
      </c>
      <c r="B1870" s="5" t="s">
        <v>3720</v>
      </c>
      <c r="C1870" s="4" t="s">
        <v>274</v>
      </c>
      <c r="D1870" s="6">
        <v>0.11</v>
      </c>
      <c r="E1870" s="6">
        <v>0.1</v>
      </c>
      <c r="F1870" s="4"/>
      <c r="G1870" s="7">
        <v>0.22</v>
      </c>
      <c r="H1870" s="7">
        <v>0.09</v>
      </c>
      <c r="I1870" s="7">
        <v>1.4564285E7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>
      <c r="A1871" s="5" t="s">
        <v>3721</v>
      </c>
      <c r="B1871" s="5" t="s">
        <v>3722</v>
      </c>
      <c r="C1871" s="4" t="s">
        <v>17</v>
      </c>
      <c r="D1871" s="6">
        <v>0.0</v>
      </c>
      <c r="E1871" s="6">
        <v>0.0</v>
      </c>
      <c r="F1871" s="4"/>
      <c r="G1871" s="7">
        <v>0.01</v>
      </c>
      <c r="H1871" s="7">
        <v>0.0</v>
      </c>
      <c r="I1871" s="7">
        <v>4139592.0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>
      <c r="A1872" s="5" t="s">
        <v>3723</v>
      </c>
      <c r="B1872" s="5" t="s">
        <v>3724</v>
      </c>
      <c r="C1872" s="4" t="s">
        <v>34</v>
      </c>
      <c r="D1872" s="6">
        <v>92.2</v>
      </c>
      <c r="E1872" s="6">
        <v>91.55</v>
      </c>
      <c r="F1872" s="4"/>
      <c r="G1872" s="7">
        <v>94.99</v>
      </c>
      <c r="H1872" s="7">
        <v>63.01</v>
      </c>
      <c r="I1872" s="7" t="e">
        <v>#N/A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>
      <c r="A1873" s="5" t="s">
        <v>3725</v>
      </c>
      <c r="B1873" s="5" t="s">
        <v>3726</v>
      </c>
      <c r="C1873" s="4" t="s">
        <v>182</v>
      </c>
      <c r="D1873" s="6">
        <v>0.41</v>
      </c>
      <c r="E1873" s="6">
        <v>0.43</v>
      </c>
      <c r="F1873" s="4"/>
      <c r="G1873" s="7">
        <v>0.49</v>
      </c>
      <c r="H1873" s="7">
        <v>0.06</v>
      </c>
      <c r="I1873" s="7">
        <v>6.8575126E7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>
      <c r="A1874" s="5" t="s">
        <v>3727</v>
      </c>
      <c r="B1874" s="5" t="s">
        <v>3728</v>
      </c>
      <c r="C1874" s="4" t="s">
        <v>76</v>
      </c>
      <c r="D1874" s="6">
        <v>0.0</v>
      </c>
      <c r="E1874" s="6">
        <v>0.0</v>
      </c>
      <c r="F1874" s="4"/>
      <c r="G1874" s="7">
        <v>0.01</v>
      </c>
      <c r="H1874" s="7">
        <v>0.0</v>
      </c>
      <c r="I1874" s="7">
        <v>8133342.0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>
      <c r="A1875" s="5" t="s">
        <v>3729</v>
      </c>
      <c r="B1875" s="5" t="s">
        <v>3730</v>
      </c>
      <c r="C1875" s="4" t="s">
        <v>312</v>
      </c>
      <c r="D1875" s="6">
        <v>0.18</v>
      </c>
      <c r="E1875" s="6">
        <v>0.17</v>
      </c>
      <c r="F1875" s="4"/>
      <c r="G1875" s="7">
        <v>0.23</v>
      </c>
      <c r="H1875" s="7">
        <v>0.12</v>
      </c>
      <c r="I1875" s="7">
        <v>7053753.0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>
      <c r="A1876" s="5" t="s">
        <v>3731</v>
      </c>
      <c r="B1876" s="5" t="s">
        <v>3732</v>
      </c>
      <c r="C1876" s="4" t="s">
        <v>34</v>
      </c>
      <c r="D1876" s="6">
        <v>12.45</v>
      </c>
      <c r="E1876" s="6">
        <v>12.53</v>
      </c>
      <c r="F1876" s="4"/>
      <c r="G1876" s="7">
        <v>13.64</v>
      </c>
      <c r="H1876" s="7">
        <v>10.43</v>
      </c>
      <c r="I1876" s="7" t="e">
        <v>#N/A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>
      <c r="A1877" s="5" t="s">
        <v>3733</v>
      </c>
      <c r="B1877" s="5" t="s">
        <v>3734</v>
      </c>
      <c r="C1877" s="4" t="s">
        <v>169</v>
      </c>
      <c r="D1877" s="6">
        <v>3.24</v>
      </c>
      <c r="E1877" s="6">
        <v>3.21</v>
      </c>
      <c r="F1877" s="7">
        <v>28.14</v>
      </c>
      <c r="G1877" s="7">
        <v>4.04</v>
      </c>
      <c r="H1877" s="7">
        <v>1.62</v>
      </c>
      <c r="I1877" s="7">
        <v>1.196854707E9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>
      <c r="A1878" s="5" t="s">
        <v>3735</v>
      </c>
      <c r="B1878" s="5" t="s">
        <v>3736</v>
      </c>
      <c r="C1878" s="4" t="s">
        <v>244</v>
      </c>
      <c r="D1878" s="6">
        <v>0.06</v>
      </c>
      <c r="E1878" s="6">
        <v>0.06</v>
      </c>
      <c r="F1878" s="7">
        <v>3.18</v>
      </c>
      <c r="G1878" s="7">
        <v>0.07</v>
      </c>
      <c r="H1878" s="7">
        <v>0.04</v>
      </c>
      <c r="I1878" s="7">
        <v>1.3984365E7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>
      <c r="A1879" s="5" t="s">
        <v>3737</v>
      </c>
      <c r="B1879" s="5" t="s">
        <v>3738</v>
      </c>
      <c r="C1879" s="4" t="s">
        <v>86</v>
      </c>
      <c r="D1879" s="6">
        <v>0.01</v>
      </c>
      <c r="E1879" s="6">
        <v>0.01</v>
      </c>
      <c r="F1879" s="4"/>
      <c r="G1879" s="7">
        <v>0.02</v>
      </c>
      <c r="H1879" s="7">
        <v>0.01</v>
      </c>
      <c r="I1879" s="7">
        <v>8656867.0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>
      <c r="A1880" s="5" t="s">
        <v>3739</v>
      </c>
      <c r="B1880" s="5" t="s">
        <v>3740</v>
      </c>
      <c r="C1880" s="4" t="s">
        <v>17</v>
      </c>
      <c r="D1880" s="6">
        <v>0.26</v>
      </c>
      <c r="E1880" s="6">
        <v>0.26</v>
      </c>
      <c r="F1880" s="4"/>
      <c r="G1880" s="7">
        <v>0.31</v>
      </c>
      <c r="H1880" s="7">
        <v>0.15</v>
      </c>
      <c r="I1880" s="7" t="e">
        <v>#N/A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>
      <c r="A1881" s="5" t="s">
        <v>3741</v>
      </c>
      <c r="B1881" s="5" t="s">
        <v>3742</v>
      </c>
      <c r="C1881" s="4" t="s">
        <v>86</v>
      </c>
      <c r="D1881" s="6">
        <v>7.63</v>
      </c>
      <c r="E1881" s="6">
        <v>7.55</v>
      </c>
      <c r="F1881" s="7">
        <v>22.83</v>
      </c>
      <c r="G1881" s="7">
        <v>7.83</v>
      </c>
      <c r="H1881" s="7">
        <v>2.55</v>
      </c>
      <c r="I1881" s="7">
        <v>5.777833609E9</v>
      </c>
      <c r="J1881" s="7">
        <v>79.98</v>
      </c>
      <c r="K1881" s="7">
        <v>81.02</v>
      </c>
      <c r="L1881" s="7">
        <v>82.35</v>
      </c>
      <c r="M1881" s="7">
        <v>64.17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>
      <c r="A1882" s="5" t="s">
        <v>3743</v>
      </c>
      <c r="B1882" s="5" t="s">
        <v>3744</v>
      </c>
      <c r="C1882" s="4" t="s">
        <v>37</v>
      </c>
      <c r="D1882" s="6">
        <v>0.08</v>
      </c>
      <c r="E1882" s="6">
        <v>0.08</v>
      </c>
      <c r="F1882" s="4"/>
      <c r="G1882" s="7">
        <v>0.11</v>
      </c>
      <c r="H1882" s="7">
        <v>0.02</v>
      </c>
      <c r="I1882" s="7">
        <v>2.4838122E7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>
      <c r="A1883" s="5" t="s">
        <v>3745</v>
      </c>
      <c r="B1883" s="5" t="s">
        <v>3746</v>
      </c>
      <c r="C1883" s="4" t="s">
        <v>86</v>
      </c>
      <c r="D1883" s="6">
        <v>1.24</v>
      </c>
      <c r="E1883" s="6">
        <v>1.23</v>
      </c>
      <c r="F1883" s="7">
        <v>145.47</v>
      </c>
      <c r="G1883" s="7">
        <v>1.32</v>
      </c>
      <c r="H1883" s="7">
        <v>0.34</v>
      </c>
      <c r="I1883" s="7">
        <v>2.619483195E9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>
      <c r="A1884" s="5" t="s">
        <v>3747</v>
      </c>
      <c r="B1884" s="5" t="s">
        <v>3748</v>
      </c>
      <c r="C1884" s="4" t="s">
        <v>34</v>
      </c>
      <c r="D1884" s="6">
        <v>20.43</v>
      </c>
      <c r="E1884" s="6">
        <v>20.53</v>
      </c>
      <c r="F1884" s="4"/>
      <c r="G1884" s="7">
        <v>21.25</v>
      </c>
      <c r="H1884" s="7">
        <v>20.04</v>
      </c>
      <c r="I1884" s="7" t="e">
        <v>#N/A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>
      <c r="A1885" s="5" t="s">
        <v>3749</v>
      </c>
      <c r="B1885" s="5" t="s">
        <v>3750</v>
      </c>
      <c r="C1885" s="4" t="s">
        <v>34</v>
      </c>
      <c r="D1885" s="6">
        <v>10.3</v>
      </c>
      <c r="E1885" s="6">
        <v>10.32</v>
      </c>
      <c r="F1885" s="4"/>
      <c r="G1885" s="7">
        <v>10.79</v>
      </c>
      <c r="H1885" s="7">
        <v>7.85</v>
      </c>
      <c r="I1885" s="7" t="e">
        <v>#N/A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>
      <c r="A1886" s="5" t="s">
        <v>3751</v>
      </c>
      <c r="B1886" s="5" t="s">
        <v>3752</v>
      </c>
      <c r="C1886" s="4" t="s">
        <v>86</v>
      </c>
      <c r="D1886" s="6">
        <v>0.03</v>
      </c>
      <c r="E1886" s="6">
        <v>0.03</v>
      </c>
      <c r="F1886" s="4"/>
      <c r="G1886" s="7">
        <v>0.04</v>
      </c>
      <c r="H1886" s="7">
        <v>0.02</v>
      </c>
      <c r="I1886" s="7">
        <v>4.7792638E7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>
      <c r="A1887" s="5" t="s">
        <v>3753</v>
      </c>
      <c r="B1887" s="5" t="s">
        <v>3754</v>
      </c>
      <c r="C1887" s="4" t="s">
        <v>14</v>
      </c>
      <c r="D1887" s="6">
        <v>0.87</v>
      </c>
      <c r="E1887" s="6">
        <v>0.85</v>
      </c>
      <c r="F1887" s="7">
        <v>77.61</v>
      </c>
      <c r="G1887" s="7">
        <v>1.3</v>
      </c>
      <c r="H1887" s="7">
        <v>0.65</v>
      </c>
      <c r="I1887" s="7">
        <v>4.1660724E7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>
      <c r="A1888" s="5" t="s">
        <v>3755</v>
      </c>
      <c r="B1888" s="5" t="s">
        <v>3756</v>
      </c>
      <c r="C1888" s="4" t="s">
        <v>17</v>
      </c>
      <c r="D1888" s="6">
        <v>0.05</v>
      </c>
      <c r="E1888" s="6">
        <v>0.05</v>
      </c>
      <c r="F1888" s="4"/>
      <c r="G1888" s="7">
        <v>0.05</v>
      </c>
      <c r="H1888" s="7">
        <v>0.02</v>
      </c>
      <c r="I1888" s="7">
        <v>6.3270864E7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>
      <c r="A1889" s="5" t="s">
        <v>3757</v>
      </c>
      <c r="B1889" s="5" t="s">
        <v>3758</v>
      </c>
      <c r="C1889" s="4" t="s">
        <v>14</v>
      </c>
      <c r="D1889" s="6">
        <v>4.96</v>
      </c>
      <c r="E1889" s="6">
        <v>4.95</v>
      </c>
      <c r="F1889" s="7">
        <v>248000.02</v>
      </c>
      <c r="G1889" s="7">
        <v>4.97</v>
      </c>
      <c r="H1889" s="7">
        <v>2.39</v>
      </c>
      <c r="I1889" s="7">
        <v>1.098679688E9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>
      <c r="A1890" s="5" t="s">
        <v>3759</v>
      </c>
      <c r="B1890" s="5" t="s">
        <v>3760</v>
      </c>
      <c r="C1890" s="4" t="s">
        <v>26</v>
      </c>
      <c r="D1890" s="6">
        <v>0.07</v>
      </c>
      <c r="E1890" s="6">
        <v>0.08</v>
      </c>
      <c r="F1890" s="4"/>
      <c r="G1890" s="7">
        <v>0.23</v>
      </c>
      <c r="H1890" s="7">
        <v>0.06</v>
      </c>
      <c r="I1890" s="7">
        <v>1.5466117E7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>
      <c r="A1891" s="5" t="s">
        <v>3759</v>
      </c>
      <c r="B1891" s="5" t="s">
        <v>3760</v>
      </c>
      <c r="C1891" s="4" t="s">
        <v>26</v>
      </c>
      <c r="D1891" s="6">
        <v>0.07</v>
      </c>
      <c r="E1891" s="6">
        <v>0.08</v>
      </c>
      <c r="F1891" s="4"/>
      <c r="G1891" s="7">
        <v>0.23</v>
      </c>
      <c r="H1891" s="7">
        <v>0.06</v>
      </c>
      <c r="I1891" s="7">
        <v>1.5466117E7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>
      <c r="A1892" s="8" t="s">
        <v>3759</v>
      </c>
      <c r="B1892" s="8" t="s">
        <v>3760</v>
      </c>
      <c r="C1892" s="9" t="s">
        <v>26</v>
      </c>
      <c r="D1892" s="10">
        <v>0.07</v>
      </c>
      <c r="E1892" s="6">
        <v>0.08</v>
      </c>
      <c r="F1892" s="4"/>
      <c r="G1892" s="7">
        <v>0.23</v>
      </c>
      <c r="H1892" s="7">
        <v>0.06</v>
      </c>
      <c r="I1892" s="7">
        <v>1.5466117E7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>
      <c r="A1893" s="5" t="s">
        <v>3761</v>
      </c>
      <c r="B1893" s="5" t="s">
        <v>3762</v>
      </c>
      <c r="C1893" s="4" t="s">
        <v>1666</v>
      </c>
      <c r="D1893" s="6">
        <v>3.85</v>
      </c>
      <c r="E1893" s="6">
        <v>3.86</v>
      </c>
      <c r="F1893" s="7">
        <v>16.01</v>
      </c>
      <c r="G1893" s="7">
        <v>5.52</v>
      </c>
      <c r="H1893" s="7">
        <v>3.68</v>
      </c>
      <c r="I1893" s="7">
        <v>2.950766591E9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>
      <c r="A1894" s="5" t="s">
        <v>3763</v>
      </c>
      <c r="B1894" s="5" t="s">
        <v>3764</v>
      </c>
      <c r="C1894" s="4" t="s">
        <v>265</v>
      </c>
      <c r="D1894" s="6">
        <v>0.04</v>
      </c>
      <c r="E1894" s="6">
        <v>0.04</v>
      </c>
      <c r="F1894" s="4"/>
      <c r="G1894" s="7">
        <v>0.07</v>
      </c>
      <c r="H1894" s="7">
        <v>0.04</v>
      </c>
      <c r="I1894" s="7">
        <v>1.0159831E7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>
      <c r="A1895" s="5" t="s">
        <v>3765</v>
      </c>
      <c r="B1895" s="5" t="s">
        <v>3766</v>
      </c>
      <c r="C1895" s="4" t="s">
        <v>1291</v>
      </c>
      <c r="D1895" s="6">
        <v>0.14</v>
      </c>
      <c r="E1895" s="6">
        <v>0.14</v>
      </c>
      <c r="F1895" s="4"/>
      <c r="G1895" s="7">
        <v>0.37</v>
      </c>
      <c r="H1895" s="7">
        <v>0.11</v>
      </c>
      <c r="I1895" s="7">
        <v>3.6162259E7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>
      <c r="A1896" s="5" t="s">
        <v>3765</v>
      </c>
      <c r="B1896" s="5" t="s">
        <v>3766</v>
      </c>
      <c r="C1896" s="4" t="s">
        <v>1291</v>
      </c>
      <c r="D1896" s="6">
        <v>0.14</v>
      </c>
      <c r="E1896" s="6">
        <v>0.14</v>
      </c>
      <c r="F1896" s="4"/>
      <c r="G1896" s="7">
        <v>0.37</v>
      </c>
      <c r="H1896" s="7">
        <v>0.11</v>
      </c>
      <c r="I1896" s="7">
        <v>3.6162259E7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>
      <c r="A1897" s="8" t="s">
        <v>3765</v>
      </c>
      <c r="B1897" s="8" t="s">
        <v>3766</v>
      </c>
      <c r="C1897" s="9" t="s">
        <v>1291</v>
      </c>
      <c r="D1897" s="10">
        <v>0.14</v>
      </c>
      <c r="E1897" s="6">
        <v>0.14</v>
      </c>
      <c r="F1897" s="4"/>
      <c r="G1897" s="7">
        <v>0.37</v>
      </c>
      <c r="H1897" s="7">
        <v>0.11</v>
      </c>
      <c r="I1897" s="7">
        <v>3.6162259E7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>
      <c r="A1898" s="5" t="s">
        <v>3767</v>
      </c>
      <c r="B1898" s="5" t="s">
        <v>3768</v>
      </c>
      <c r="C1898" s="4" t="s">
        <v>86</v>
      </c>
      <c r="D1898" s="6">
        <v>0.49</v>
      </c>
      <c r="E1898" s="6">
        <v>0.5</v>
      </c>
      <c r="F1898" s="4"/>
      <c r="G1898" s="7">
        <v>0.6</v>
      </c>
      <c r="H1898" s="7">
        <v>0.2</v>
      </c>
      <c r="I1898" s="7">
        <v>6.66571894E8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>
      <c r="A1899" s="5" t="s">
        <v>3769</v>
      </c>
      <c r="B1899" s="5" t="s">
        <v>3770</v>
      </c>
      <c r="C1899" s="4" t="s">
        <v>3040</v>
      </c>
      <c r="D1899" s="6">
        <v>5.7</v>
      </c>
      <c r="E1899" s="6">
        <v>5.7</v>
      </c>
      <c r="F1899" s="4"/>
      <c r="G1899" s="7">
        <v>5.77</v>
      </c>
      <c r="H1899" s="7">
        <v>3.2</v>
      </c>
      <c r="I1899" s="7">
        <v>1.45242265E9</v>
      </c>
      <c r="J1899" s="7">
        <v>0.008</v>
      </c>
      <c r="K1899" s="7">
        <v>0.008</v>
      </c>
      <c r="L1899" s="7">
        <v>0.013</v>
      </c>
      <c r="M1899" s="7">
        <v>0.003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>
      <c r="A1900" s="5" t="s">
        <v>3771</v>
      </c>
      <c r="B1900" s="5" t="s">
        <v>3772</v>
      </c>
      <c r="C1900" s="4" t="s">
        <v>169</v>
      </c>
      <c r="D1900" s="6">
        <v>1.95</v>
      </c>
      <c r="E1900" s="6">
        <v>1.95</v>
      </c>
      <c r="F1900" s="7">
        <v>71.77</v>
      </c>
      <c r="G1900" s="7">
        <v>1.97</v>
      </c>
      <c r="H1900" s="7">
        <v>1.12</v>
      </c>
      <c r="I1900" s="7">
        <v>1.56669399E8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>
      <c r="A1901" s="5" t="s">
        <v>3773</v>
      </c>
      <c r="B1901" s="5" t="s">
        <v>3774</v>
      </c>
      <c r="C1901" s="4" t="s">
        <v>3775</v>
      </c>
      <c r="D1901" s="6">
        <v>2.57</v>
      </c>
      <c r="E1901" s="6">
        <v>2.56</v>
      </c>
      <c r="F1901" s="4"/>
      <c r="G1901" s="7">
        <v>2.62</v>
      </c>
      <c r="H1901" s="7">
        <v>2.27</v>
      </c>
      <c r="I1901" s="7">
        <v>2.982268E9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>
      <c r="A1902" s="5" t="s">
        <v>3776</v>
      </c>
      <c r="B1902" s="5" t="s">
        <v>3777</v>
      </c>
      <c r="C1902" s="4" t="s">
        <v>37</v>
      </c>
      <c r="D1902" s="6">
        <v>0.0</v>
      </c>
      <c r="E1902" s="6">
        <v>0.04</v>
      </c>
      <c r="F1902" s="4"/>
      <c r="G1902" s="4"/>
      <c r="H1902" s="4"/>
      <c r="I1902" s="7" t="e">
        <v>#N/A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>
      <c r="A1903" s="5" t="s">
        <v>3778</v>
      </c>
      <c r="B1903" s="5" t="s">
        <v>3779</v>
      </c>
      <c r="C1903" s="4" t="s">
        <v>14</v>
      </c>
      <c r="D1903" s="6">
        <v>0.78</v>
      </c>
      <c r="E1903" s="6">
        <v>0.77</v>
      </c>
      <c r="F1903" s="4"/>
      <c r="G1903" s="7">
        <v>0.96</v>
      </c>
      <c r="H1903" s="7">
        <v>0.43</v>
      </c>
      <c r="I1903" s="7">
        <v>8.1146837E7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>
      <c r="A1904" s="5" t="s">
        <v>3780</v>
      </c>
      <c r="B1904" s="5" t="s">
        <v>3781</v>
      </c>
      <c r="C1904" s="4" t="s">
        <v>86</v>
      </c>
      <c r="D1904" s="6">
        <v>0.07</v>
      </c>
      <c r="E1904" s="6">
        <v>0.07</v>
      </c>
      <c r="F1904" s="4"/>
      <c r="G1904" s="7">
        <v>0.14</v>
      </c>
      <c r="H1904" s="7">
        <v>0.06</v>
      </c>
      <c r="I1904" s="7">
        <v>3.7177333E7</v>
      </c>
      <c r="J1904" s="7">
        <v>10.28</v>
      </c>
      <c r="K1904" s="7">
        <v>10.39</v>
      </c>
      <c r="L1904" s="7">
        <v>11.59</v>
      </c>
      <c r="M1904" s="7">
        <v>9.34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>
      <c r="A1905" s="5" t="s">
        <v>3782</v>
      </c>
      <c r="B1905" s="5" t="s">
        <v>3783</v>
      </c>
      <c r="C1905" s="4" t="s">
        <v>17</v>
      </c>
      <c r="D1905" s="6">
        <v>3.55</v>
      </c>
      <c r="E1905" s="6">
        <v>3.56</v>
      </c>
      <c r="F1905" s="7">
        <v>33.81</v>
      </c>
      <c r="G1905" s="7">
        <v>3.78</v>
      </c>
      <c r="H1905" s="7">
        <v>2.47</v>
      </c>
      <c r="I1905" s="7">
        <v>1.5943216635E10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>
      <c r="A1906" s="5" t="s">
        <v>3784</v>
      </c>
      <c r="B1906" s="5" t="s">
        <v>3785</v>
      </c>
      <c r="C1906" s="4" t="s">
        <v>34</v>
      </c>
      <c r="D1906" s="6" t="e">
        <v>#N/A</v>
      </c>
      <c r="E1906" s="6" t="e">
        <v>#N/A</v>
      </c>
      <c r="F1906" s="4"/>
      <c r="G1906" s="4"/>
      <c r="H1906" s="4"/>
      <c r="I1906" s="7" t="e">
        <v>#N/A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>
      <c r="A1907" s="5" t="s">
        <v>3786</v>
      </c>
      <c r="B1907" s="5" t="s">
        <v>3787</v>
      </c>
      <c r="C1907" s="4" t="s">
        <v>397</v>
      </c>
      <c r="D1907" s="6">
        <v>0.26</v>
      </c>
      <c r="E1907" s="6">
        <v>0.26</v>
      </c>
      <c r="F1907" s="7">
        <v>6.69</v>
      </c>
      <c r="G1907" s="7">
        <v>0.28</v>
      </c>
      <c r="H1907" s="7">
        <v>0.12</v>
      </c>
      <c r="I1907" s="7">
        <v>3.5121578E7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>
      <c r="A1908" s="5" t="s">
        <v>3788</v>
      </c>
      <c r="B1908" s="5" t="s">
        <v>3789</v>
      </c>
      <c r="C1908" s="4" t="s">
        <v>76</v>
      </c>
      <c r="D1908" s="6">
        <v>0.01</v>
      </c>
      <c r="E1908" s="6">
        <v>0.01</v>
      </c>
      <c r="F1908" s="4"/>
      <c r="G1908" s="7">
        <v>0.02</v>
      </c>
      <c r="H1908" s="7">
        <v>0.0</v>
      </c>
      <c r="I1908" s="7">
        <v>2251260.0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>
      <c r="A1909" s="5" t="s">
        <v>3790</v>
      </c>
      <c r="B1909" s="5" t="s">
        <v>3791</v>
      </c>
      <c r="C1909" s="4" t="s">
        <v>169</v>
      </c>
      <c r="D1909" s="6">
        <v>0.73</v>
      </c>
      <c r="E1909" s="6">
        <v>0.74</v>
      </c>
      <c r="F1909" s="7">
        <v>20.23</v>
      </c>
      <c r="G1909" s="7">
        <v>0.86</v>
      </c>
      <c r="H1909" s="7">
        <v>0.59</v>
      </c>
      <c r="I1909" s="7">
        <v>6.0963425E7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>
      <c r="A1910" s="5" t="s">
        <v>3792</v>
      </c>
      <c r="B1910" s="5" t="s">
        <v>3793</v>
      </c>
      <c r="C1910" s="4" t="s">
        <v>86</v>
      </c>
      <c r="D1910" s="6">
        <v>0.59</v>
      </c>
      <c r="E1910" s="6">
        <v>0.58</v>
      </c>
      <c r="F1910" s="4"/>
      <c r="G1910" s="7">
        <v>0.66</v>
      </c>
      <c r="H1910" s="7">
        <v>0.19</v>
      </c>
      <c r="I1910" s="7">
        <v>7.13779018E8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>
      <c r="A1911" s="5" t="s">
        <v>3794</v>
      </c>
      <c r="B1911" s="5" t="s">
        <v>3795</v>
      </c>
      <c r="C1911" s="4" t="s">
        <v>37</v>
      </c>
      <c r="D1911" s="6">
        <v>0.01</v>
      </c>
      <c r="E1911" s="6">
        <v>0.01</v>
      </c>
      <c r="F1911" s="4"/>
      <c r="G1911" s="7">
        <v>0.01</v>
      </c>
      <c r="H1911" s="7">
        <v>0.01</v>
      </c>
      <c r="I1911" s="7">
        <v>5680248.0</v>
      </c>
      <c r="J1911" s="7">
        <v>0.001</v>
      </c>
      <c r="K1911" s="7">
        <v>0.001</v>
      </c>
      <c r="L1911" s="7">
        <v>0.004</v>
      </c>
      <c r="M1911" s="7">
        <v>0.001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>
      <c r="A1912" s="5" t="s">
        <v>3796</v>
      </c>
      <c r="B1912" s="5" t="s">
        <v>3797</v>
      </c>
      <c r="C1912" s="4" t="s">
        <v>141</v>
      </c>
      <c r="D1912" s="6">
        <v>4.23</v>
      </c>
      <c r="E1912" s="6">
        <v>4.2</v>
      </c>
      <c r="F1912" s="7">
        <v>15.47</v>
      </c>
      <c r="G1912" s="7">
        <v>4.27</v>
      </c>
      <c r="H1912" s="7">
        <v>3.23</v>
      </c>
      <c r="I1912" s="7">
        <v>2.2065439779E10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>
      <c r="A1913" s="5" t="s">
        <v>3798</v>
      </c>
      <c r="B1913" s="5" t="s">
        <v>3799</v>
      </c>
      <c r="C1913" s="4" t="s">
        <v>37</v>
      </c>
      <c r="D1913" s="6">
        <v>0.04</v>
      </c>
      <c r="E1913" s="6">
        <v>0.04</v>
      </c>
      <c r="F1913" s="4"/>
      <c r="G1913" s="7">
        <v>0.04</v>
      </c>
      <c r="H1913" s="7">
        <v>0.02</v>
      </c>
      <c r="I1913" s="7">
        <v>2.021236E7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>
      <c r="A1914" s="5" t="s">
        <v>3800</v>
      </c>
      <c r="B1914" s="5" t="s">
        <v>3801</v>
      </c>
      <c r="C1914" s="4" t="s">
        <v>169</v>
      </c>
      <c r="D1914" s="6">
        <v>0.1</v>
      </c>
      <c r="E1914" s="6">
        <v>0.1</v>
      </c>
      <c r="F1914" s="4"/>
      <c r="G1914" s="7">
        <v>0.22</v>
      </c>
      <c r="H1914" s="7">
        <v>0.08</v>
      </c>
      <c r="I1914" s="7">
        <v>8809070.0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>
      <c r="A1915" s="5" t="s">
        <v>3802</v>
      </c>
      <c r="B1915" s="5" t="s">
        <v>3803</v>
      </c>
      <c r="C1915" s="4" t="s">
        <v>159</v>
      </c>
      <c r="D1915" s="6">
        <v>0.7</v>
      </c>
      <c r="E1915" s="6">
        <v>0.7</v>
      </c>
      <c r="F1915" s="4"/>
      <c r="G1915" s="7">
        <v>0.7</v>
      </c>
      <c r="H1915" s="7">
        <v>0.7</v>
      </c>
      <c r="I1915" s="7">
        <v>1138893.0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>
      <c r="A1916" s="5" t="s">
        <v>3804</v>
      </c>
      <c r="B1916" s="5" t="s">
        <v>3805</v>
      </c>
      <c r="C1916" s="4" t="s">
        <v>565</v>
      </c>
      <c r="D1916" s="6">
        <v>5.32</v>
      </c>
      <c r="E1916" s="6">
        <v>5.28</v>
      </c>
      <c r="F1916" s="7">
        <v>17.55</v>
      </c>
      <c r="G1916" s="7">
        <v>6.67</v>
      </c>
      <c r="H1916" s="7">
        <v>4.88</v>
      </c>
      <c r="I1916" s="7">
        <v>5.91579231E9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>
      <c r="A1917" s="5" t="s">
        <v>3806</v>
      </c>
      <c r="B1917" s="5" t="s">
        <v>3807</v>
      </c>
      <c r="C1917" s="4" t="s">
        <v>274</v>
      </c>
      <c r="D1917" s="6">
        <v>0.93</v>
      </c>
      <c r="E1917" s="6">
        <v>0.92</v>
      </c>
      <c r="F1917" s="7">
        <v>9.04</v>
      </c>
      <c r="G1917" s="7">
        <v>1.18</v>
      </c>
      <c r="H1917" s="7">
        <v>0.8</v>
      </c>
      <c r="I1917" s="7">
        <v>1.09353038E8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>
      <c r="A1918" s="5" t="s">
        <v>3808</v>
      </c>
      <c r="B1918" s="5" t="s">
        <v>3809</v>
      </c>
      <c r="C1918" s="4" t="s">
        <v>14</v>
      </c>
      <c r="D1918" s="6">
        <v>6.12</v>
      </c>
      <c r="E1918" s="6">
        <v>6.08</v>
      </c>
      <c r="F1918" s="4"/>
      <c r="G1918" s="7">
        <v>7.96</v>
      </c>
      <c r="H1918" s="7">
        <v>3.4</v>
      </c>
      <c r="I1918" s="7">
        <v>1.724947059E9</v>
      </c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>
      <c r="A1919" s="5" t="s">
        <v>3810</v>
      </c>
      <c r="B1919" s="5" t="s">
        <v>3811</v>
      </c>
      <c r="C1919" s="4" t="s">
        <v>221</v>
      </c>
      <c r="D1919" s="6">
        <v>0.46</v>
      </c>
      <c r="E1919" s="6">
        <v>0.47</v>
      </c>
      <c r="F1919" s="4"/>
      <c r="G1919" s="7">
        <v>0.57</v>
      </c>
      <c r="H1919" s="7">
        <v>0.26</v>
      </c>
      <c r="I1919" s="7">
        <v>8.7440711E7</v>
      </c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>
      <c r="A1920" s="5" t="s">
        <v>3812</v>
      </c>
      <c r="B1920" s="5" t="s">
        <v>3813</v>
      </c>
      <c r="C1920" s="4" t="s">
        <v>126</v>
      </c>
      <c r="D1920" s="6">
        <v>2.89</v>
      </c>
      <c r="E1920" s="6">
        <v>2.46</v>
      </c>
      <c r="F1920" s="4"/>
      <c r="G1920" s="7">
        <v>3.88</v>
      </c>
      <c r="H1920" s="7">
        <v>2.25</v>
      </c>
      <c r="I1920" s="7">
        <v>1.928626253E9</v>
      </c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>
      <c r="A1921" s="5" t="s">
        <v>3814</v>
      </c>
      <c r="B1921" s="5" t="s">
        <v>3815</v>
      </c>
      <c r="C1921" s="4" t="s">
        <v>169</v>
      </c>
      <c r="D1921" s="6">
        <v>2.83</v>
      </c>
      <c r="E1921" s="6">
        <v>2.83</v>
      </c>
      <c r="F1921" s="7">
        <v>10.32</v>
      </c>
      <c r="G1921" s="7">
        <v>2.9</v>
      </c>
      <c r="H1921" s="7">
        <v>2.05</v>
      </c>
      <c r="I1921" s="7">
        <v>1.69523589E8</v>
      </c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>
      <c r="A1922" s="5" t="s">
        <v>3816</v>
      </c>
      <c r="B1922" s="5" t="s">
        <v>3817</v>
      </c>
      <c r="C1922" s="4" t="s">
        <v>91</v>
      </c>
      <c r="D1922" s="6">
        <v>0.28</v>
      </c>
      <c r="E1922" s="6">
        <v>0.28</v>
      </c>
      <c r="F1922" s="4"/>
      <c r="G1922" s="7">
        <v>0.36</v>
      </c>
      <c r="H1922" s="7">
        <v>0.19</v>
      </c>
      <c r="I1922" s="7">
        <v>7.864494E7</v>
      </c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>
      <c r="A1923" s="5" t="s">
        <v>3818</v>
      </c>
      <c r="B1923" s="5" t="s">
        <v>3819</v>
      </c>
      <c r="C1923" s="4" t="s">
        <v>506</v>
      </c>
      <c r="D1923" s="6">
        <v>23.38</v>
      </c>
      <c r="E1923" s="6">
        <v>23.12</v>
      </c>
      <c r="F1923" s="7">
        <v>35.15</v>
      </c>
      <c r="G1923" s="7">
        <v>29.84</v>
      </c>
      <c r="H1923" s="7">
        <v>18.88</v>
      </c>
      <c r="I1923" s="7">
        <v>8.351805638E9</v>
      </c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>
      <c r="A1924" s="5" t="s">
        <v>3820</v>
      </c>
      <c r="B1924" s="5" t="s">
        <v>3821</v>
      </c>
      <c r="C1924" s="4" t="s">
        <v>34</v>
      </c>
      <c r="D1924" s="6">
        <v>23.42</v>
      </c>
      <c r="E1924" s="6">
        <v>23.3</v>
      </c>
      <c r="F1924" s="4"/>
      <c r="G1924" s="7">
        <v>24.18</v>
      </c>
      <c r="H1924" s="7">
        <v>12.69</v>
      </c>
      <c r="I1924" s="7" t="e">
        <v>#N/A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>
      <c r="A1925" s="5" t="s">
        <v>3822</v>
      </c>
      <c r="B1925" s="5" t="s">
        <v>3823</v>
      </c>
      <c r="C1925" s="4" t="s">
        <v>182</v>
      </c>
      <c r="D1925" s="6">
        <v>2.35</v>
      </c>
      <c r="E1925" s="6">
        <v>2.39</v>
      </c>
      <c r="F1925" s="4"/>
      <c r="G1925" s="7">
        <v>3.0</v>
      </c>
      <c r="H1925" s="7">
        <v>1.5</v>
      </c>
      <c r="I1925" s="7">
        <v>3.8956841E7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>
      <c r="A1926" s="5" t="s">
        <v>3824</v>
      </c>
      <c r="B1926" s="5" t="s">
        <v>3825</v>
      </c>
      <c r="C1926" s="4" t="s">
        <v>169</v>
      </c>
      <c r="D1926" s="6">
        <v>0.28</v>
      </c>
      <c r="E1926" s="6">
        <v>0.29</v>
      </c>
      <c r="F1926" s="7">
        <v>11.0</v>
      </c>
      <c r="G1926" s="7">
        <v>0.47</v>
      </c>
      <c r="H1926" s="7">
        <v>0.22</v>
      </c>
      <c r="I1926" s="7">
        <v>3.4940087E7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>
      <c r="A1927" s="5" t="s">
        <v>3826</v>
      </c>
      <c r="B1927" s="5" t="s">
        <v>3827</v>
      </c>
      <c r="C1927" s="4" t="s">
        <v>17</v>
      </c>
      <c r="D1927" s="6">
        <v>0.01</v>
      </c>
      <c r="E1927" s="6">
        <v>0.01</v>
      </c>
      <c r="F1927" s="4"/>
      <c r="G1927" s="7">
        <v>0.01</v>
      </c>
      <c r="H1927" s="7">
        <v>0.0</v>
      </c>
      <c r="I1927" s="7">
        <v>5068399.0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>
      <c r="A1928" s="5" t="s">
        <v>3828</v>
      </c>
      <c r="B1928" s="5" t="s">
        <v>3829</v>
      </c>
      <c r="C1928" s="4" t="s">
        <v>146</v>
      </c>
      <c r="D1928" s="6">
        <v>20.25</v>
      </c>
      <c r="E1928" s="6">
        <v>20.21</v>
      </c>
      <c r="F1928" s="7">
        <v>11.34</v>
      </c>
      <c r="G1928" s="7">
        <v>22.5</v>
      </c>
      <c r="H1928" s="7">
        <v>19.47</v>
      </c>
      <c r="I1928" s="7">
        <v>2.752137E8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>
      <c r="A1929" s="5" t="s">
        <v>3830</v>
      </c>
      <c r="B1929" s="5" t="s">
        <v>3831</v>
      </c>
      <c r="C1929" s="4" t="s">
        <v>126</v>
      </c>
      <c r="D1929" s="6">
        <v>0.0</v>
      </c>
      <c r="E1929" s="6">
        <v>0.0</v>
      </c>
      <c r="F1929" s="4"/>
      <c r="G1929" s="7">
        <v>0.0</v>
      </c>
      <c r="H1929" s="7">
        <v>0.0</v>
      </c>
      <c r="I1929" s="7">
        <v>4836600.0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>
      <c r="A1930" s="5" t="s">
        <v>3832</v>
      </c>
      <c r="B1930" s="5" t="s">
        <v>3833</v>
      </c>
      <c r="C1930" s="4" t="s">
        <v>34</v>
      </c>
      <c r="D1930" s="6">
        <v>10.78</v>
      </c>
      <c r="E1930" s="6">
        <v>10.8</v>
      </c>
      <c r="F1930" s="4"/>
      <c r="G1930" s="7">
        <v>10.82</v>
      </c>
      <c r="H1930" s="7">
        <v>10.73</v>
      </c>
      <c r="I1930" s="7" t="e">
        <v>#N/A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>
      <c r="A1931" s="5" t="s">
        <v>3834</v>
      </c>
      <c r="B1931" s="5" t="s">
        <v>3835</v>
      </c>
      <c r="C1931" s="4" t="s">
        <v>17</v>
      </c>
      <c r="D1931" s="6">
        <v>0.3</v>
      </c>
      <c r="E1931" s="6">
        <v>0.31</v>
      </c>
      <c r="F1931" s="4"/>
      <c r="G1931" s="7">
        <v>0.36</v>
      </c>
      <c r="H1931" s="7">
        <v>0.03</v>
      </c>
      <c r="I1931" s="7">
        <v>3.3299731E7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>
      <c r="A1932" s="5" t="s">
        <v>3836</v>
      </c>
      <c r="B1932" s="5" t="s">
        <v>3837</v>
      </c>
      <c r="C1932" s="4" t="s">
        <v>37</v>
      </c>
      <c r="D1932" s="6">
        <v>18.0</v>
      </c>
      <c r="E1932" s="6">
        <v>17.92</v>
      </c>
      <c r="F1932" s="7">
        <v>59.9</v>
      </c>
      <c r="G1932" s="7">
        <v>18.18</v>
      </c>
      <c r="H1932" s="7">
        <v>8.05</v>
      </c>
      <c r="I1932" s="7">
        <v>8.3146086E9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>
      <c r="A1933" s="5" t="s">
        <v>3838</v>
      </c>
      <c r="B1933" s="5" t="s">
        <v>3839</v>
      </c>
      <c r="C1933" s="4" t="s">
        <v>961</v>
      </c>
      <c r="D1933" s="6">
        <v>0.07</v>
      </c>
      <c r="E1933" s="6">
        <v>0.07</v>
      </c>
      <c r="F1933" s="4"/>
      <c r="G1933" s="7">
        <v>0.26</v>
      </c>
      <c r="H1933" s="7">
        <v>0.06</v>
      </c>
      <c r="I1933" s="7">
        <v>2.8048534E7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>
      <c r="A1934" s="5" t="s">
        <v>3840</v>
      </c>
      <c r="B1934" s="5" t="s">
        <v>3841</v>
      </c>
      <c r="C1934" s="4" t="s">
        <v>3842</v>
      </c>
      <c r="D1934" s="6">
        <v>74.72</v>
      </c>
      <c r="E1934" s="6">
        <v>74.56</v>
      </c>
      <c r="F1934" s="4"/>
      <c r="G1934" s="7">
        <v>79.2</v>
      </c>
      <c r="H1934" s="7">
        <v>63.65</v>
      </c>
      <c r="I1934" s="7">
        <v>7.18207904E8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>
      <c r="A1935" s="5" t="s">
        <v>3843</v>
      </c>
      <c r="B1935" s="5" t="s">
        <v>3844</v>
      </c>
      <c r="C1935" s="4" t="s">
        <v>37</v>
      </c>
      <c r="D1935" s="6">
        <v>0.1</v>
      </c>
      <c r="E1935" s="6">
        <v>0.1</v>
      </c>
      <c r="F1935" s="4"/>
      <c r="G1935" s="7">
        <v>0.16</v>
      </c>
      <c r="H1935" s="7">
        <v>0.04</v>
      </c>
      <c r="I1935" s="7">
        <v>1.989735E7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>
      <c r="A1936" s="5" t="s">
        <v>3845</v>
      </c>
      <c r="B1936" s="5" t="s">
        <v>3846</v>
      </c>
      <c r="C1936" s="4" t="s">
        <v>400</v>
      </c>
      <c r="D1936" s="6">
        <v>46.83</v>
      </c>
      <c r="E1936" s="6">
        <v>46.45</v>
      </c>
      <c r="F1936" s="7">
        <v>39.34</v>
      </c>
      <c r="G1936" s="7">
        <v>55.65</v>
      </c>
      <c r="H1936" s="7">
        <v>41.13</v>
      </c>
      <c r="I1936" s="7">
        <v>1.9059717085E10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>
      <c r="A1937" s="5" t="s">
        <v>3847</v>
      </c>
      <c r="B1937" s="5" t="s">
        <v>3848</v>
      </c>
      <c r="C1937" s="4" t="s">
        <v>3449</v>
      </c>
      <c r="D1937" s="6">
        <v>1.32</v>
      </c>
      <c r="E1937" s="6">
        <v>1.33</v>
      </c>
      <c r="F1937" s="7">
        <v>50.17</v>
      </c>
      <c r="G1937" s="7">
        <v>1.49</v>
      </c>
      <c r="H1937" s="7">
        <v>0.38</v>
      </c>
      <c r="I1937" s="7">
        <v>1.97415247E8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>
      <c r="A1938" s="5" t="s">
        <v>3849</v>
      </c>
      <c r="B1938" s="5" t="s">
        <v>3850</v>
      </c>
      <c r="C1938" s="4" t="s">
        <v>210</v>
      </c>
      <c r="D1938" s="6">
        <v>18.22</v>
      </c>
      <c r="E1938" s="6">
        <v>17.99</v>
      </c>
      <c r="F1938" s="7">
        <v>1464.63</v>
      </c>
      <c r="G1938" s="7">
        <v>18.49</v>
      </c>
      <c r="H1938" s="7">
        <v>11.84</v>
      </c>
      <c r="I1938" s="7">
        <v>2.294277611E9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>
      <c r="A1939" s="5" t="s">
        <v>3849</v>
      </c>
      <c r="B1939" s="5" t="s">
        <v>3850</v>
      </c>
      <c r="C1939" s="4" t="s">
        <v>210</v>
      </c>
      <c r="D1939" s="6">
        <v>18.22</v>
      </c>
      <c r="E1939" s="6">
        <v>17.99</v>
      </c>
      <c r="F1939" s="7">
        <v>1464.63</v>
      </c>
      <c r="G1939" s="7">
        <v>18.49</v>
      </c>
      <c r="H1939" s="7">
        <v>11.84</v>
      </c>
      <c r="I1939" s="7">
        <v>2.294277611E9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>
      <c r="A1940" s="5" t="s">
        <v>3851</v>
      </c>
      <c r="B1940" s="5" t="s">
        <v>3852</v>
      </c>
      <c r="C1940" s="4" t="s">
        <v>141</v>
      </c>
      <c r="D1940" s="6">
        <v>5.75</v>
      </c>
      <c r="E1940" s="6">
        <v>5.73</v>
      </c>
      <c r="F1940" s="7">
        <v>16.77</v>
      </c>
      <c r="G1940" s="7">
        <v>6.75</v>
      </c>
      <c r="H1940" s="7">
        <v>4.72</v>
      </c>
      <c r="I1940" s="7">
        <v>1.3928616E10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>
      <c r="A1941" s="5" t="s">
        <v>3853</v>
      </c>
      <c r="B1941" s="5" t="s">
        <v>3854</v>
      </c>
      <c r="C1941" s="4" t="s">
        <v>17</v>
      </c>
      <c r="D1941" s="6">
        <v>0.1</v>
      </c>
      <c r="E1941" s="6">
        <v>0.1</v>
      </c>
      <c r="F1941" s="4"/>
      <c r="G1941" s="7">
        <v>0.18</v>
      </c>
      <c r="H1941" s="7">
        <v>0.02</v>
      </c>
      <c r="I1941" s="7">
        <v>3.61300515E8</v>
      </c>
      <c r="J1941" s="7">
        <v>22.58</v>
      </c>
      <c r="K1941" s="7">
        <v>22.75</v>
      </c>
      <c r="L1941" s="7">
        <v>23.11</v>
      </c>
      <c r="M1941" s="7">
        <v>18.68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>
      <c r="A1942" s="5" t="s">
        <v>3855</v>
      </c>
      <c r="B1942" s="5" t="s">
        <v>3856</v>
      </c>
      <c r="C1942" s="4" t="s">
        <v>257</v>
      </c>
      <c r="D1942" s="6">
        <v>0.17</v>
      </c>
      <c r="E1942" s="6">
        <v>0.18</v>
      </c>
      <c r="F1942" s="4"/>
      <c r="G1942" s="7">
        <v>0.2</v>
      </c>
      <c r="H1942" s="7">
        <v>0.08</v>
      </c>
      <c r="I1942" s="7">
        <v>1.128154011E9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>
      <c r="A1943" s="5" t="s">
        <v>3857</v>
      </c>
      <c r="B1943" s="5" t="s">
        <v>3858</v>
      </c>
      <c r="C1943" s="4" t="s">
        <v>121</v>
      </c>
      <c r="D1943" s="6">
        <v>6.05</v>
      </c>
      <c r="E1943" s="6">
        <v>6.12</v>
      </c>
      <c r="F1943" s="7">
        <v>24.47</v>
      </c>
      <c r="G1943" s="7">
        <v>6.59</v>
      </c>
      <c r="H1943" s="7">
        <v>2.61</v>
      </c>
      <c r="I1943" s="7">
        <v>5.05110038E8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>
      <c r="A1944" s="5" t="s">
        <v>3859</v>
      </c>
      <c r="B1944" s="5" t="s">
        <v>3860</v>
      </c>
      <c r="C1944" s="4" t="s">
        <v>76</v>
      </c>
      <c r="D1944" s="6">
        <v>0.01</v>
      </c>
      <c r="E1944" s="6">
        <v>0.01</v>
      </c>
      <c r="F1944" s="4"/>
      <c r="G1944" s="7">
        <v>0.01</v>
      </c>
      <c r="H1944" s="7">
        <v>0.0</v>
      </c>
      <c r="I1944" s="7">
        <v>3353735.0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>
      <c r="A1945" s="5" t="s">
        <v>3861</v>
      </c>
      <c r="B1945" s="5" t="s">
        <v>3862</v>
      </c>
      <c r="C1945" s="4" t="s">
        <v>60</v>
      </c>
      <c r="D1945" s="6">
        <v>0.27</v>
      </c>
      <c r="E1945" s="6">
        <v>0.26</v>
      </c>
      <c r="F1945" s="4"/>
      <c r="G1945" s="7">
        <v>0.42</v>
      </c>
      <c r="H1945" s="7">
        <v>0.18</v>
      </c>
      <c r="I1945" s="7">
        <v>8.1600783E7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>
      <c r="A1946" s="5" t="s">
        <v>3863</v>
      </c>
      <c r="B1946" s="5" t="s">
        <v>3864</v>
      </c>
      <c r="C1946" s="4" t="s">
        <v>244</v>
      </c>
      <c r="D1946" s="6">
        <v>0.74</v>
      </c>
      <c r="E1946" s="6">
        <v>0.74</v>
      </c>
      <c r="F1946" s="7">
        <v>231.97</v>
      </c>
      <c r="G1946" s="7">
        <v>0.88</v>
      </c>
      <c r="H1946" s="7">
        <v>0.54</v>
      </c>
      <c r="I1946" s="7">
        <v>1.25348897E8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>
      <c r="A1947" s="5" t="s">
        <v>3865</v>
      </c>
      <c r="B1947" s="5" t="s">
        <v>3866</v>
      </c>
      <c r="C1947" s="4" t="s">
        <v>162</v>
      </c>
      <c r="D1947" s="6">
        <v>22.44</v>
      </c>
      <c r="E1947" s="6">
        <v>22.61</v>
      </c>
      <c r="F1947" s="7">
        <v>21.03</v>
      </c>
      <c r="G1947" s="7">
        <v>29.24</v>
      </c>
      <c r="H1947" s="7">
        <v>20.5</v>
      </c>
      <c r="I1947" s="7">
        <v>1.1090698739E10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>
      <c r="A1948" s="5" t="s">
        <v>3867</v>
      </c>
      <c r="B1948" s="5" t="s">
        <v>3868</v>
      </c>
      <c r="C1948" s="4" t="s">
        <v>836</v>
      </c>
      <c r="D1948" s="6">
        <v>0.77</v>
      </c>
      <c r="E1948" s="6">
        <v>0.78</v>
      </c>
      <c r="F1948" s="7">
        <v>9.2</v>
      </c>
      <c r="G1948" s="7">
        <v>0.83</v>
      </c>
      <c r="H1948" s="7">
        <v>0.61</v>
      </c>
      <c r="I1948" s="7">
        <v>5.9980804E7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>
      <c r="A1949" s="5" t="s">
        <v>3869</v>
      </c>
      <c r="B1949" s="5" t="s">
        <v>3870</v>
      </c>
      <c r="C1949" s="4" t="s">
        <v>17</v>
      </c>
      <c r="D1949" s="6">
        <v>0.02</v>
      </c>
      <c r="E1949" s="6">
        <v>0.02</v>
      </c>
      <c r="F1949" s="4"/>
      <c r="G1949" s="7">
        <v>0.03</v>
      </c>
      <c r="H1949" s="7">
        <v>0.01</v>
      </c>
      <c r="I1949" s="7">
        <v>6.3796435E7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>
      <c r="A1950" s="5" t="s">
        <v>3871</v>
      </c>
      <c r="B1950" s="5" t="s">
        <v>3872</v>
      </c>
      <c r="C1950" s="4" t="s">
        <v>14</v>
      </c>
      <c r="D1950" s="6">
        <v>0.05</v>
      </c>
      <c r="E1950" s="6">
        <v>0.05</v>
      </c>
      <c r="F1950" s="4"/>
      <c r="G1950" s="7">
        <v>0.05</v>
      </c>
      <c r="H1950" s="7">
        <v>0.02</v>
      </c>
      <c r="I1950" s="7">
        <v>3.4580343E7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>
      <c r="A1951" s="5" t="s">
        <v>3873</v>
      </c>
      <c r="B1951" s="5" t="s">
        <v>3874</v>
      </c>
      <c r="C1951" s="4" t="s">
        <v>265</v>
      </c>
      <c r="D1951" s="6">
        <v>0.03</v>
      </c>
      <c r="E1951" s="6">
        <v>0.03</v>
      </c>
      <c r="F1951" s="4"/>
      <c r="G1951" s="7">
        <v>0.18</v>
      </c>
      <c r="H1951" s="7">
        <v>0.02</v>
      </c>
      <c r="I1951" s="7">
        <v>2963771.0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>
      <c r="A1952" s="5" t="s">
        <v>3875</v>
      </c>
      <c r="B1952" s="5" t="s">
        <v>3876</v>
      </c>
      <c r="C1952" s="4" t="s">
        <v>96</v>
      </c>
      <c r="D1952" s="6">
        <v>4.93</v>
      </c>
      <c r="E1952" s="6">
        <v>4.99</v>
      </c>
      <c r="F1952" s="7">
        <v>22.19</v>
      </c>
      <c r="G1952" s="7">
        <v>5.45</v>
      </c>
      <c r="H1952" s="7">
        <v>3.37</v>
      </c>
      <c r="I1952" s="7">
        <v>7.00590443E8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>
      <c r="A1953" s="5" t="s">
        <v>3877</v>
      </c>
      <c r="B1953" s="5" t="s">
        <v>3878</v>
      </c>
      <c r="C1953" s="4" t="s">
        <v>172</v>
      </c>
      <c r="D1953" s="6">
        <v>2.94</v>
      </c>
      <c r="E1953" s="6">
        <v>2.94</v>
      </c>
      <c r="F1953" s="7">
        <v>58.17</v>
      </c>
      <c r="G1953" s="7">
        <v>3.32</v>
      </c>
      <c r="H1953" s="7">
        <v>2.59</v>
      </c>
      <c r="I1953" s="7">
        <v>3.393847866E10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>
      <c r="A1954" s="5" t="s">
        <v>3879</v>
      </c>
      <c r="B1954" s="5" t="s">
        <v>3880</v>
      </c>
      <c r="C1954" s="4" t="s">
        <v>1764</v>
      </c>
      <c r="D1954" s="6">
        <v>0.14</v>
      </c>
      <c r="E1954" s="6">
        <v>0.12</v>
      </c>
      <c r="F1954" s="7">
        <v>35.99</v>
      </c>
      <c r="G1954" s="7">
        <v>0.22</v>
      </c>
      <c r="H1954" s="7">
        <v>0.12</v>
      </c>
      <c r="I1954" s="7">
        <v>5.0386896E7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>
      <c r="A1955" s="5" t="s">
        <v>3881</v>
      </c>
      <c r="B1955" s="5" t="s">
        <v>3882</v>
      </c>
      <c r="C1955" s="4" t="s">
        <v>506</v>
      </c>
      <c r="D1955" s="6">
        <v>9.08</v>
      </c>
      <c r="E1955" s="6">
        <v>9.14</v>
      </c>
      <c r="F1955" s="7">
        <v>14.88</v>
      </c>
      <c r="G1955" s="7">
        <v>9.22</v>
      </c>
      <c r="H1955" s="7">
        <v>6.82</v>
      </c>
      <c r="I1955" s="7">
        <v>1.231297929E9</v>
      </c>
      <c r="J1955" s="7">
        <v>10.86</v>
      </c>
      <c r="K1955" s="7">
        <v>10.84</v>
      </c>
      <c r="L1955" s="7">
        <v>12.51</v>
      </c>
      <c r="M1955" s="7">
        <v>10.17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>
      <c r="A1956" s="5" t="s">
        <v>3883</v>
      </c>
      <c r="B1956" s="5" t="s">
        <v>3884</v>
      </c>
      <c r="C1956" s="4" t="s">
        <v>14</v>
      </c>
      <c r="D1956" s="6">
        <v>0.01</v>
      </c>
      <c r="E1956" s="6">
        <v>0.01</v>
      </c>
      <c r="F1956" s="4"/>
      <c r="G1956" s="7">
        <v>0.01</v>
      </c>
      <c r="H1956" s="7">
        <v>0.0</v>
      </c>
      <c r="I1956" s="7">
        <v>6965312.0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>
      <c r="A1957" s="5" t="s">
        <v>3885</v>
      </c>
      <c r="B1957" s="5" t="s">
        <v>3886</v>
      </c>
      <c r="C1957" s="4" t="s">
        <v>159</v>
      </c>
      <c r="D1957" s="6">
        <v>0.15</v>
      </c>
      <c r="E1957" s="6">
        <v>0.15</v>
      </c>
      <c r="F1957" s="4"/>
      <c r="G1957" s="7">
        <v>0.15</v>
      </c>
      <c r="H1957" s="7">
        <v>0.14</v>
      </c>
      <c r="I1957" s="7">
        <v>7102930.0</v>
      </c>
      <c r="J1957" s="7">
        <v>24.83</v>
      </c>
      <c r="K1957" s="7">
        <v>24.93</v>
      </c>
      <c r="L1957" s="7">
        <v>25.0</v>
      </c>
      <c r="M1957" s="7">
        <v>23.55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>
      <c r="A1958" s="5" t="s">
        <v>3887</v>
      </c>
      <c r="B1958" s="5" t="s">
        <v>3888</v>
      </c>
      <c r="C1958" s="4" t="s">
        <v>146</v>
      </c>
      <c r="D1958" s="6">
        <v>0.09</v>
      </c>
      <c r="E1958" s="6">
        <v>0.09</v>
      </c>
      <c r="F1958" s="4"/>
      <c r="G1958" s="7">
        <v>0.1</v>
      </c>
      <c r="H1958" s="7">
        <v>0.04</v>
      </c>
      <c r="I1958" s="7">
        <v>6.2657657E7</v>
      </c>
      <c r="J1958" s="7">
        <v>7.06</v>
      </c>
      <c r="K1958" s="7">
        <v>6.96</v>
      </c>
      <c r="L1958" s="7">
        <v>7.74</v>
      </c>
      <c r="M1958" s="7">
        <v>6.33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>
      <c r="A1959" s="5" t="s">
        <v>3889</v>
      </c>
      <c r="B1959" s="5" t="s">
        <v>3890</v>
      </c>
      <c r="C1959" s="4" t="s">
        <v>257</v>
      </c>
      <c r="D1959" s="6">
        <v>0.78</v>
      </c>
      <c r="E1959" s="6">
        <v>0.78</v>
      </c>
      <c r="F1959" s="4"/>
      <c r="G1959" s="7">
        <v>1.25</v>
      </c>
      <c r="H1959" s="7">
        <v>0.57</v>
      </c>
      <c r="I1959" s="7">
        <v>9.948116E8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>
      <c r="A1960" s="5" t="s">
        <v>3891</v>
      </c>
      <c r="B1960" s="5" t="s">
        <v>3892</v>
      </c>
      <c r="C1960" s="4" t="s">
        <v>31</v>
      </c>
      <c r="D1960" s="6">
        <v>0.04</v>
      </c>
      <c r="E1960" s="6">
        <v>0.03</v>
      </c>
      <c r="F1960" s="4"/>
      <c r="G1960" s="7">
        <v>0.07</v>
      </c>
      <c r="H1960" s="7">
        <v>0.0</v>
      </c>
      <c r="I1960" s="7">
        <v>1.25946003E8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>
      <c r="A1961" s="5" t="s">
        <v>3893</v>
      </c>
      <c r="B1961" s="5" t="s">
        <v>3894</v>
      </c>
      <c r="C1961" s="4" t="s">
        <v>37</v>
      </c>
      <c r="D1961" s="6">
        <v>0.26</v>
      </c>
      <c r="E1961" s="6">
        <v>0.25</v>
      </c>
      <c r="F1961" s="4"/>
      <c r="G1961" s="7">
        <v>0.34</v>
      </c>
      <c r="H1961" s="7">
        <v>0.15</v>
      </c>
      <c r="I1961" s="7">
        <v>2.2928494E7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>
      <c r="A1962" s="5" t="s">
        <v>3895</v>
      </c>
      <c r="B1962" s="5" t="s">
        <v>3896</v>
      </c>
      <c r="C1962" s="4" t="s">
        <v>2774</v>
      </c>
      <c r="D1962" s="6">
        <v>0.01</v>
      </c>
      <c r="E1962" s="6">
        <v>0.0</v>
      </c>
      <c r="F1962" s="4"/>
      <c r="G1962" s="7">
        <v>0.02</v>
      </c>
      <c r="H1962" s="7">
        <v>0.0</v>
      </c>
      <c r="I1962" s="7">
        <v>7563034.0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>
      <c r="A1963" s="5" t="s">
        <v>3897</v>
      </c>
      <c r="B1963" s="5" t="s">
        <v>3898</v>
      </c>
      <c r="C1963" s="4" t="s">
        <v>68</v>
      </c>
      <c r="D1963" s="6">
        <v>2.61</v>
      </c>
      <c r="E1963" s="6">
        <v>2.61</v>
      </c>
      <c r="F1963" s="4"/>
      <c r="G1963" s="7">
        <v>3.6</v>
      </c>
      <c r="H1963" s="7">
        <v>2.02</v>
      </c>
      <c r="I1963" s="7">
        <v>3.766745E8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>
      <c r="A1964" s="5" t="s">
        <v>3899</v>
      </c>
      <c r="B1964" s="5" t="s">
        <v>3900</v>
      </c>
      <c r="C1964" s="4" t="s">
        <v>182</v>
      </c>
      <c r="D1964" s="6">
        <v>3.95</v>
      </c>
      <c r="E1964" s="6">
        <v>4.03</v>
      </c>
      <c r="F1964" s="7">
        <v>31.62</v>
      </c>
      <c r="G1964" s="7">
        <v>4.48</v>
      </c>
      <c r="H1964" s="7">
        <v>1.39</v>
      </c>
      <c r="I1964" s="7">
        <v>4.5309779E8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>
      <c r="A1965" s="5" t="s">
        <v>3901</v>
      </c>
      <c r="B1965" s="5" t="s">
        <v>3902</v>
      </c>
      <c r="C1965" s="4" t="s">
        <v>91</v>
      </c>
      <c r="D1965" s="6">
        <v>2.94</v>
      </c>
      <c r="E1965" s="6">
        <v>2.95</v>
      </c>
      <c r="F1965" s="4"/>
      <c r="G1965" s="7">
        <v>3.24</v>
      </c>
      <c r="H1965" s="7">
        <v>2.1</v>
      </c>
      <c r="I1965" s="7">
        <v>4.690673E8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>
      <c r="A1966" s="5" t="s">
        <v>3903</v>
      </c>
      <c r="B1966" s="5" t="s">
        <v>3904</v>
      </c>
      <c r="C1966" s="4" t="s">
        <v>34</v>
      </c>
      <c r="D1966" s="6" t="e">
        <v>#N/A</v>
      </c>
      <c r="E1966" s="6" t="e">
        <v>#N/A</v>
      </c>
      <c r="F1966" s="4"/>
      <c r="G1966" s="4"/>
      <c r="H1966" s="4"/>
      <c r="I1966" s="7" t="e">
        <v>#N/A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>
      <c r="A1967" s="5" t="s">
        <v>3905</v>
      </c>
      <c r="B1967" s="5" t="s">
        <v>3906</v>
      </c>
      <c r="C1967" s="4" t="s">
        <v>17</v>
      </c>
      <c r="D1967" s="6">
        <v>0.09</v>
      </c>
      <c r="E1967" s="6">
        <v>0.08</v>
      </c>
      <c r="F1967" s="4"/>
      <c r="G1967" s="7">
        <v>0.09</v>
      </c>
      <c r="H1967" s="7">
        <v>0.04</v>
      </c>
      <c r="I1967" s="7">
        <v>7.2569226E7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>
      <c r="A1968" s="5" t="s">
        <v>3907</v>
      </c>
      <c r="B1968" s="5" t="s">
        <v>3908</v>
      </c>
      <c r="C1968" s="4" t="s">
        <v>17</v>
      </c>
      <c r="D1968" s="6">
        <v>0.19</v>
      </c>
      <c r="E1968" s="6">
        <v>0.19</v>
      </c>
      <c r="F1968" s="4"/>
      <c r="G1968" s="7">
        <v>0.29</v>
      </c>
      <c r="H1968" s="7">
        <v>0.09</v>
      </c>
      <c r="I1968" s="7">
        <v>1.0785412E7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>
      <c r="A1969" s="5" t="s">
        <v>3909</v>
      </c>
      <c r="B1969" s="5" t="s">
        <v>3910</v>
      </c>
      <c r="C1969" s="4" t="s">
        <v>37</v>
      </c>
      <c r="D1969" s="6">
        <v>0.07</v>
      </c>
      <c r="E1969" s="6">
        <v>0.07</v>
      </c>
      <c r="F1969" s="4"/>
      <c r="G1969" s="7">
        <v>0.09</v>
      </c>
      <c r="H1969" s="7">
        <v>0.05</v>
      </c>
      <c r="I1969" s="7">
        <v>4582315.0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>
      <c r="A1970" s="5" t="s">
        <v>3911</v>
      </c>
      <c r="B1970" s="5" t="s">
        <v>3912</v>
      </c>
      <c r="C1970" s="4" t="s">
        <v>135</v>
      </c>
      <c r="D1970" s="6">
        <v>2.55</v>
      </c>
      <c r="E1970" s="6">
        <v>2.59</v>
      </c>
      <c r="F1970" s="7">
        <v>1094.42</v>
      </c>
      <c r="G1970" s="7">
        <v>3.57</v>
      </c>
      <c r="H1970" s="7">
        <v>1.9</v>
      </c>
      <c r="I1970" s="7">
        <v>1.312520165E9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>
      <c r="A1971" s="5" t="s">
        <v>3913</v>
      </c>
      <c r="B1971" s="5" t="s">
        <v>3914</v>
      </c>
      <c r="C1971" s="4" t="s">
        <v>60</v>
      </c>
      <c r="D1971" s="6">
        <v>1.43</v>
      </c>
      <c r="E1971" s="6">
        <v>1.43</v>
      </c>
      <c r="F1971" s="4"/>
      <c r="G1971" s="7">
        <v>1.9</v>
      </c>
      <c r="H1971" s="7">
        <v>1.24</v>
      </c>
      <c r="I1971" s="7" t="e">
        <v>#N/A</v>
      </c>
      <c r="J1971" s="7">
        <v>7.42</v>
      </c>
      <c r="K1971" s="7">
        <v>7.52</v>
      </c>
      <c r="L1971" s="7">
        <v>8.07</v>
      </c>
      <c r="M1971" s="7">
        <v>6.79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>
      <c r="A1972" s="5" t="s">
        <v>3915</v>
      </c>
      <c r="B1972" s="5" t="s">
        <v>3916</v>
      </c>
      <c r="C1972" s="4" t="s">
        <v>3842</v>
      </c>
      <c r="D1972" s="6">
        <v>13.74</v>
      </c>
      <c r="E1972" s="6">
        <v>13.73</v>
      </c>
      <c r="F1972" s="4"/>
      <c r="G1972" s="7">
        <v>14.99</v>
      </c>
      <c r="H1972" s="7">
        <v>11.32</v>
      </c>
      <c r="I1972" s="7">
        <v>6.70511988E8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>
      <c r="A1973" s="5" t="s">
        <v>3917</v>
      </c>
      <c r="B1973" s="5" t="s">
        <v>3918</v>
      </c>
      <c r="C1973" s="4" t="s">
        <v>37</v>
      </c>
      <c r="D1973" s="6">
        <v>0.04</v>
      </c>
      <c r="E1973" s="6">
        <v>0.04</v>
      </c>
      <c r="F1973" s="4"/>
      <c r="G1973" s="7">
        <v>0.14</v>
      </c>
      <c r="H1973" s="7">
        <v>0.04</v>
      </c>
      <c r="I1973" s="7">
        <v>1.253948E7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>
      <c r="A1974" s="5" t="s">
        <v>3919</v>
      </c>
      <c r="B1974" s="5" t="s">
        <v>3920</v>
      </c>
      <c r="C1974" s="4" t="s">
        <v>86</v>
      </c>
      <c r="D1974" s="6">
        <v>0.38</v>
      </c>
      <c r="E1974" s="6">
        <v>0.41</v>
      </c>
      <c r="F1974" s="4"/>
      <c r="G1974" s="7">
        <v>0.45</v>
      </c>
      <c r="H1974" s="7">
        <v>0.14</v>
      </c>
      <c r="I1974" s="7">
        <v>4.3188823E7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>
      <c r="A1975" s="5" t="s">
        <v>3921</v>
      </c>
      <c r="B1975" s="5" t="s">
        <v>3922</v>
      </c>
      <c r="C1975" s="4" t="s">
        <v>328</v>
      </c>
      <c r="D1975" s="6">
        <v>8.91</v>
      </c>
      <c r="E1975" s="6">
        <v>8.63</v>
      </c>
      <c r="F1975" s="4"/>
      <c r="G1975" s="7">
        <v>10.85</v>
      </c>
      <c r="H1975" s="7">
        <v>2.28</v>
      </c>
      <c r="I1975" s="7">
        <v>1.64564992E9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>
      <c r="A1976" s="5" t="s">
        <v>3923</v>
      </c>
      <c r="B1976" s="5" t="s">
        <v>3924</v>
      </c>
      <c r="C1976" s="4" t="s">
        <v>86</v>
      </c>
      <c r="D1976" s="6">
        <v>0.01</v>
      </c>
      <c r="E1976" s="6">
        <v>0.01</v>
      </c>
      <c r="F1976" s="4"/>
      <c r="G1976" s="7">
        <v>0.02</v>
      </c>
      <c r="H1976" s="7">
        <v>0.0</v>
      </c>
      <c r="I1976" s="7">
        <v>5266459.0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>
      <c r="A1977" s="5" t="s">
        <v>3925</v>
      </c>
      <c r="B1977" s="5" t="s">
        <v>3926</v>
      </c>
      <c r="C1977" s="4" t="s">
        <v>96</v>
      </c>
      <c r="D1977" s="6">
        <v>0.56</v>
      </c>
      <c r="E1977" s="6">
        <v>0.54</v>
      </c>
      <c r="F1977" s="4"/>
      <c r="G1977" s="7">
        <v>0.95</v>
      </c>
      <c r="H1977" s="7">
        <v>0.36</v>
      </c>
      <c r="I1977" s="7">
        <v>3.868487E8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>
      <c r="A1978" s="5" t="s">
        <v>3927</v>
      </c>
      <c r="B1978" s="5" t="s">
        <v>3928</v>
      </c>
      <c r="C1978" s="4" t="s">
        <v>86</v>
      </c>
      <c r="D1978" s="6">
        <v>0.89</v>
      </c>
      <c r="E1978" s="6">
        <v>0.92</v>
      </c>
      <c r="F1978" s="4"/>
      <c r="G1978" s="7">
        <v>0.99</v>
      </c>
      <c r="H1978" s="7">
        <v>0.4</v>
      </c>
      <c r="I1978" s="7">
        <v>7.43646697E8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>
      <c r="A1979" s="5" t="s">
        <v>3929</v>
      </c>
      <c r="B1979" s="5" t="s">
        <v>3930</v>
      </c>
      <c r="C1979" s="4" t="s">
        <v>34</v>
      </c>
      <c r="D1979" s="6" t="e">
        <v>#N/A</v>
      </c>
      <c r="E1979" s="6" t="e">
        <v>#N/A</v>
      </c>
      <c r="F1979" s="4"/>
      <c r="G1979" s="4"/>
      <c r="H1979" s="4"/>
      <c r="I1979" s="7" t="e">
        <v>#N/A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>
      <c r="A1980" s="5" t="s">
        <v>3931</v>
      </c>
      <c r="B1980" s="5" t="s">
        <v>3932</v>
      </c>
      <c r="C1980" s="4" t="s">
        <v>86</v>
      </c>
      <c r="D1980" s="6">
        <v>0.01</v>
      </c>
      <c r="E1980" s="6">
        <v>0.01</v>
      </c>
      <c r="F1980" s="4"/>
      <c r="G1980" s="7">
        <v>0.03</v>
      </c>
      <c r="H1980" s="7">
        <v>0.01</v>
      </c>
      <c r="I1980" s="7">
        <v>2.1760928E7</v>
      </c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>
      <c r="A1981" s="5" t="s">
        <v>3933</v>
      </c>
      <c r="B1981" s="5" t="s">
        <v>3934</v>
      </c>
      <c r="C1981" s="4" t="s">
        <v>501</v>
      </c>
      <c r="D1981" s="6">
        <v>0.35</v>
      </c>
      <c r="E1981" s="6">
        <v>0.35</v>
      </c>
      <c r="F1981" s="7">
        <v>299.15</v>
      </c>
      <c r="G1981" s="7">
        <v>0.57</v>
      </c>
      <c r="H1981" s="7">
        <v>0.29</v>
      </c>
      <c r="I1981" s="7">
        <v>5.4041749E7</v>
      </c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>
      <c r="A1982" s="5" t="s">
        <v>3935</v>
      </c>
      <c r="B1982" s="5" t="s">
        <v>3936</v>
      </c>
      <c r="C1982" s="4" t="s">
        <v>312</v>
      </c>
      <c r="D1982" s="6">
        <v>2.4</v>
      </c>
      <c r="E1982" s="6">
        <v>2.32</v>
      </c>
      <c r="F1982" s="7">
        <v>307.69</v>
      </c>
      <c r="G1982" s="7">
        <v>3.08</v>
      </c>
      <c r="H1982" s="7">
        <v>1.58</v>
      </c>
      <c r="I1982" s="7">
        <v>2.163340405E9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>
      <c r="A1983" s="5" t="s">
        <v>3937</v>
      </c>
      <c r="B1983" s="5" t="s">
        <v>3938</v>
      </c>
      <c r="C1983" s="4" t="s">
        <v>17</v>
      </c>
      <c r="D1983" s="6">
        <v>0.04</v>
      </c>
      <c r="E1983" s="6">
        <v>0.04</v>
      </c>
      <c r="F1983" s="4"/>
      <c r="G1983" s="7">
        <v>0.07</v>
      </c>
      <c r="H1983" s="7">
        <v>0.02</v>
      </c>
      <c r="I1983" s="7">
        <v>9819872.0</v>
      </c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>
      <c r="A1984" s="5" t="s">
        <v>3939</v>
      </c>
      <c r="B1984" s="5" t="s">
        <v>3940</v>
      </c>
      <c r="C1984" s="4" t="s">
        <v>37</v>
      </c>
      <c r="D1984" s="6">
        <v>0.02</v>
      </c>
      <c r="E1984" s="6">
        <v>0.02</v>
      </c>
      <c r="F1984" s="4"/>
      <c r="G1984" s="7">
        <v>0.06</v>
      </c>
      <c r="H1984" s="7">
        <v>0.01</v>
      </c>
      <c r="I1984" s="7">
        <v>7918325.0</v>
      </c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>
      <c r="A1985" s="5" t="s">
        <v>3941</v>
      </c>
      <c r="B1985" s="5" t="s">
        <v>3942</v>
      </c>
      <c r="C1985" s="4" t="s">
        <v>34</v>
      </c>
      <c r="D1985" s="6" t="e">
        <v>#N/A</v>
      </c>
      <c r="E1985" s="6" t="e">
        <v>#N/A</v>
      </c>
      <c r="F1985" s="4"/>
      <c r="G1985" s="4"/>
      <c r="H1985" s="4"/>
      <c r="I1985" s="7" t="e">
        <v>#N/A</v>
      </c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>
      <c r="A1986" s="5" t="s">
        <v>3943</v>
      </c>
      <c r="B1986" s="5" t="s">
        <v>3944</v>
      </c>
      <c r="C1986" s="4" t="s">
        <v>169</v>
      </c>
      <c r="D1986" s="6">
        <v>0.91</v>
      </c>
      <c r="E1986" s="6">
        <v>0.91</v>
      </c>
      <c r="F1986" s="7">
        <v>5.31</v>
      </c>
      <c r="G1986" s="7">
        <v>0.98</v>
      </c>
      <c r="H1986" s="7">
        <v>0.71</v>
      </c>
      <c r="I1986" s="7">
        <v>1.32176229E8</v>
      </c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>
      <c r="A1987" s="5" t="s">
        <v>3945</v>
      </c>
      <c r="B1987" s="5" t="s">
        <v>3946</v>
      </c>
      <c r="C1987" s="4" t="s">
        <v>121</v>
      </c>
      <c r="D1987" s="6">
        <v>0.81</v>
      </c>
      <c r="E1987" s="6">
        <v>0.81</v>
      </c>
      <c r="F1987" s="7">
        <v>47.9</v>
      </c>
      <c r="G1987" s="7">
        <v>1.12</v>
      </c>
      <c r="H1987" s="7">
        <v>0.65</v>
      </c>
      <c r="I1987" s="7">
        <v>1.1306952E8</v>
      </c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>
      <c r="A1988" s="5" t="s">
        <v>3947</v>
      </c>
      <c r="B1988" s="5" t="s">
        <v>3948</v>
      </c>
      <c r="C1988" s="4" t="s">
        <v>86</v>
      </c>
      <c r="D1988" s="6">
        <v>0.1</v>
      </c>
      <c r="E1988" s="6">
        <v>0.1</v>
      </c>
      <c r="F1988" s="7">
        <v>0.34</v>
      </c>
      <c r="G1988" s="7">
        <v>0.14</v>
      </c>
      <c r="H1988" s="7">
        <v>0.05</v>
      </c>
      <c r="I1988" s="7">
        <v>2.7931096E7</v>
      </c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>
      <c r="A1989" s="5" t="s">
        <v>3949</v>
      </c>
      <c r="B1989" s="5" t="s">
        <v>3950</v>
      </c>
      <c r="C1989" s="4" t="s">
        <v>146</v>
      </c>
      <c r="D1989" s="6">
        <v>32.11</v>
      </c>
      <c r="E1989" s="6">
        <v>32.46</v>
      </c>
      <c r="F1989" s="7">
        <v>34.64</v>
      </c>
      <c r="G1989" s="7">
        <v>41.99</v>
      </c>
      <c r="H1989" s="7">
        <v>30.11</v>
      </c>
      <c r="I1989" s="7">
        <v>1.40493615E9</v>
      </c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>
      <c r="A1990" s="5" t="s">
        <v>3951</v>
      </c>
      <c r="B1990" s="5" t="s">
        <v>3952</v>
      </c>
      <c r="C1990" s="4" t="s">
        <v>3953</v>
      </c>
      <c r="D1990" s="6">
        <v>0.47</v>
      </c>
      <c r="E1990" s="6">
        <v>0.42</v>
      </c>
      <c r="F1990" s="4"/>
      <c r="G1990" s="7">
        <v>0.49</v>
      </c>
      <c r="H1990" s="7">
        <v>0.27</v>
      </c>
      <c r="I1990" s="7" t="e">
        <v>#N/A</v>
      </c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>
      <c r="A1991" s="5" t="s">
        <v>3954</v>
      </c>
      <c r="B1991" s="5" t="s">
        <v>3955</v>
      </c>
      <c r="C1991" s="4" t="s">
        <v>14</v>
      </c>
      <c r="D1991" s="6">
        <v>0.09</v>
      </c>
      <c r="E1991" s="6">
        <v>0.09</v>
      </c>
      <c r="F1991" s="7">
        <v>150.88</v>
      </c>
      <c r="G1991" s="7">
        <v>0.13</v>
      </c>
      <c r="H1991" s="7">
        <v>0.02</v>
      </c>
      <c r="I1991" s="7">
        <v>7.216722E7</v>
      </c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>
      <c r="A1992" s="5" t="s">
        <v>3956</v>
      </c>
      <c r="B1992" s="5" t="s">
        <v>3957</v>
      </c>
      <c r="C1992" s="4" t="s">
        <v>23</v>
      </c>
      <c r="D1992" s="6">
        <v>0.03</v>
      </c>
      <c r="E1992" s="6">
        <v>0.04</v>
      </c>
      <c r="F1992" s="4"/>
      <c r="G1992" s="7">
        <v>0.1</v>
      </c>
      <c r="H1992" s="7">
        <v>0.02</v>
      </c>
      <c r="I1992" s="7">
        <v>4.8563868E7</v>
      </c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>
      <c r="A1993" s="5" t="s">
        <v>3958</v>
      </c>
      <c r="B1993" s="5" t="s">
        <v>3959</v>
      </c>
      <c r="C1993" s="4" t="s">
        <v>86</v>
      </c>
      <c r="D1993" s="6">
        <v>0.03</v>
      </c>
      <c r="E1993" s="6">
        <v>0.03</v>
      </c>
      <c r="F1993" s="4"/>
      <c r="G1993" s="7">
        <v>0.07</v>
      </c>
      <c r="H1993" s="7">
        <v>0.02</v>
      </c>
      <c r="I1993" s="7">
        <v>1.7661141E7</v>
      </c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>
      <c r="A1994" s="5" t="s">
        <v>3960</v>
      </c>
      <c r="B1994" s="5" t="s">
        <v>3961</v>
      </c>
      <c r="C1994" s="4" t="s">
        <v>162</v>
      </c>
      <c r="D1994" s="6">
        <v>10.52</v>
      </c>
      <c r="E1994" s="6">
        <v>10.52</v>
      </c>
      <c r="F1994" s="4"/>
      <c r="G1994" s="7">
        <v>12.44</v>
      </c>
      <c r="H1994" s="7">
        <v>9.0</v>
      </c>
      <c r="I1994" s="7">
        <v>2.978617E9</v>
      </c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>
      <c r="A1995" s="5" t="s">
        <v>3962</v>
      </c>
      <c r="B1995" s="5" t="s">
        <v>3963</v>
      </c>
      <c r="C1995" s="4" t="s">
        <v>14</v>
      </c>
      <c r="D1995" s="6">
        <v>0.05</v>
      </c>
      <c r="E1995" s="6">
        <v>0.05</v>
      </c>
      <c r="F1995" s="7">
        <v>100.0</v>
      </c>
      <c r="G1995" s="7">
        <v>0.13</v>
      </c>
      <c r="H1995" s="7">
        <v>0.05</v>
      </c>
      <c r="I1995" s="7">
        <v>6689040.0</v>
      </c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>
      <c r="A1996" s="5" t="s">
        <v>3964</v>
      </c>
      <c r="B1996" s="5" t="s">
        <v>3965</v>
      </c>
      <c r="C1996" s="4" t="s">
        <v>81</v>
      </c>
      <c r="D1996" s="6">
        <v>37.39</v>
      </c>
      <c r="E1996" s="6">
        <v>37.14</v>
      </c>
      <c r="F1996" s="7">
        <v>33.64</v>
      </c>
      <c r="G1996" s="7">
        <v>45.14</v>
      </c>
      <c r="H1996" s="7">
        <v>31.7</v>
      </c>
      <c r="I1996" s="7">
        <v>1.4205197351E10</v>
      </c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>
      <c r="A1997" s="5" t="s">
        <v>3966</v>
      </c>
      <c r="B1997" s="5" t="s">
        <v>3967</v>
      </c>
      <c r="C1997" s="4" t="s">
        <v>274</v>
      </c>
      <c r="D1997" s="6">
        <v>0.77</v>
      </c>
      <c r="E1997" s="6">
        <v>0.77</v>
      </c>
      <c r="F1997" s="4"/>
      <c r="G1997" s="7">
        <v>0.95</v>
      </c>
      <c r="H1997" s="7">
        <v>0.37</v>
      </c>
      <c r="I1997" s="7">
        <v>1.68546527E8</v>
      </c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>
      <c r="A1998" s="5" t="s">
        <v>3968</v>
      </c>
      <c r="B1998" s="5" t="s">
        <v>3969</v>
      </c>
      <c r="C1998" s="4" t="s">
        <v>121</v>
      </c>
      <c r="D1998" s="6">
        <v>0.02</v>
      </c>
      <c r="E1998" s="6">
        <v>0.02</v>
      </c>
      <c r="F1998" s="4"/>
      <c r="G1998" s="7">
        <v>0.06</v>
      </c>
      <c r="H1998" s="7">
        <v>0.02</v>
      </c>
      <c r="I1998" s="7">
        <v>1.038669E7</v>
      </c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>
      <c r="A1999" s="5" t="s">
        <v>3970</v>
      </c>
      <c r="B1999" s="5" t="s">
        <v>3971</v>
      </c>
      <c r="C1999" s="4" t="s">
        <v>169</v>
      </c>
      <c r="D1999" s="6">
        <v>0.05</v>
      </c>
      <c r="E1999" s="6">
        <v>0.05</v>
      </c>
      <c r="F1999" s="4"/>
      <c r="G1999" s="7">
        <v>0.08</v>
      </c>
      <c r="H1999" s="7">
        <v>0.03</v>
      </c>
      <c r="I1999" s="7">
        <v>2.5564496E7</v>
      </c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>
      <c r="A2000" s="5" t="s">
        <v>3972</v>
      </c>
      <c r="B2000" s="5" t="s">
        <v>3973</v>
      </c>
      <c r="C2000" s="4" t="s">
        <v>156</v>
      </c>
      <c r="D2000" s="6">
        <v>0.03</v>
      </c>
      <c r="E2000" s="6">
        <v>0.03</v>
      </c>
      <c r="F2000" s="4"/>
      <c r="G2000" s="7">
        <v>0.04</v>
      </c>
      <c r="H2000" s="7">
        <v>0.01</v>
      </c>
      <c r="I2000" s="7">
        <v>1.3376695E7</v>
      </c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>
      <c r="A2001" s="5" t="s">
        <v>3974</v>
      </c>
      <c r="B2001" s="5" t="s">
        <v>3975</v>
      </c>
      <c r="C2001" s="4" t="s">
        <v>14</v>
      </c>
      <c r="D2001" s="6">
        <v>0.01</v>
      </c>
      <c r="E2001" s="6">
        <v>0.01</v>
      </c>
      <c r="F2001" s="4"/>
      <c r="G2001" s="7">
        <v>0.02</v>
      </c>
      <c r="H2001" s="7">
        <v>0.01</v>
      </c>
      <c r="I2001" s="7">
        <v>1.4522319E7</v>
      </c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>
      <c r="A2002" s="5" t="s">
        <v>3976</v>
      </c>
      <c r="B2002" s="5" t="s">
        <v>3977</v>
      </c>
      <c r="C2002" s="4" t="s">
        <v>65</v>
      </c>
      <c r="D2002" s="6">
        <v>0.11</v>
      </c>
      <c r="E2002" s="6">
        <v>0.11</v>
      </c>
      <c r="F2002" s="4"/>
      <c r="G2002" s="7">
        <v>0.32</v>
      </c>
      <c r="H2002" s="7">
        <v>0.11</v>
      </c>
      <c r="I2002" s="7">
        <v>1.1520112E7</v>
      </c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>
      <c r="A2003" s="5" t="s">
        <v>3976</v>
      </c>
      <c r="B2003" s="5" t="s">
        <v>3977</v>
      </c>
      <c r="C2003" s="4" t="s">
        <v>65</v>
      </c>
      <c r="D2003" s="6">
        <v>0.11</v>
      </c>
      <c r="E2003" s="6">
        <v>0.11</v>
      </c>
      <c r="F2003" s="4"/>
      <c r="G2003" s="7">
        <v>0.32</v>
      </c>
      <c r="H2003" s="7">
        <v>0.11</v>
      </c>
      <c r="I2003" s="7">
        <v>1.1520112E7</v>
      </c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>
      <c r="A2004" s="8" t="s">
        <v>3976</v>
      </c>
      <c r="B2004" s="8" t="s">
        <v>3977</v>
      </c>
      <c r="C2004" s="9" t="s">
        <v>65</v>
      </c>
      <c r="D2004" s="10">
        <v>0.11</v>
      </c>
      <c r="E2004" s="6">
        <v>0.11</v>
      </c>
      <c r="F2004" s="4"/>
      <c r="G2004" s="7">
        <v>0.32</v>
      </c>
      <c r="H2004" s="7">
        <v>0.11</v>
      </c>
      <c r="I2004" s="7">
        <v>1.1520112E7</v>
      </c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>
      <c r="A2005" s="5" t="s">
        <v>3978</v>
      </c>
      <c r="B2005" s="5" t="s">
        <v>3979</v>
      </c>
      <c r="C2005" s="4" t="s">
        <v>447</v>
      </c>
      <c r="D2005" s="6">
        <v>2.41</v>
      </c>
      <c r="E2005" s="6">
        <v>2.32</v>
      </c>
      <c r="F2005" s="4"/>
      <c r="G2005" s="7">
        <v>2.91</v>
      </c>
      <c r="H2005" s="7">
        <v>0.2</v>
      </c>
      <c r="I2005" s="7">
        <v>3.01710079E8</v>
      </c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>
      <c r="A2006" s="5" t="s">
        <v>3980</v>
      </c>
      <c r="B2006" s="5" t="s">
        <v>3981</v>
      </c>
      <c r="C2006" s="4" t="s">
        <v>96</v>
      </c>
      <c r="D2006" s="6">
        <v>0.44</v>
      </c>
      <c r="E2006" s="6">
        <v>0.44</v>
      </c>
      <c r="F2006" s="4"/>
      <c r="G2006" s="7">
        <v>1.15</v>
      </c>
      <c r="H2006" s="7">
        <v>0.28</v>
      </c>
      <c r="I2006" s="7">
        <v>8.4911991E7</v>
      </c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>
      <c r="A2007" s="5" t="s">
        <v>3982</v>
      </c>
      <c r="B2007" s="5" t="s">
        <v>3983</v>
      </c>
      <c r="C2007" s="4" t="s">
        <v>135</v>
      </c>
      <c r="D2007" s="6">
        <v>1.96</v>
      </c>
      <c r="E2007" s="6">
        <v>1.95</v>
      </c>
      <c r="F2007" s="7">
        <v>16.57</v>
      </c>
      <c r="G2007" s="7">
        <v>2.77</v>
      </c>
      <c r="H2007" s="7">
        <v>1.78</v>
      </c>
      <c r="I2007" s="7">
        <v>2.492987467E9</v>
      </c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>
      <c r="A2008" s="5" t="s">
        <v>3984</v>
      </c>
      <c r="B2008" s="5" t="s">
        <v>3985</v>
      </c>
      <c r="C2008" s="4" t="s">
        <v>172</v>
      </c>
      <c r="D2008" s="6">
        <v>0.37</v>
      </c>
      <c r="E2008" s="6">
        <v>0.36</v>
      </c>
      <c r="F2008" s="4"/>
      <c r="G2008" s="7">
        <v>0.45</v>
      </c>
      <c r="H2008" s="7">
        <v>0.08</v>
      </c>
      <c r="I2008" s="7">
        <v>1.52652019E8</v>
      </c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>
      <c r="A2009" s="5" t="s">
        <v>3986</v>
      </c>
      <c r="B2009" s="5" t="s">
        <v>3987</v>
      </c>
      <c r="C2009" s="4" t="s">
        <v>226</v>
      </c>
      <c r="D2009" s="6">
        <v>0.19</v>
      </c>
      <c r="E2009" s="6">
        <v>0.19</v>
      </c>
      <c r="F2009" s="4"/>
      <c r="G2009" s="7">
        <v>0.34</v>
      </c>
      <c r="H2009" s="7">
        <v>0.14</v>
      </c>
      <c r="I2009" s="7">
        <v>2.1862558E7</v>
      </c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>
      <c r="A2010" s="5" t="s">
        <v>3988</v>
      </c>
      <c r="B2010" s="5" t="s">
        <v>3989</v>
      </c>
      <c r="C2010" s="4" t="s">
        <v>17</v>
      </c>
      <c r="D2010" s="6">
        <v>0.01</v>
      </c>
      <c r="E2010" s="6">
        <v>0.01</v>
      </c>
      <c r="F2010" s="4"/>
      <c r="G2010" s="7">
        <v>0.02</v>
      </c>
      <c r="H2010" s="7">
        <v>0.0</v>
      </c>
      <c r="I2010" s="7">
        <v>1.293929E7</v>
      </c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>
      <c r="A2011" s="5" t="s">
        <v>3990</v>
      </c>
      <c r="B2011" s="5" t="s">
        <v>3991</v>
      </c>
      <c r="C2011" s="4" t="s">
        <v>14</v>
      </c>
      <c r="D2011" s="6">
        <v>0.0</v>
      </c>
      <c r="E2011" s="6">
        <v>0.0</v>
      </c>
      <c r="F2011" s="4"/>
      <c r="G2011" s="7">
        <v>0.01</v>
      </c>
      <c r="H2011" s="7">
        <v>0.0</v>
      </c>
      <c r="I2011" s="7">
        <v>6922824.0</v>
      </c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>
      <c r="A2012" s="5" t="s">
        <v>3992</v>
      </c>
      <c r="B2012" s="5" t="s">
        <v>3993</v>
      </c>
      <c r="C2012" s="4" t="s">
        <v>34</v>
      </c>
      <c r="D2012" s="6">
        <v>1023.33</v>
      </c>
      <c r="E2012" s="6">
        <v>1025.41</v>
      </c>
      <c r="F2012" s="4"/>
      <c r="G2012" s="7">
        <v>1049.15</v>
      </c>
      <c r="H2012" s="7">
        <v>801.84</v>
      </c>
      <c r="I2012" s="7" t="s">
        <v>3994</v>
      </c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>
      <c r="A2013" s="5" t="s">
        <v>3995</v>
      </c>
      <c r="B2013" s="5" t="s">
        <v>3996</v>
      </c>
      <c r="C2013" s="4" t="s">
        <v>362</v>
      </c>
      <c r="D2013" s="6">
        <v>1.31</v>
      </c>
      <c r="E2013" s="6">
        <v>1.3</v>
      </c>
      <c r="F2013" s="7">
        <v>90.97</v>
      </c>
      <c r="G2013" s="7">
        <v>1.44</v>
      </c>
      <c r="H2013" s="7">
        <v>0.64</v>
      </c>
      <c r="I2013" s="7">
        <v>5.37300275E8</v>
      </c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>
      <c r="A2014" s="5" t="s">
        <v>3997</v>
      </c>
      <c r="B2014" s="5" t="s">
        <v>3998</v>
      </c>
      <c r="C2014" s="4" t="s">
        <v>17</v>
      </c>
      <c r="D2014" s="6">
        <v>0.14</v>
      </c>
      <c r="E2014" s="6">
        <v>0.14</v>
      </c>
      <c r="F2014" s="4"/>
      <c r="G2014" s="7">
        <v>0.29</v>
      </c>
      <c r="H2014" s="7">
        <v>0.08</v>
      </c>
      <c r="I2014" s="7">
        <v>7175000.0</v>
      </c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>
      <c r="A2015" s="5" t="s">
        <v>3999</v>
      </c>
      <c r="B2015" s="5" t="s">
        <v>4000</v>
      </c>
      <c r="C2015" s="4" t="s">
        <v>121</v>
      </c>
      <c r="D2015" s="6">
        <v>2.98</v>
      </c>
      <c r="E2015" s="6">
        <v>3.0</v>
      </c>
      <c r="F2015" s="7">
        <v>37.98</v>
      </c>
      <c r="G2015" s="7">
        <v>3.05</v>
      </c>
      <c r="H2015" s="7">
        <v>1.09</v>
      </c>
      <c r="I2015" s="7">
        <v>1.867245065E9</v>
      </c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>
      <c r="A2016" s="5" t="s">
        <v>4001</v>
      </c>
      <c r="B2016" s="5" t="s">
        <v>4002</v>
      </c>
      <c r="C2016" s="4" t="s">
        <v>4003</v>
      </c>
      <c r="D2016" s="6">
        <v>0.11</v>
      </c>
      <c r="E2016" s="6">
        <v>0.11</v>
      </c>
      <c r="F2016" s="4"/>
      <c r="G2016" s="7">
        <v>0.28</v>
      </c>
      <c r="H2016" s="7">
        <v>0.08</v>
      </c>
      <c r="I2016" s="7">
        <v>4589070.0</v>
      </c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>
      <c r="A2017" s="5" t="s">
        <v>4004</v>
      </c>
      <c r="B2017" s="5" t="s">
        <v>4005</v>
      </c>
      <c r="C2017" s="4" t="s">
        <v>1666</v>
      </c>
      <c r="D2017" s="6">
        <v>0.02</v>
      </c>
      <c r="E2017" s="6">
        <v>0.02</v>
      </c>
      <c r="F2017" s="4"/>
      <c r="G2017" s="7">
        <v>0.06</v>
      </c>
      <c r="H2017" s="7">
        <v>0.0</v>
      </c>
      <c r="I2017" s="7">
        <v>2.089649E7</v>
      </c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>
      <c r="A2018" s="5" t="s">
        <v>4006</v>
      </c>
      <c r="B2018" s="5" t="s">
        <v>4007</v>
      </c>
      <c r="C2018" s="4" t="s">
        <v>210</v>
      </c>
      <c r="D2018" s="6">
        <v>0.04</v>
      </c>
      <c r="E2018" s="6">
        <v>0.04</v>
      </c>
      <c r="F2018" s="4"/>
      <c r="G2018" s="7">
        <v>0.05</v>
      </c>
      <c r="H2018" s="7">
        <v>0.03</v>
      </c>
      <c r="I2018" s="7">
        <v>9959622.0</v>
      </c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>
      <c r="A2019" s="5" t="s">
        <v>4006</v>
      </c>
      <c r="B2019" s="5" t="s">
        <v>4007</v>
      </c>
      <c r="C2019" s="4" t="s">
        <v>210</v>
      </c>
      <c r="D2019" s="6">
        <v>0.04</v>
      </c>
      <c r="E2019" s="6">
        <v>0.04</v>
      </c>
      <c r="F2019" s="4"/>
      <c r="G2019" s="7">
        <v>0.05</v>
      </c>
      <c r="H2019" s="7">
        <v>0.03</v>
      </c>
      <c r="I2019" s="7">
        <v>9959622.0</v>
      </c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>
      <c r="A2020" s="8" t="s">
        <v>4006</v>
      </c>
      <c r="B2020" s="8" t="s">
        <v>4007</v>
      </c>
      <c r="C2020" s="9" t="s">
        <v>210</v>
      </c>
      <c r="D2020" s="10">
        <v>0.04</v>
      </c>
      <c r="E2020" s="6">
        <v>0.04</v>
      </c>
      <c r="F2020" s="4"/>
      <c r="G2020" s="7">
        <v>0.05</v>
      </c>
      <c r="H2020" s="7">
        <v>0.03</v>
      </c>
      <c r="I2020" s="7">
        <v>9959622.0</v>
      </c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>
      <c r="A2021" s="5" t="s">
        <v>4008</v>
      </c>
      <c r="B2021" s="5" t="s">
        <v>4009</v>
      </c>
      <c r="C2021" s="4" t="s">
        <v>17</v>
      </c>
      <c r="D2021" s="6">
        <v>7.85</v>
      </c>
      <c r="E2021" s="6">
        <v>7.89</v>
      </c>
      <c r="F2021" s="4"/>
      <c r="G2021" s="7">
        <v>8.4</v>
      </c>
      <c r="H2021" s="7">
        <v>0.23</v>
      </c>
      <c r="I2021" s="7">
        <v>1.040324377E9</v>
      </c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>
      <c r="A2022" s="5" t="s">
        <v>4010</v>
      </c>
      <c r="B2022" s="5" t="s">
        <v>4011</v>
      </c>
      <c r="C2022" s="4" t="s">
        <v>17</v>
      </c>
      <c r="D2022" s="6">
        <v>0.0</v>
      </c>
      <c r="E2022" s="6">
        <v>0.0</v>
      </c>
      <c r="F2022" s="4"/>
      <c r="G2022" s="7">
        <v>0.0</v>
      </c>
      <c r="H2022" s="7">
        <v>0.0</v>
      </c>
      <c r="I2022" s="7">
        <v>1986308.0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>
      <c r="A2023" s="5" t="s">
        <v>4012</v>
      </c>
      <c r="B2023" s="5" t="s">
        <v>4013</v>
      </c>
      <c r="C2023" s="4" t="s">
        <v>86</v>
      </c>
      <c r="D2023" s="6">
        <v>0.05</v>
      </c>
      <c r="E2023" s="6">
        <v>0.04</v>
      </c>
      <c r="F2023" s="4"/>
      <c r="G2023" s="7">
        <v>0.05</v>
      </c>
      <c r="H2023" s="7">
        <v>0.03</v>
      </c>
      <c r="I2023" s="7">
        <v>2.083817E7</v>
      </c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>
      <c r="A2024" s="5" t="s">
        <v>4014</v>
      </c>
      <c r="B2024" s="5" t="s">
        <v>4015</v>
      </c>
      <c r="C2024" s="4" t="s">
        <v>4016</v>
      </c>
      <c r="D2024" s="6">
        <v>0.16</v>
      </c>
      <c r="E2024" s="6">
        <v>0.16</v>
      </c>
      <c r="F2024" s="4"/>
      <c r="G2024" s="7">
        <v>0.17</v>
      </c>
      <c r="H2024" s="7">
        <v>0.16</v>
      </c>
      <c r="I2024" s="7">
        <v>1.342421E7</v>
      </c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>
      <c r="A2025" s="5" t="s">
        <v>4017</v>
      </c>
      <c r="B2025" s="5" t="s">
        <v>4018</v>
      </c>
      <c r="C2025" s="4" t="s">
        <v>141</v>
      </c>
      <c r="D2025" s="6">
        <v>6.84</v>
      </c>
      <c r="E2025" s="6">
        <v>6.8</v>
      </c>
      <c r="F2025" s="7">
        <v>12.98</v>
      </c>
      <c r="G2025" s="7">
        <v>7.5</v>
      </c>
      <c r="H2025" s="7">
        <v>4.76</v>
      </c>
      <c r="I2025" s="7">
        <v>6.82186662E8</v>
      </c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>
      <c r="A2026" s="5" t="s">
        <v>4019</v>
      </c>
      <c r="B2026" s="5" t="s">
        <v>4020</v>
      </c>
      <c r="C2026" s="4" t="s">
        <v>37</v>
      </c>
      <c r="D2026" s="6">
        <v>0.03</v>
      </c>
      <c r="E2026" s="6">
        <v>0.03</v>
      </c>
      <c r="F2026" s="4"/>
      <c r="G2026" s="7">
        <v>0.03</v>
      </c>
      <c r="H2026" s="7">
        <v>0.01</v>
      </c>
      <c r="I2026" s="7">
        <v>8.1125572E7</v>
      </c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>
      <c r="A2027" s="5" t="s">
        <v>4021</v>
      </c>
      <c r="B2027" s="5" t="s">
        <v>4022</v>
      </c>
      <c r="C2027" s="4" t="s">
        <v>447</v>
      </c>
      <c r="D2027" s="6">
        <v>1.9</v>
      </c>
      <c r="E2027" s="6">
        <v>1.96</v>
      </c>
      <c r="F2027" s="4"/>
      <c r="G2027" s="7">
        <v>2.19</v>
      </c>
      <c r="H2027" s="7">
        <v>0.53</v>
      </c>
      <c r="I2027" s="7">
        <v>2.50476928E8</v>
      </c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>
      <c r="A2028" s="5" t="s">
        <v>4023</v>
      </c>
      <c r="B2028" s="5" t="s">
        <v>4024</v>
      </c>
      <c r="C2028" s="4" t="s">
        <v>397</v>
      </c>
      <c r="D2028" s="6">
        <v>1.49</v>
      </c>
      <c r="E2028" s="6">
        <v>1.48</v>
      </c>
      <c r="F2028" s="7">
        <v>13.04</v>
      </c>
      <c r="G2028" s="7">
        <v>1.62</v>
      </c>
      <c r="H2028" s="7">
        <v>1.16</v>
      </c>
      <c r="I2028" s="7">
        <v>1.94553564E8</v>
      </c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>
      <c r="A2029" s="5" t="s">
        <v>4025</v>
      </c>
      <c r="B2029" s="5" t="s">
        <v>4026</v>
      </c>
      <c r="C2029" s="4" t="s">
        <v>73</v>
      </c>
      <c r="D2029" s="6">
        <v>0.18</v>
      </c>
      <c r="E2029" s="6">
        <v>0.19</v>
      </c>
      <c r="F2029" s="7">
        <v>22.89</v>
      </c>
      <c r="G2029" s="7">
        <v>0.19</v>
      </c>
      <c r="H2029" s="7">
        <v>0.08</v>
      </c>
      <c r="I2029" s="7">
        <v>1.9312092E7</v>
      </c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>
      <c r="A2030" s="5" t="s">
        <v>4027</v>
      </c>
      <c r="B2030" s="5" t="s">
        <v>4028</v>
      </c>
      <c r="C2030" s="4" t="s">
        <v>141</v>
      </c>
      <c r="D2030" s="6">
        <v>8.6</v>
      </c>
      <c r="E2030" s="6">
        <v>8.59</v>
      </c>
      <c r="F2030" s="7">
        <v>54.13</v>
      </c>
      <c r="G2030" s="7">
        <v>9.71</v>
      </c>
      <c r="H2030" s="7">
        <v>8.58</v>
      </c>
      <c r="I2030" s="7">
        <v>6.8864313E7</v>
      </c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>
      <c r="A2031" s="5" t="s">
        <v>4029</v>
      </c>
      <c r="B2031" s="5" t="s">
        <v>4030</v>
      </c>
      <c r="C2031" s="4" t="s">
        <v>121</v>
      </c>
      <c r="D2031" s="6">
        <v>2.23</v>
      </c>
      <c r="E2031" s="6">
        <v>2.24</v>
      </c>
      <c r="F2031" s="7">
        <v>23.63</v>
      </c>
      <c r="G2031" s="7">
        <v>2.4</v>
      </c>
      <c r="H2031" s="7">
        <v>1.48</v>
      </c>
      <c r="I2031" s="7">
        <v>1.37904383E9</v>
      </c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>
      <c r="A2032" s="5" t="s">
        <v>4031</v>
      </c>
      <c r="B2032" s="5" t="s">
        <v>4032</v>
      </c>
      <c r="C2032" s="4" t="s">
        <v>34</v>
      </c>
      <c r="D2032" s="6">
        <v>17.19</v>
      </c>
      <c r="E2032" s="6">
        <v>17.12</v>
      </c>
      <c r="F2032" s="4"/>
      <c r="G2032" s="7">
        <v>17.87</v>
      </c>
      <c r="H2032" s="7">
        <v>12.43</v>
      </c>
      <c r="I2032" s="7" t="e">
        <v>#N/A</v>
      </c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>
      <c r="A2033" s="5" t="s">
        <v>4033</v>
      </c>
      <c r="B2033" s="5" t="s">
        <v>4034</v>
      </c>
      <c r="C2033" s="4" t="s">
        <v>4035</v>
      </c>
      <c r="D2033" s="6">
        <v>10.01</v>
      </c>
      <c r="E2033" s="6">
        <v>10.01</v>
      </c>
      <c r="F2033" s="7">
        <v>20.16</v>
      </c>
      <c r="G2033" s="7">
        <v>15.0</v>
      </c>
      <c r="H2033" s="7">
        <v>10.01</v>
      </c>
      <c r="I2033" s="7">
        <v>3.103925E8</v>
      </c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>
      <c r="A2034" s="5" t="s">
        <v>4036</v>
      </c>
      <c r="B2034" s="5" t="s">
        <v>4037</v>
      </c>
      <c r="C2034" s="4" t="s">
        <v>159</v>
      </c>
      <c r="D2034" s="6">
        <v>0.35</v>
      </c>
      <c r="E2034" s="6">
        <v>0.35</v>
      </c>
      <c r="F2034" s="4"/>
      <c r="G2034" s="7">
        <v>0.62</v>
      </c>
      <c r="H2034" s="7">
        <v>0.28</v>
      </c>
      <c r="I2034" s="7">
        <v>2.2197059E7</v>
      </c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>
      <c r="A2035" s="5" t="s">
        <v>4038</v>
      </c>
      <c r="B2035" s="5" t="s">
        <v>4039</v>
      </c>
      <c r="C2035" s="4" t="s">
        <v>182</v>
      </c>
      <c r="D2035" s="6">
        <v>0.14</v>
      </c>
      <c r="E2035" s="6">
        <v>0.14</v>
      </c>
      <c r="F2035" s="7">
        <v>6.83</v>
      </c>
      <c r="G2035" s="7">
        <v>0.2</v>
      </c>
      <c r="H2035" s="7">
        <v>0.13</v>
      </c>
      <c r="I2035" s="7">
        <v>2.2434328E7</v>
      </c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>
      <c r="A2036" s="5" t="s">
        <v>4040</v>
      </c>
      <c r="B2036" s="5" t="s">
        <v>4041</v>
      </c>
      <c r="C2036" s="4" t="s">
        <v>17</v>
      </c>
      <c r="D2036" s="6">
        <v>0.2</v>
      </c>
      <c r="E2036" s="6">
        <v>0.2</v>
      </c>
      <c r="F2036" s="7">
        <v>1111.11</v>
      </c>
      <c r="G2036" s="7">
        <v>0.25</v>
      </c>
      <c r="H2036" s="7">
        <v>0.06</v>
      </c>
      <c r="I2036" s="7">
        <v>4.46171606E8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>
      <c r="A2037" s="5" t="s">
        <v>4042</v>
      </c>
      <c r="B2037" s="5" t="s">
        <v>4043</v>
      </c>
      <c r="C2037" s="4" t="s">
        <v>17</v>
      </c>
      <c r="D2037" s="6">
        <v>0.02</v>
      </c>
      <c r="E2037" s="6">
        <v>0.02</v>
      </c>
      <c r="F2037" s="4"/>
      <c r="G2037" s="7">
        <v>0.03</v>
      </c>
      <c r="H2037" s="7">
        <v>0.01</v>
      </c>
      <c r="I2037" s="7">
        <v>1.35809596E8</v>
      </c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>
      <c r="A2038" s="5" t="s">
        <v>4044</v>
      </c>
      <c r="B2038" s="5" t="s">
        <v>4045</v>
      </c>
      <c r="C2038" s="4" t="s">
        <v>86</v>
      </c>
      <c r="D2038" s="6">
        <v>0.49</v>
      </c>
      <c r="E2038" s="6">
        <v>0.5</v>
      </c>
      <c r="F2038" s="4"/>
      <c r="G2038" s="7">
        <v>0.7</v>
      </c>
      <c r="H2038" s="7">
        <v>0.17</v>
      </c>
      <c r="I2038" s="7">
        <v>2.67803625E8</v>
      </c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>
      <c r="A2039" s="5" t="s">
        <v>4046</v>
      </c>
      <c r="B2039" s="5" t="s">
        <v>4047</v>
      </c>
      <c r="C2039" s="4" t="s">
        <v>3350</v>
      </c>
      <c r="D2039" s="6">
        <v>6.15</v>
      </c>
      <c r="E2039" s="6">
        <v>6.17</v>
      </c>
      <c r="F2039" s="7">
        <v>13.02</v>
      </c>
      <c r="G2039" s="7">
        <v>8.06</v>
      </c>
      <c r="H2039" s="7">
        <v>5.2</v>
      </c>
      <c r="I2039" s="7">
        <v>7453160.0</v>
      </c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>
      <c r="A2040" s="5" t="s">
        <v>4048</v>
      </c>
      <c r="B2040" s="5" t="s">
        <v>4049</v>
      </c>
      <c r="C2040" s="4" t="s">
        <v>618</v>
      </c>
      <c r="D2040" s="6">
        <v>0.34</v>
      </c>
      <c r="E2040" s="6">
        <v>0.34</v>
      </c>
      <c r="F2040" s="7">
        <v>4.94</v>
      </c>
      <c r="G2040" s="7">
        <v>1.43</v>
      </c>
      <c r="H2040" s="7">
        <v>0.26</v>
      </c>
      <c r="I2040" s="7">
        <v>6.1175926E7</v>
      </c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>
      <c r="A2041" s="5" t="s">
        <v>4050</v>
      </c>
      <c r="B2041" s="5" t="s">
        <v>4051</v>
      </c>
      <c r="C2041" s="4" t="s">
        <v>91</v>
      </c>
      <c r="D2041" s="6">
        <v>0.01</v>
      </c>
      <c r="E2041" s="6">
        <v>0.01</v>
      </c>
      <c r="F2041" s="4"/>
      <c r="G2041" s="7">
        <v>0.01</v>
      </c>
      <c r="H2041" s="7">
        <v>0.01</v>
      </c>
      <c r="I2041" s="7">
        <v>9115127.0</v>
      </c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>
      <c r="A2042" s="5" t="s">
        <v>4052</v>
      </c>
      <c r="B2042" s="5" t="s">
        <v>4053</v>
      </c>
      <c r="C2042" s="4" t="s">
        <v>3842</v>
      </c>
      <c r="D2042" s="6">
        <v>78.1</v>
      </c>
      <c r="E2042" s="6">
        <v>77.93</v>
      </c>
      <c r="F2042" s="4"/>
      <c r="G2042" s="7">
        <v>81.89</v>
      </c>
      <c r="H2042" s="7">
        <v>64.59</v>
      </c>
      <c r="I2042" s="7">
        <v>5.112454797E9</v>
      </c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>
      <c r="A2043" s="5" t="s">
        <v>4054</v>
      </c>
      <c r="B2043" s="5" t="s">
        <v>4055</v>
      </c>
      <c r="C2043" s="4" t="s">
        <v>76</v>
      </c>
      <c r="D2043" s="6">
        <v>0.11</v>
      </c>
      <c r="E2043" s="6">
        <v>0.11</v>
      </c>
      <c r="F2043" s="4"/>
      <c r="G2043" s="7">
        <v>0.26</v>
      </c>
      <c r="H2043" s="7">
        <v>0.1</v>
      </c>
      <c r="I2043" s="7">
        <v>3.77936677E8</v>
      </c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>
      <c r="A2044" s="5" t="s">
        <v>4056</v>
      </c>
      <c r="B2044" s="5" t="s">
        <v>4057</v>
      </c>
      <c r="C2044" s="4" t="s">
        <v>34</v>
      </c>
      <c r="D2044" s="6">
        <v>25.29</v>
      </c>
      <c r="E2044" s="6">
        <v>25.28</v>
      </c>
      <c r="F2044" s="4"/>
      <c r="G2044" s="7">
        <v>25.39</v>
      </c>
      <c r="H2044" s="7">
        <v>24.79</v>
      </c>
      <c r="I2044" s="7" t="e">
        <v>#N/A</v>
      </c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>
      <c r="A2045" s="5" t="s">
        <v>4058</v>
      </c>
      <c r="B2045" s="5" t="s">
        <v>4059</v>
      </c>
      <c r="C2045" s="4" t="s">
        <v>37</v>
      </c>
      <c r="D2045" s="6">
        <v>0.03</v>
      </c>
      <c r="E2045" s="6">
        <v>0.03</v>
      </c>
      <c r="F2045" s="4"/>
      <c r="G2045" s="7">
        <v>0.05</v>
      </c>
      <c r="H2045" s="7">
        <v>0.02</v>
      </c>
      <c r="I2045" s="7">
        <v>2.6700969E7</v>
      </c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>
      <c r="A2046" s="5" t="s">
        <v>4060</v>
      </c>
      <c r="B2046" s="5" t="s">
        <v>4061</v>
      </c>
      <c r="C2046" s="4" t="s">
        <v>397</v>
      </c>
      <c r="D2046" s="6">
        <v>15.84</v>
      </c>
      <c r="E2046" s="6">
        <v>16.03</v>
      </c>
      <c r="F2046" s="7">
        <v>16.26</v>
      </c>
      <c r="G2046" s="7">
        <v>20.2</v>
      </c>
      <c r="H2046" s="7">
        <v>12.06</v>
      </c>
      <c r="I2046" s="7">
        <v>3.577091794E9</v>
      </c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>
      <c r="A2047" s="5" t="s">
        <v>4062</v>
      </c>
      <c r="B2047" s="5" t="s">
        <v>4063</v>
      </c>
      <c r="C2047" s="4" t="s">
        <v>37</v>
      </c>
      <c r="D2047" s="6">
        <v>0.04</v>
      </c>
      <c r="E2047" s="6">
        <v>0.04</v>
      </c>
      <c r="F2047" s="4"/>
      <c r="G2047" s="7">
        <v>0.2</v>
      </c>
      <c r="H2047" s="7">
        <v>0.03</v>
      </c>
      <c r="I2047" s="7">
        <v>4531999.0</v>
      </c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>
      <c r="A2048" s="5" t="s">
        <v>4064</v>
      </c>
      <c r="B2048" s="5" t="s">
        <v>4065</v>
      </c>
      <c r="C2048" s="4" t="s">
        <v>2112</v>
      </c>
      <c r="D2048" s="6">
        <v>17.8</v>
      </c>
      <c r="E2048" s="6">
        <v>17.65</v>
      </c>
      <c r="F2048" s="7">
        <v>7.29</v>
      </c>
      <c r="G2048" s="7">
        <v>25.26</v>
      </c>
      <c r="H2048" s="7">
        <v>16.63</v>
      </c>
      <c r="I2048" s="7">
        <v>1.9276811773E10</v>
      </c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>
      <c r="A2049" s="5" t="s">
        <v>4066</v>
      </c>
      <c r="B2049" s="5" t="s">
        <v>4067</v>
      </c>
      <c r="C2049" s="4" t="s">
        <v>86</v>
      </c>
      <c r="D2049" s="6">
        <v>0.02</v>
      </c>
      <c r="E2049" s="6">
        <v>0.02</v>
      </c>
      <c r="F2049" s="4"/>
      <c r="G2049" s="7">
        <v>0.03</v>
      </c>
      <c r="H2049" s="7">
        <v>0.01</v>
      </c>
      <c r="I2049" s="7">
        <v>4.0689959E7</v>
      </c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>
      <c r="A2050" s="5" t="s">
        <v>4068</v>
      </c>
      <c r="B2050" s="5" t="s">
        <v>4069</v>
      </c>
      <c r="C2050" s="4" t="s">
        <v>447</v>
      </c>
      <c r="D2050" s="6">
        <v>0.21</v>
      </c>
      <c r="E2050" s="6">
        <v>0.22</v>
      </c>
      <c r="F2050" s="4"/>
      <c r="G2050" s="7">
        <v>0.24</v>
      </c>
      <c r="H2050" s="7">
        <v>0.07</v>
      </c>
      <c r="I2050" s="7">
        <v>4.50366825E8</v>
      </c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>
      <c r="A2051" s="5" t="s">
        <v>4070</v>
      </c>
      <c r="B2051" s="5" t="s">
        <v>4071</v>
      </c>
      <c r="C2051" s="4" t="s">
        <v>17</v>
      </c>
      <c r="D2051" s="6">
        <v>0.57</v>
      </c>
      <c r="E2051" s="6">
        <v>0.58</v>
      </c>
      <c r="F2051" s="4"/>
      <c r="G2051" s="7">
        <v>0.98</v>
      </c>
      <c r="H2051" s="7">
        <v>0.47</v>
      </c>
      <c r="I2051" s="7">
        <v>3.68755054E8</v>
      </c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>
      <c r="A2052" s="5" t="s">
        <v>4072</v>
      </c>
      <c r="B2052" s="5" t="s">
        <v>4073</v>
      </c>
      <c r="C2052" s="4" t="s">
        <v>34</v>
      </c>
      <c r="D2052" s="6" t="e">
        <v>#N/A</v>
      </c>
      <c r="E2052" s="6" t="e">
        <v>#N/A</v>
      </c>
      <c r="F2052" s="4"/>
      <c r="G2052" s="4"/>
      <c r="H2052" s="4"/>
      <c r="I2052" s="7" t="e">
        <v>#N/A</v>
      </c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>
      <c r="A2053" s="5" t="s">
        <v>4074</v>
      </c>
      <c r="B2053" s="5" t="s">
        <v>4075</v>
      </c>
      <c r="C2053" s="4" t="s">
        <v>239</v>
      </c>
      <c r="D2053" s="6">
        <v>1.76</v>
      </c>
      <c r="E2053" s="6">
        <v>1.74</v>
      </c>
      <c r="F2053" s="7">
        <v>11.52</v>
      </c>
      <c r="G2053" s="7">
        <v>1.84</v>
      </c>
      <c r="H2053" s="7">
        <v>1.23</v>
      </c>
      <c r="I2053" s="7">
        <v>3.32404334E8</v>
      </c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>
      <c r="A2054" s="5" t="s">
        <v>4076</v>
      </c>
      <c r="B2054" s="5" t="s">
        <v>4077</v>
      </c>
      <c r="C2054" s="4" t="s">
        <v>17</v>
      </c>
      <c r="D2054" s="6">
        <v>0.02</v>
      </c>
      <c r="E2054" s="6">
        <v>0.02</v>
      </c>
      <c r="F2054" s="4"/>
      <c r="G2054" s="7">
        <v>0.03</v>
      </c>
      <c r="H2054" s="7">
        <v>0.01</v>
      </c>
      <c r="I2054" s="7">
        <v>1.0477228E7</v>
      </c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>
      <c r="A2055" s="5" t="s">
        <v>4078</v>
      </c>
      <c r="B2055" s="5" t="s">
        <v>4079</v>
      </c>
      <c r="C2055" s="4" t="s">
        <v>91</v>
      </c>
      <c r="D2055" s="6">
        <v>0.13</v>
      </c>
      <c r="E2055" s="6">
        <v>0.13</v>
      </c>
      <c r="F2055" s="7">
        <v>11.57</v>
      </c>
      <c r="G2055" s="7">
        <v>0.19</v>
      </c>
      <c r="H2055" s="7">
        <v>0.12</v>
      </c>
      <c r="I2055" s="7">
        <v>1.923926E8</v>
      </c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>
      <c r="A2056" s="5" t="s">
        <v>4080</v>
      </c>
      <c r="B2056" s="5" t="s">
        <v>4081</v>
      </c>
      <c r="C2056" s="4" t="s">
        <v>135</v>
      </c>
      <c r="D2056" s="6">
        <v>0.11</v>
      </c>
      <c r="E2056" s="6">
        <v>0.1</v>
      </c>
      <c r="F2056" s="4"/>
      <c r="G2056" s="7">
        <v>0.2</v>
      </c>
      <c r="H2056" s="7">
        <v>0.08</v>
      </c>
      <c r="I2056" s="7">
        <v>3.2293924E7</v>
      </c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>
      <c r="A2057" s="5" t="s">
        <v>4082</v>
      </c>
      <c r="B2057" s="5" t="s">
        <v>4083</v>
      </c>
      <c r="C2057" s="4" t="s">
        <v>34</v>
      </c>
      <c r="D2057" s="6" t="e">
        <v>#N/A</v>
      </c>
      <c r="E2057" s="6" t="e">
        <v>#N/A</v>
      </c>
      <c r="F2057" s="4"/>
      <c r="G2057" s="4"/>
      <c r="H2057" s="4"/>
      <c r="I2057" s="7" t="e">
        <v>#N/A</v>
      </c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>
      <c r="A2058" s="5" t="s">
        <v>4084</v>
      </c>
      <c r="B2058" s="5" t="s">
        <v>4085</v>
      </c>
      <c r="C2058" s="4" t="s">
        <v>3040</v>
      </c>
      <c r="D2058" s="6">
        <v>11.63</v>
      </c>
      <c r="E2058" s="6">
        <v>11.57</v>
      </c>
      <c r="F2058" s="4"/>
      <c r="G2058" s="7">
        <v>11.73</v>
      </c>
      <c r="H2058" s="7">
        <v>3.29</v>
      </c>
      <c r="I2058" s="7">
        <v>2.711249496E9</v>
      </c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>
      <c r="A2059" s="5" t="s">
        <v>4086</v>
      </c>
      <c r="B2059" s="5" t="s">
        <v>4087</v>
      </c>
      <c r="C2059" s="4" t="s">
        <v>121</v>
      </c>
      <c r="D2059" s="6">
        <v>2.48</v>
      </c>
      <c r="E2059" s="6">
        <v>2.5</v>
      </c>
      <c r="F2059" s="7">
        <v>20.84</v>
      </c>
      <c r="G2059" s="7">
        <v>2.59</v>
      </c>
      <c r="H2059" s="7">
        <v>1.37</v>
      </c>
      <c r="I2059" s="7">
        <v>6.59615029E8</v>
      </c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>
      <c r="A2060" s="5" t="s">
        <v>4088</v>
      </c>
      <c r="B2060" s="5" t="s">
        <v>4089</v>
      </c>
      <c r="C2060" s="4" t="s">
        <v>91</v>
      </c>
      <c r="D2060" s="6">
        <v>0.79</v>
      </c>
      <c r="E2060" s="6">
        <v>0.79</v>
      </c>
      <c r="F2060" s="7">
        <v>29.9</v>
      </c>
      <c r="G2060" s="7">
        <v>0.94</v>
      </c>
      <c r="H2060" s="7">
        <v>0.53</v>
      </c>
      <c r="I2060" s="7">
        <v>1.88320799E8</v>
      </c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>
      <c r="A2061" s="5" t="s">
        <v>4090</v>
      </c>
      <c r="B2061" s="5" t="s">
        <v>4091</v>
      </c>
      <c r="C2061" s="4" t="s">
        <v>34</v>
      </c>
      <c r="D2061" s="6">
        <v>29.41</v>
      </c>
      <c r="E2061" s="6">
        <v>29.32</v>
      </c>
      <c r="F2061" s="4"/>
      <c r="G2061" s="7">
        <v>31.43</v>
      </c>
      <c r="H2061" s="7">
        <v>25.99</v>
      </c>
      <c r="I2061" s="7" t="e">
        <v>#N/A</v>
      </c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</row>
    <row r="2062">
      <c r="A2062" s="5" t="s">
        <v>4092</v>
      </c>
      <c r="B2062" s="5" t="s">
        <v>4093</v>
      </c>
      <c r="C2062" s="4" t="s">
        <v>121</v>
      </c>
      <c r="D2062" s="6">
        <v>3.47</v>
      </c>
      <c r="E2062" s="6">
        <v>3.47</v>
      </c>
      <c r="F2062" s="7">
        <v>17.32</v>
      </c>
      <c r="G2062" s="7">
        <v>3.51</v>
      </c>
      <c r="H2062" s="7">
        <v>1.36</v>
      </c>
      <c r="I2062" s="7">
        <v>8.2983038E8</v>
      </c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>
      <c r="A2063" s="5" t="s">
        <v>4094</v>
      </c>
      <c r="B2063" s="5" t="s">
        <v>4095</v>
      </c>
      <c r="C2063" s="4" t="s">
        <v>37</v>
      </c>
      <c r="D2063" s="6">
        <v>0.34</v>
      </c>
      <c r="E2063" s="6">
        <v>0.34</v>
      </c>
      <c r="F2063" s="4"/>
      <c r="G2063" s="7">
        <v>0.53</v>
      </c>
      <c r="H2063" s="7">
        <v>0.19</v>
      </c>
      <c r="I2063" s="7">
        <v>4.39365344E8</v>
      </c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</row>
    <row r="2064">
      <c r="A2064" s="5" t="s">
        <v>4096</v>
      </c>
      <c r="B2064" s="5" t="s">
        <v>4097</v>
      </c>
      <c r="C2064" s="4" t="s">
        <v>57</v>
      </c>
      <c r="D2064" s="6">
        <v>0.05</v>
      </c>
      <c r="E2064" s="6">
        <v>0.04</v>
      </c>
      <c r="F2064" s="7">
        <v>58.06</v>
      </c>
      <c r="G2064" s="7">
        <v>0.29</v>
      </c>
      <c r="H2064" s="7">
        <v>0.01</v>
      </c>
      <c r="I2064" s="7">
        <v>1.0065951E7</v>
      </c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</row>
    <row r="2065">
      <c r="A2065" s="5" t="s">
        <v>4098</v>
      </c>
      <c r="B2065" s="5" t="s">
        <v>4099</v>
      </c>
      <c r="C2065" s="4" t="s">
        <v>34</v>
      </c>
      <c r="D2065" s="6" t="e">
        <v>#N/A</v>
      </c>
      <c r="E2065" s="6" t="e">
        <v>#N/A</v>
      </c>
      <c r="F2065" s="4"/>
      <c r="G2065" s="4"/>
      <c r="H2065" s="4"/>
      <c r="I2065" s="7" t="e">
        <v>#N/A</v>
      </c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</row>
    <row r="2066">
      <c r="A2066" s="5" t="s">
        <v>4100</v>
      </c>
      <c r="B2066" s="5" t="s">
        <v>4101</v>
      </c>
      <c r="C2066" s="4" t="s">
        <v>17</v>
      </c>
      <c r="D2066" s="6">
        <v>0.12</v>
      </c>
      <c r="E2066" s="6">
        <v>0.12</v>
      </c>
      <c r="F2066" s="4"/>
      <c r="G2066" s="7">
        <v>0.14</v>
      </c>
      <c r="H2066" s="7">
        <v>0.06</v>
      </c>
      <c r="I2066" s="7">
        <v>1.107512E7</v>
      </c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</row>
    <row r="2067">
      <c r="A2067" s="5" t="s">
        <v>4102</v>
      </c>
      <c r="B2067" s="5" t="s">
        <v>4103</v>
      </c>
      <c r="C2067" s="4" t="s">
        <v>26</v>
      </c>
      <c r="D2067" s="6">
        <v>0.05</v>
      </c>
      <c r="E2067" s="6">
        <v>0.05</v>
      </c>
      <c r="F2067" s="4"/>
      <c r="G2067" s="7">
        <v>0.12</v>
      </c>
      <c r="H2067" s="7">
        <v>0.03</v>
      </c>
      <c r="I2067" s="7">
        <v>6920318.0</v>
      </c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</row>
    <row r="2068">
      <c r="A2068" s="5" t="s">
        <v>4102</v>
      </c>
      <c r="B2068" s="5" t="s">
        <v>4103</v>
      </c>
      <c r="C2068" s="4" t="s">
        <v>26</v>
      </c>
      <c r="D2068" s="6">
        <v>0.05</v>
      </c>
      <c r="E2068" s="6">
        <v>0.05</v>
      </c>
      <c r="F2068" s="4"/>
      <c r="G2068" s="7">
        <v>0.12</v>
      </c>
      <c r="H2068" s="7">
        <v>0.03</v>
      </c>
      <c r="I2068" s="7">
        <v>6920318.0</v>
      </c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</row>
    <row r="2069">
      <c r="A2069" s="8" t="s">
        <v>4102</v>
      </c>
      <c r="B2069" s="8" t="s">
        <v>4103</v>
      </c>
      <c r="C2069" s="9" t="s">
        <v>26</v>
      </c>
      <c r="D2069" s="10">
        <v>0.05</v>
      </c>
      <c r="E2069" s="6">
        <v>0.05</v>
      </c>
      <c r="F2069" s="4"/>
      <c r="G2069" s="7">
        <v>0.12</v>
      </c>
      <c r="H2069" s="7">
        <v>0.03</v>
      </c>
      <c r="I2069" s="7">
        <v>6920318.0</v>
      </c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</row>
    <row r="2070">
      <c r="A2070" s="5" t="s">
        <v>4104</v>
      </c>
      <c r="B2070" s="5" t="s">
        <v>4105</v>
      </c>
      <c r="C2070" s="4" t="s">
        <v>257</v>
      </c>
      <c r="D2070" s="6">
        <v>0.99</v>
      </c>
      <c r="E2070" s="6">
        <v>0.99</v>
      </c>
      <c r="F2070" s="7">
        <v>61.76</v>
      </c>
      <c r="G2070" s="7">
        <v>1.1</v>
      </c>
      <c r="H2070" s="7">
        <v>0.52</v>
      </c>
      <c r="I2070" s="7">
        <v>2.254880747E9</v>
      </c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>
      <c r="A2071" s="5" t="s">
        <v>4106</v>
      </c>
      <c r="B2071" s="5" t="s">
        <v>4107</v>
      </c>
      <c r="C2071" s="4" t="s">
        <v>14</v>
      </c>
      <c r="D2071" s="6">
        <v>0.08</v>
      </c>
      <c r="E2071" s="6">
        <v>0.08</v>
      </c>
      <c r="F2071" s="4"/>
      <c r="G2071" s="7">
        <v>0.1</v>
      </c>
      <c r="H2071" s="7">
        <v>0.06</v>
      </c>
      <c r="I2071" s="7">
        <v>3.006207E7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>
      <c r="A2072" s="5" t="s">
        <v>4108</v>
      </c>
      <c r="B2072" s="5" t="s">
        <v>4109</v>
      </c>
      <c r="C2072" s="4" t="s">
        <v>86</v>
      </c>
      <c r="D2072" s="6">
        <v>0.08</v>
      </c>
      <c r="E2072" s="6">
        <v>0.08</v>
      </c>
      <c r="F2072" s="4"/>
      <c r="G2072" s="7">
        <v>0.09</v>
      </c>
      <c r="H2072" s="7">
        <v>0.03</v>
      </c>
      <c r="I2072" s="7">
        <v>9.6357917E7</v>
      </c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</row>
    <row r="2073">
      <c r="A2073" s="5" t="s">
        <v>4110</v>
      </c>
      <c r="B2073" s="5" t="s">
        <v>4111</v>
      </c>
      <c r="C2073" s="4" t="s">
        <v>17</v>
      </c>
      <c r="D2073" s="6">
        <v>0.02</v>
      </c>
      <c r="E2073" s="6">
        <v>0.02</v>
      </c>
      <c r="F2073" s="4"/>
      <c r="G2073" s="7">
        <v>0.03</v>
      </c>
      <c r="H2073" s="7">
        <v>0.01</v>
      </c>
      <c r="I2073" s="7">
        <v>1.4614771E7</v>
      </c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</row>
    <row r="2074">
      <c r="A2074" s="5" t="s">
        <v>4112</v>
      </c>
      <c r="B2074" s="5" t="s">
        <v>4113</v>
      </c>
      <c r="C2074" s="4" t="s">
        <v>17</v>
      </c>
      <c r="D2074" s="6">
        <v>0.02</v>
      </c>
      <c r="E2074" s="6">
        <v>0.02</v>
      </c>
      <c r="F2074" s="4"/>
      <c r="G2074" s="7">
        <v>0.05</v>
      </c>
      <c r="H2074" s="7">
        <v>0.01</v>
      </c>
      <c r="I2074" s="7">
        <v>1.000649E7</v>
      </c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</row>
    <row r="2075">
      <c r="A2075" s="5" t="s">
        <v>4114</v>
      </c>
      <c r="B2075" s="5" t="s">
        <v>4115</v>
      </c>
      <c r="C2075" s="4" t="s">
        <v>17</v>
      </c>
      <c r="D2075" s="6">
        <v>0.05</v>
      </c>
      <c r="E2075" s="6">
        <v>0.05</v>
      </c>
      <c r="F2075" s="4"/>
      <c r="G2075" s="7">
        <v>0.06</v>
      </c>
      <c r="H2075" s="7">
        <v>0.03</v>
      </c>
      <c r="I2075" s="7">
        <v>1.053657E7</v>
      </c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</row>
    <row r="2076">
      <c r="A2076" s="5" t="s">
        <v>4116</v>
      </c>
      <c r="B2076" s="5" t="s">
        <v>4117</v>
      </c>
      <c r="C2076" s="4" t="s">
        <v>76</v>
      </c>
      <c r="D2076" s="6">
        <v>0.2</v>
      </c>
      <c r="E2076" s="6">
        <v>0.2</v>
      </c>
      <c r="F2076" s="4"/>
      <c r="G2076" s="7">
        <v>0.24</v>
      </c>
      <c r="H2076" s="7">
        <v>0.14</v>
      </c>
      <c r="I2076" s="7">
        <v>5.71368799E8</v>
      </c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</row>
    <row r="2077">
      <c r="A2077" s="5" t="s">
        <v>4118</v>
      </c>
      <c r="B2077" s="5" t="s">
        <v>4119</v>
      </c>
      <c r="C2077" s="4" t="s">
        <v>86</v>
      </c>
      <c r="D2077" s="6">
        <v>5.94</v>
      </c>
      <c r="E2077" s="6">
        <v>5.93</v>
      </c>
      <c r="F2077" s="7">
        <v>9.38</v>
      </c>
      <c r="G2077" s="7">
        <v>7.59</v>
      </c>
      <c r="H2077" s="7">
        <v>4.15</v>
      </c>
      <c r="I2077" s="7">
        <v>3.11660338E8</v>
      </c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</row>
    <row r="2078">
      <c r="A2078" s="5" t="s">
        <v>4120</v>
      </c>
      <c r="B2078" s="5" t="s">
        <v>4121</v>
      </c>
      <c r="C2078" s="4" t="s">
        <v>34</v>
      </c>
      <c r="D2078" s="6">
        <v>10.21</v>
      </c>
      <c r="E2078" s="6">
        <v>10.21</v>
      </c>
      <c r="F2078" s="4"/>
      <c r="G2078" s="7">
        <v>10.33</v>
      </c>
      <c r="H2078" s="7">
        <v>10.0</v>
      </c>
      <c r="I2078" s="7" t="e">
        <v>#N/A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>
      <c r="A2079" s="5" t="s">
        <v>4122</v>
      </c>
      <c r="B2079" s="5" t="s">
        <v>4123</v>
      </c>
      <c r="C2079" s="4" t="s">
        <v>169</v>
      </c>
      <c r="D2079" s="6">
        <v>5.77</v>
      </c>
      <c r="E2079" s="6">
        <v>5.78</v>
      </c>
      <c r="F2079" s="7">
        <v>8.91</v>
      </c>
      <c r="G2079" s="7">
        <v>6.51</v>
      </c>
      <c r="H2079" s="7">
        <v>5.56</v>
      </c>
      <c r="I2079" s="7">
        <v>5.1924945E7</v>
      </c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>
      <c r="A2080" s="5" t="s">
        <v>4124</v>
      </c>
      <c r="B2080" s="5" t="s">
        <v>4125</v>
      </c>
      <c r="C2080" s="4" t="s">
        <v>86</v>
      </c>
      <c r="D2080" s="6">
        <v>0.83</v>
      </c>
      <c r="E2080" s="6">
        <v>0.84</v>
      </c>
      <c r="F2080" s="4"/>
      <c r="G2080" s="7">
        <v>0.89</v>
      </c>
      <c r="H2080" s="7">
        <v>0.26</v>
      </c>
      <c r="I2080" s="7">
        <v>8.68596642E8</v>
      </c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</row>
    <row r="2081">
      <c r="A2081" s="5" t="s">
        <v>4126</v>
      </c>
      <c r="B2081" s="5" t="s">
        <v>4127</v>
      </c>
      <c r="C2081" s="4" t="s">
        <v>362</v>
      </c>
      <c r="D2081" s="6">
        <v>14.18</v>
      </c>
      <c r="E2081" s="6">
        <v>14.21</v>
      </c>
      <c r="F2081" s="7">
        <v>330.92</v>
      </c>
      <c r="G2081" s="7">
        <v>15.25</v>
      </c>
      <c r="H2081" s="7">
        <v>12.46</v>
      </c>
      <c r="I2081" s="7">
        <v>4.416773733E10</v>
      </c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</row>
    <row r="2082">
      <c r="A2082" s="5" t="s">
        <v>4128</v>
      </c>
      <c r="B2082" s="5" t="s">
        <v>4129</v>
      </c>
      <c r="C2082" s="4" t="s">
        <v>1535</v>
      </c>
      <c r="D2082" s="6">
        <v>2.35</v>
      </c>
      <c r="E2082" s="6">
        <v>2.35</v>
      </c>
      <c r="F2082" s="7">
        <v>10.5</v>
      </c>
      <c r="G2082" s="7">
        <v>2.35</v>
      </c>
      <c r="H2082" s="7">
        <v>1.86</v>
      </c>
      <c r="I2082" s="7">
        <v>3.144953E7</v>
      </c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>
      <c r="A2083" s="5" t="s">
        <v>4130</v>
      </c>
      <c r="B2083" s="5" t="s">
        <v>4131</v>
      </c>
      <c r="C2083" s="4" t="s">
        <v>60</v>
      </c>
      <c r="D2083" s="6">
        <v>0.05</v>
      </c>
      <c r="E2083" s="6">
        <v>0.06</v>
      </c>
      <c r="F2083" s="4"/>
      <c r="G2083" s="7">
        <v>0.2</v>
      </c>
      <c r="H2083" s="7">
        <v>0.05</v>
      </c>
      <c r="I2083" s="7">
        <v>2267841.0</v>
      </c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</row>
    <row r="2084">
      <c r="A2084" s="5" t="s">
        <v>4132</v>
      </c>
      <c r="B2084" s="5" t="s">
        <v>4133</v>
      </c>
      <c r="C2084" s="4" t="s">
        <v>76</v>
      </c>
      <c r="D2084" s="6">
        <v>0.16</v>
      </c>
      <c r="E2084" s="6">
        <v>0.16</v>
      </c>
      <c r="F2084" s="4"/>
      <c r="G2084" s="7">
        <v>0.21</v>
      </c>
      <c r="H2084" s="7">
        <v>0.08</v>
      </c>
      <c r="I2084" s="7">
        <v>7.8715913E7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</row>
    <row r="2085">
      <c r="A2085" s="5" t="s">
        <v>4134</v>
      </c>
      <c r="B2085" s="5" t="s">
        <v>4135</v>
      </c>
      <c r="C2085" s="4" t="s">
        <v>121</v>
      </c>
      <c r="D2085" s="6">
        <v>4.19</v>
      </c>
      <c r="E2085" s="6">
        <v>4.21</v>
      </c>
      <c r="F2085" s="7">
        <v>18.28</v>
      </c>
      <c r="G2085" s="7">
        <v>5.42</v>
      </c>
      <c r="H2085" s="7">
        <v>2.15</v>
      </c>
      <c r="I2085" s="7">
        <v>1.090403938E9</v>
      </c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</row>
    <row r="2086">
      <c r="A2086" s="5" t="s">
        <v>4136</v>
      </c>
      <c r="B2086" s="5" t="s">
        <v>4137</v>
      </c>
      <c r="C2086" s="4" t="s">
        <v>34</v>
      </c>
      <c r="D2086" s="6">
        <v>102.45</v>
      </c>
      <c r="E2086" s="6">
        <v>102.42</v>
      </c>
      <c r="F2086" s="4"/>
      <c r="G2086" s="7">
        <v>122.76</v>
      </c>
      <c r="H2086" s="7">
        <v>89.0</v>
      </c>
      <c r="I2086" s="7" t="e">
        <v>#N/A</v>
      </c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>
      <c r="A2087" s="5" t="s">
        <v>4138</v>
      </c>
      <c r="B2087" s="5" t="s">
        <v>4139</v>
      </c>
      <c r="C2087" s="4" t="s">
        <v>76</v>
      </c>
      <c r="D2087" s="6">
        <v>0.03</v>
      </c>
      <c r="E2087" s="6">
        <v>0.03</v>
      </c>
      <c r="F2087" s="4"/>
      <c r="G2087" s="7">
        <v>0.14</v>
      </c>
      <c r="H2087" s="7">
        <v>0.03</v>
      </c>
      <c r="I2087" s="7">
        <v>9229880.0</v>
      </c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>
      <c r="A2088" s="5" t="s">
        <v>4140</v>
      </c>
      <c r="B2088" s="5" t="s">
        <v>4141</v>
      </c>
      <c r="C2088" s="4" t="s">
        <v>76</v>
      </c>
      <c r="D2088" s="6">
        <v>0.0</v>
      </c>
      <c r="E2088" s="6">
        <v>0.0</v>
      </c>
      <c r="F2088" s="4"/>
      <c r="G2088" s="7">
        <v>0.01</v>
      </c>
      <c r="H2088" s="7">
        <v>0.0</v>
      </c>
      <c r="I2088" s="7">
        <v>6603700.0</v>
      </c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>
      <c r="A2089" s="5" t="s">
        <v>4142</v>
      </c>
      <c r="B2089" s="5" t="s">
        <v>4143</v>
      </c>
      <c r="C2089" s="4" t="s">
        <v>169</v>
      </c>
      <c r="D2089" s="6">
        <v>0.12</v>
      </c>
      <c r="E2089" s="6">
        <v>0.12</v>
      </c>
      <c r="F2089" s="4"/>
      <c r="G2089" s="7">
        <v>0.14</v>
      </c>
      <c r="H2089" s="7">
        <v>0.08</v>
      </c>
      <c r="I2089" s="7">
        <v>4.5339958E7</v>
      </c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>
      <c r="A2090" s="5" t="s">
        <v>4144</v>
      </c>
      <c r="B2090" s="5" t="s">
        <v>4145</v>
      </c>
      <c r="C2090" s="4" t="s">
        <v>447</v>
      </c>
      <c r="D2090" s="6">
        <v>0.01</v>
      </c>
      <c r="E2090" s="6">
        <v>0.01</v>
      </c>
      <c r="F2090" s="4"/>
      <c r="G2090" s="7">
        <v>0.01</v>
      </c>
      <c r="H2090" s="7">
        <v>0.0</v>
      </c>
      <c r="I2090" s="7">
        <v>5399191.0</v>
      </c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>
      <c r="A2091" s="5" t="s">
        <v>4146</v>
      </c>
      <c r="B2091" s="5" t="s">
        <v>4147</v>
      </c>
      <c r="C2091" s="4" t="s">
        <v>312</v>
      </c>
      <c r="D2091" s="6">
        <v>0.07</v>
      </c>
      <c r="E2091" s="6">
        <v>0.07</v>
      </c>
      <c r="F2091" s="4"/>
      <c r="G2091" s="7">
        <v>0.19</v>
      </c>
      <c r="H2091" s="7">
        <v>0.05</v>
      </c>
      <c r="I2091" s="7">
        <v>1.12146671E8</v>
      </c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>
      <c r="A2092" s="5" t="s">
        <v>4148</v>
      </c>
      <c r="B2092" s="5" t="s">
        <v>4149</v>
      </c>
      <c r="C2092" s="4" t="s">
        <v>96</v>
      </c>
      <c r="D2092" s="6">
        <v>0.01</v>
      </c>
      <c r="E2092" s="6">
        <v>0.01</v>
      </c>
      <c r="F2092" s="4"/>
      <c r="G2092" s="7">
        <v>0.02</v>
      </c>
      <c r="H2092" s="7">
        <v>0.0</v>
      </c>
      <c r="I2092" s="7">
        <v>1937950.0</v>
      </c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>
      <c r="A2093" s="5" t="s">
        <v>4150</v>
      </c>
      <c r="B2093" s="5" t="s">
        <v>4151</v>
      </c>
      <c r="C2093" s="4" t="s">
        <v>37</v>
      </c>
      <c r="D2093" s="6">
        <v>0.04</v>
      </c>
      <c r="E2093" s="6">
        <v>0.04</v>
      </c>
      <c r="F2093" s="4"/>
      <c r="G2093" s="7">
        <v>0.05</v>
      </c>
      <c r="H2093" s="7">
        <v>0.02</v>
      </c>
      <c r="I2093" s="7">
        <v>1.3985715E7</v>
      </c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>
      <c r="A2094" s="5" t="s">
        <v>4152</v>
      </c>
      <c r="B2094" s="5" t="s">
        <v>4153</v>
      </c>
      <c r="C2094" s="4" t="s">
        <v>37</v>
      </c>
      <c r="D2094" s="6">
        <v>0.2</v>
      </c>
      <c r="E2094" s="6">
        <v>0.2</v>
      </c>
      <c r="F2094" s="4"/>
      <c r="G2094" s="7">
        <v>0.37</v>
      </c>
      <c r="H2094" s="7">
        <v>0.09</v>
      </c>
      <c r="I2094" s="7">
        <v>2.410606E7</v>
      </c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>
      <c r="A2095" s="5" t="s">
        <v>4154</v>
      </c>
      <c r="B2095" s="5" t="s">
        <v>4155</v>
      </c>
      <c r="C2095" s="4" t="s">
        <v>169</v>
      </c>
      <c r="D2095" s="6">
        <v>2.42</v>
      </c>
      <c r="E2095" s="6">
        <v>2.43</v>
      </c>
      <c r="F2095" s="7">
        <v>38.01</v>
      </c>
      <c r="G2095" s="7">
        <v>2.45</v>
      </c>
      <c r="H2095" s="7">
        <v>1.17</v>
      </c>
      <c r="I2095" s="7">
        <v>1.78508256E8</v>
      </c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>
      <c r="A2096" s="5" t="s">
        <v>4156</v>
      </c>
      <c r="B2096" s="5" t="s">
        <v>4157</v>
      </c>
      <c r="C2096" s="4" t="s">
        <v>126</v>
      </c>
      <c r="D2096" s="6">
        <v>0.02</v>
      </c>
      <c r="E2096" s="6">
        <v>0.02</v>
      </c>
      <c r="F2096" s="4"/>
      <c r="G2096" s="7">
        <v>0.04</v>
      </c>
      <c r="H2096" s="7">
        <v>0.02</v>
      </c>
      <c r="I2096" s="7">
        <v>1.16154E7</v>
      </c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>
      <c r="A2097" s="5" t="s">
        <v>4158</v>
      </c>
      <c r="B2097" s="5" t="s">
        <v>4159</v>
      </c>
      <c r="C2097" s="4" t="s">
        <v>86</v>
      </c>
      <c r="D2097" s="6">
        <v>0.18</v>
      </c>
      <c r="E2097" s="6">
        <v>0.18</v>
      </c>
      <c r="F2097" s="4"/>
      <c r="G2097" s="7">
        <v>0.28</v>
      </c>
      <c r="H2097" s="7">
        <v>0.12</v>
      </c>
      <c r="I2097" s="7">
        <v>1.83146587E8</v>
      </c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>
      <c r="A2098" s="5" t="s">
        <v>4160</v>
      </c>
      <c r="B2098" s="5" t="s">
        <v>4161</v>
      </c>
      <c r="C2098" s="4" t="s">
        <v>37</v>
      </c>
      <c r="D2098" s="6">
        <v>0.23</v>
      </c>
      <c r="E2098" s="6">
        <v>0.22</v>
      </c>
      <c r="F2098" s="4"/>
      <c r="G2098" s="7">
        <v>0.32</v>
      </c>
      <c r="H2098" s="7">
        <v>0.06</v>
      </c>
      <c r="I2098" s="7">
        <v>2.51413193E8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>
      <c r="A2099" s="5" t="s">
        <v>4162</v>
      </c>
      <c r="B2099" s="5" t="s">
        <v>4163</v>
      </c>
      <c r="C2099" s="4" t="s">
        <v>169</v>
      </c>
      <c r="D2099" s="6">
        <v>0.31</v>
      </c>
      <c r="E2099" s="6">
        <v>0.31</v>
      </c>
      <c r="F2099" s="7">
        <v>14.03</v>
      </c>
      <c r="G2099" s="7">
        <v>0.74</v>
      </c>
      <c r="H2099" s="7">
        <v>0.24</v>
      </c>
      <c r="I2099" s="7">
        <v>6.1029948E7</v>
      </c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</row>
    <row r="2100">
      <c r="A2100" s="5" t="s">
        <v>4164</v>
      </c>
      <c r="B2100" s="5" t="s">
        <v>4165</v>
      </c>
      <c r="C2100" s="4" t="s">
        <v>1052</v>
      </c>
      <c r="D2100" s="6">
        <v>2.29</v>
      </c>
      <c r="E2100" s="6">
        <v>2.3</v>
      </c>
      <c r="F2100" s="4"/>
      <c r="G2100" s="7">
        <v>2.43</v>
      </c>
      <c r="H2100" s="7">
        <v>1.2</v>
      </c>
      <c r="I2100" s="7">
        <v>5.716179E8</v>
      </c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>
      <c r="A2101" s="5" t="s">
        <v>4166</v>
      </c>
      <c r="B2101" s="5" t="s">
        <v>4167</v>
      </c>
      <c r="C2101" s="4" t="s">
        <v>37</v>
      </c>
      <c r="D2101" s="6">
        <v>0.01</v>
      </c>
      <c r="E2101" s="6">
        <v>0.01</v>
      </c>
      <c r="F2101" s="4"/>
      <c r="G2101" s="7">
        <v>0.03</v>
      </c>
      <c r="H2101" s="7">
        <v>0.01</v>
      </c>
      <c r="I2101" s="7">
        <v>4916082.0</v>
      </c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>
      <c r="A2102" s="5" t="s">
        <v>4168</v>
      </c>
      <c r="B2102" s="5" t="s">
        <v>4169</v>
      </c>
      <c r="C2102" s="4" t="s">
        <v>141</v>
      </c>
      <c r="D2102" s="6">
        <v>0.35</v>
      </c>
      <c r="E2102" s="6">
        <v>0.35</v>
      </c>
      <c r="F2102" s="7">
        <v>1.78</v>
      </c>
      <c r="G2102" s="7">
        <v>0.35</v>
      </c>
      <c r="H2102" s="7">
        <v>0.15</v>
      </c>
      <c r="I2102" s="7">
        <v>3.031309E7</v>
      </c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>
      <c r="A2103" s="5" t="s">
        <v>4170</v>
      </c>
      <c r="B2103" s="5" t="s">
        <v>4171</v>
      </c>
      <c r="C2103" s="4" t="s">
        <v>312</v>
      </c>
      <c r="D2103" s="6">
        <v>0.0</v>
      </c>
      <c r="E2103" s="6">
        <v>0.0</v>
      </c>
      <c r="F2103" s="4"/>
      <c r="G2103" s="7">
        <v>0.0</v>
      </c>
      <c r="H2103" s="7">
        <v>0.0</v>
      </c>
      <c r="I2103" s="7">
        <v>3.920011E7</v>
      </c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>
      <c r="A2104" s="5" t="s">
        <v>4172</v>
      </c>
      <c r="B2104" s="5" t="s">
        <v>4173</v>
      </c>
      <c r="C2104" s="4" t="s">
        <v>4174</v>
      </c>
      <c r="D2104" s="6">
        <v>0.22</v>
      </c>
      <c r="E2104" s="6">
        <v>0.24</v>
      </c>
      <c r="F2104" s="4"/>
      <c r="G2104" s="7">
        <v>0.36</v>
      </c>
      <c r="H2104" s="7">
        <v>0.15</v>
      </c>
      <c r="I2104" s="7">
        <v>7905850.0</v>
      </c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>
      <c r="A2105" s="5" t="s">
        <v>4175</v>
      </c>
      <c r="B2105" s="5" t="s">
        <v>4176</v>
      </c>
      <c r="C2105" s="4" t="s">
        <v>169</v>
      </c>
      <c r="D2105" s="6">
        <v>1.6</v>
      </c>
      <c r="E2105" s="6">
        <v>1.6</v>
      </c>
      <c r="F2105" s="7">
        <v>21.29</v>
      </c>
      <c r="G2105" s="7">
        <v>2.1</v>
      </c>
      <c r="H2105" s="7">
        <v>1.6</v>
      </c>
      <c r="I2105" s="7">
        <v>4.345072E7</v>
      </c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>
      <c r="A2106" s="5" t="s">
        <v>4177</v>
      </c>
      <c r="B2106" s="5" t="s">
        <v>4178</v>
      </c>
      <c r="C2106" s="4" t="s">
        <v>17</v>
      </c>
      <c r="D2106" s="6">
        <v>0.07</v>
      </c>
      <c r="E2106" s="6">
        <v>0.07</v>
      </c>
      <c r="F2106" s="4"/>
      <c r="G2106" s="7">
        <v>0.12</v>
      </c>
      <c r="H2106" s="7">
        <v>0.02</v>
      </c>
      <c r="I2106" s="7">
        <v>3.867699E7</v>
      </c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</row>
    <row r="2107">
      <c r="A2107" s="5" t="s">
        <v>4179</v>
      </c>
      <c r="B2107" s="5" t="s">
        <v>4180</v>
      </c>
      <c r="C2107" s="4" t="s">
        <v>257</v>
      </c>
      <c r="D2107" s="6">
        <v>5.2</v>
      </c>
      <c r="E2107" s="6">
        <v>5.16</v>
      </c>
      <c r="F2107" s="7">
        <v>31.72</v>
      </c>
      <c r="G2107" s="7">
        <v>6.0</v>
      </c>
      <c r="H2107" s="7">
        <v>4.69</v>
      </c>
      <c r="I2107" s="7">
        <v>1.1574008775E10</v>
      </c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</row>
    <row r="2108">
      <c r="A2108" s="5" t="s">
        <v>4181</v>
      </c>
      <c r="B2108" s="5" t="s">
        <v>4182</v>
      </c>
      <c r="C2108" s="4" t="s">
        <v>37</v>
      </c>
      <c r="D2108" s="6">
        <v>0.39</v>
      </c>
      <c r="E2108" s="6">
        <v>0.37</v>
      </c>
      <c r="F2108" s="4"/>
      <c r="G2108" s="7">
        <v>0.56</v>
      </c>
      <c r="H2108" s="7">
        <v>0.34</v>
      </c>
      <c r="I2108" s="7">
        <v>1.89682911E8</v>
      </c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>
      <c r="A2109" s="5" t="s">
        <v>4183</v>
      </c>
      <c r="B2109" s="5" t="s">
        <v>4184</v>
      </c>
      <c r="C2109" s="4" t="s">
        <v>17</v>
      </c>
      <c r="D2109" s="6">
        <v>0.14</v>
      </c>
      <c r="E2109" s="6">
        <v>0.14</v>
      </c>
      <c r="F2109" s="4"/>
      <c r="G2109" s="7">
        <v>0.22</v>
      </c>
      <c r="H2109" s="7">
        <v>0.1</v>
      </c>
      <c r="I2109" s="7">
        <v>2.4515271E7</v>
      </c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>
      <c r="A2110" s="5" t="s">
        <v>4185</v>
      </c>
      <c r="B2110" s="5" t="s">
        <v>4186</v>
      </c>
      <c r="C2110" s="4" t="s">
        <v>135</v>
      </c>
      <c r="D2110" s="6">
        <v>4.87</v>
      </c>
      <c r="E2110" s="6">
        <v>4.87</v>
      </c>
      <c r="F2110" s="7">
        <v>25.84</v>
      </c>
      <c r="G2110" s="7">
        <v>5.14</v>
      </c>
      <c r="H2110" s="7">
        <v>3.84</v>
      </c>
      <c r="I2110" s="7">
        <v>3.6453734577E10</v>
      </c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</row>
    <row r="2111">
      <c r="A2111" s="5" t="s">
        <v>4187</v>
      </c>
      <c r="B2111" s="5" t="s">
        <v>4188</v>
      </c>
      <c r="C2111" s="4" t="s">
        <v>23</v>
      </c>
      <c r="D2111" s="6">
        <v>11.36</v>
      </c>
      <c r="E2111" s="6">
        <v>11.2</v>
      </c>
      <c r="F2111" s="7">
        <v>252.61</v>
      </c>
      <c r="G2111" s="7">
        <v>31.97</v>
      </c>
      <c r="H2111" s="7">
        <v>11.2</v>
      </c>
      <c r="I2111" s="7">
        <v>3.848341883E9</v>
      </c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</row>
    <row r="2112">
      <c r="A2112" s="5" t="s">
        <v>4189</v>
      </c>
      <c r="B2112" s="5" t="s">
        <v>4190</v>
      </c>
      <c r="C2112" s="4" t="s">
        <v>17</v>
      </c>
      <c r="D2112" s="6">
        <v>0.14</v>
      </c>
      <c r="E2112" s="6">
        <v>0.14</v>
      </c>
      <c r="F2112" s="4"/>
      <c r="G2112" s="7">
        <v>0.2</v>
      </c>
      <c r="H2112" s="7">
        <v>0.02</v>
      </c>
      <c r="I2112" s="7">
        <v>1.107932E8</v>
      </c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</row>
    <row r="2113">
      <c r="A2113" s="5" t="s">
        <v>4191</v>
      </c>
      <c r="B2113" s="5" t="s">
        <v>4192</v>
      </c>
      <c r="C2113" s="4" t="s">
        <v>17</v>
      </c>
      <c r="D2113" s="6">
        <v>0.05</v>
      </c>
      <c r="E2113" s="6">
        <v>0.05</v>
      </c>
      <c r="F2113" s="4"/>
      <c r="G2113" s="7">
        <v>0.22</v>
      </c>
      <c r="H2113" s="7">
        <v>0.02</v>
      </c>
      <c r="I2113" s="7">
        <v>1.258055E7</v>
      </c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</row>
    <row r="2114">
      <c r="A2114" s="5" t="s">
        <v>4193</v>
      </c>
      <c r="B2114" s="5" t="s">
        <v>4194</v>
      </c>
      <c r="C2114" s="4" t="s">
        <v>76</v>
      </c>
      <c r="D2114" s="6">
        <v>0.12</v>
      </c>
      <c r="E2114" s="6">
        <v>0.11</v>
      </c>
      <c r="F2114" s="4"/>
      <c r="G2114" s="7">
        <v>0.22</v>
      </c>
      <c r="H2114" s="7">
        <v>0.06</v>
      </c>
      <c r="I2114" s="7">
        <v>2.5100095E7</v>
      </c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>
      <c r="A2115" s="5" t="s">
        <v>4195</v>
      </c>
      <c r="B2115" s="5" t="s">
        <v>4196</v>
      </c>
      <c r="C2115" s="4" t="s">
        <v>954</v>
      </c>
      <c r="D2115" s="6">
        <v>0.04</v>
      </c>
      <c r="E2115" s="6">
        <v>0.04</v>
      </c>
      <c r="F2115" s="4"/>
      <c r="G2115" s="7">
        <v>0.04</v>
      </c>
      <c r="H2115" s="7">
        <v>0.02</v>
      </c>
      <c r="I2115" s="7">
        <v>3727910.0</v>
      </c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</row>
    <row r="2116">
      <c r="A2116" s="5" t="s">
        <v>4197</v>
      </c>
      <c r="B2116" s="5" t="s">
        <v>4198</v>
      </c>
      <c r="C2116" s="4" t="s">
        <v>17</v>
      </c>
      <c r="D2116" s="6">
        <v>0.01</v>
      </c>
      <c r="E2116" s="6">
        <v>0.01</v>
      </c>
      <c r="F2116" s="4"/>
      <c r="G2116" s="7">
        <v>0.02</v>
      </c>
      <c r="H2116" s="7">
        <v>0.0</v>
      </c>
      <c r="I2116" s="7">
        <v>6395344.0</v>
      </c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</row>
    <row r="2117">
      <c r="A2117" s="5" t="s">
        <v>4199</v>
      </c>
      <c r="B2117" s="5" t="s">
        <v>4200</v>
      </c>
      <c r="C2117" s="4" t="s">
        <v>447</v>
      </c>
      <c r="D2117" s="6">
        <v>0.0</v>
      </c>
      <c r="E2117" s="6">
        <v>0.0</v>
      </c>
      <c r="F2117" s="4"/>
      <c r="G2117" s="7">
        <v>0.01</v>
      </c>
      <c r="H2117" s="7">
        <v>0.0</v>
      </c>
      <c r="I2117" s="7">
        <v>5932408.0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</row>
    <row r="2118">
      <c r="A2118" s="5" t="s">
        <v>4201</v>
      </c>
      <c r="B2118" s="5" t="s">
        <v>4202</v>
      </c>
      <c r="C2118" s="4" t="s">
        <v>37</v>
      </c>
      <c r="D2118" s="6">
        <v>0.52</v>
      </c>
      <c r="E2118" s="6">
        <v>0.48</v>
      </c>
      <c r="F2118" s="4"/>
      <c r="G2118" s="7">
        <v>0.66</v>
      </c>
      <c r="H2118" s="7">
        <v>0.14</v>
      </c>
      <c r="I2118" s="7">
        <v>7.4502789E7</v>
      </c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>
      <c r="A2119" s="5" t="s">
        <v>4203</v>
      </c>
      <c r="B2119" s="5" t="s">
        <v>4204</v>
      </c>
      <c r="C2119" s="4" t="s">
        <v>14</v>
      </c>
      <c r="D2119" s="6">
        <v>27.86</v>
      </c>
      <c r="E2119" s="6">
        <v>27.96</v>
      </c>
      <c r="F2119" s="7">
        <v>66.77</v>
      </c>
      <c r="G2119" s="7">
        <v>42.88</v>
      </c>
      <c r="H2119" s="7">
        <v>23.4</v>
      </c>
      <c r="I2119" s="7">
        <v>9.120486609E9</v>
      </c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>
      <c r="A2120" s="5" t="s">
        <v>4205</v>
      </c>
      <c r="B2120" s="5" t="s">
        <v>4206</v>
      </c>
      <c r="C2120" s="4" t="s">
        <v>68</v>
      </c>
      <c r="D2120" s="6">
        <v>0.08</v>
      </c>
      <c r="E2120" s="6">
        <v>0.08</v>
      </c>
      <c r="F2120" s="4"/>
      <c r="G2120" s="7">
        <v>0.16</v>
      </c>
      <c r="H2120" s="7">
        <v>0.05</v>
      </c>
      <c r="I2120" s="7">
        <v>1.485056E7</v>
      </c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</row>
    <row r="2121">
      <c r="A2121" s="5" t="s">
        <v>4207</v>
      </c>
      <c r="B2121" s="5" t="s">
        <v>4208</v>
      </c>
      <c r="C2121" s="4" t="s">
        <v>26</v>
      </c>
      <c r="D2121" s="6">
        <v>0.43</v>
      </c>
      <c r="E2121" s="6">
        <v>0.44</v>
      </c>
      <c r="F2121" s="4"/>
      <c r="G2121" s="7">
        <v>0.52</v>
      </c>
      <c r="H2121" s="7">
        <v>0.15</v>
      </c>
      <c r="I2121" s="7">
        <v>5.1721174E7</v>
      </c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</row>
    <row r="2122">
      <c r="A2122" s="5" t="s">
        <v>4207</v>
      </c>
      <c r="B2122" s="5" t="s">
        <v>4208</v>
      </c>
      <c r="C2122" s="4" t="s">
        <v>26</v>
      </c>
      <c r="D2122" s="6">
        <v>0.43</v>
      </c>
      <c r="E2122" s="6">
        <v>0.44</v>
      </c>
      <c r="F2122" s="4"/>
      <c r="G2122" s="7">
        <v>0.52</v>
      </c>
      <c r="H2122" s="7">
        <v>0.15</v>
      </c>
      <c r="I2122" s="7">
        <v>5.1721174E7</v>
      </c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>
      <c r="A2123" s="8" t="s">
        <v>4207</v>
      </c>
      <c r="B2123" s="8" t="s">
        <v>4208</v>
      </c>
      <c r="C2123" s="9" t="s">
        <v>26</v>
      </c>
      <c r="D2123" s="10">
        <v>0.43</v>
      </c>
      <c r="E2123" s="6">
        <v>0.44</v>
      </c>
      <c r="F2123" s="4"/>
      <c r="G2123" s="7">
        <v>0.52</v>
      </c>
      <c r="H2123" s="7">
        <v>0.15</v>
      </c>
      <c r="I2123" s="7">
        <v>5.1721174E7</v>
      </c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>
      <c r="A2124" s="5" t="s">
        <v>4209</v>
      </c>
      <c r="B2124" s="5" t="s">
        <v>4210</v>
      </c>
      <c r="C2124" s="4" t="s">
        <v>86</v>
      </c>
      <c r="D2124" s="6">
        <v>1.35</v>
      </c>
      <c r="E2124" s="6">
        <v>1.32</v>
      </c>
      <c r="F2124" s="4"/>
      <c r="G2124" s="7">
        <v>1.63</v>
      </c>
      <c r="H2124" s="7">
        <v>0.7</v>
      </c>
      <c r="I2124" s="7">
        <v>3.48450531E8</v>
      </c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>
      <c r="A2125" s="5" t="s">
        <v>4211</v>
      </c>
      <c r="B2125" s="5" t="s">
        <v>4212</v>
      </c>
      <c r="C2125" s="4" t="s">
        <v>34</v>
      </c>
      <c r="D2125" s="6">
        <v>24.72</v>
      </c>
      <c r="E2125" s="6">
        <v>24.6</v>
      </c>
      <c r="F2125" s="4"/>
      <c r="G2125" s="7">
        <v>25.24</v>
      </c>
      <c r="H2125" s="7">
        <v>24.3</v>
      </c>
      <c r="I2125" s="7" t="e">
        <v>#N/A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>
      <c r="A2126" s="5" t="s">
        <v>4213</v>
      </c>
      <c r="B2126" s="5" t="s">
        <v>4214</v>
      </c>
      <c r="C2126" s="4" t="s">
        <v>37</v>
      </c>
      <c r="D2126" s="6">
        <v>0.01</v>
      </c>
      <c r="E2126" s="6">
        <v>0.01</v>
      </c>
      <c r="F2126" s="4"/>
      <c r="G2126" s="7">
        <v>0.01</v>
      </c>
      <c r="H2126" s="7">
        <v>0.0</v>
      </c>
      <c r="I2126" s="7">
        <v>2.0702736E7</v>
      </c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>
      <c r="A2127" s="5" t="s">
        <v>4215</v>
      </c>
      <c r="B2127" s="5" t="s">
        <v>4216</v>
      </c>
      <c r="C2127" s="4" t="s">
        <v>169</v>
      </c>
      <c r="D2127" s="6">
        <v>0.67</v>
      </c>
      <c r="E2127" s="6">
        <v>0.67</v>
      </c>
      <c r="F2127" s="7">
        <v>14.12</v>
      </c>
      <c r="G2127" s="7">
        <v>0.7</v>
      </c>
      <c r="H2127" s="7">
        <v>0.54</v>
      </c>
      <c r="I2127" s="7">
        <v>1.14139259E8</v>
      </c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>
      <c r="A2128" s="5" t="s">
        <v>4217</v>
      </c>
      <c r="B2128" s="5" t="s">
        <v>4218</v>
      </c>
      <c r="C2128" s="4" t="s">
        <v>86</v>
      </c>
      <c r="D2128" s="6">
        <v>0.29</v>
      </c>
      <c r="E2128" s="6">
        <v>0.28</v>
      </c>
      <c r="F2128" s="4"/>
      <c r="G2128" s="7">
        <v>0.35</v>
      </c>
      <c r="H2128" s="7">
        <v>0.05</v>
      </c>
      <c r="I2128" s="7">
        <v>1.758796E8</v>
      </c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>
      <c r="A2129" s="5" t="s">
        <v>4219</v>
      </c>
      <c r="B2129" s="5" t="s">
        <v>4220</v>
      </c>
      <c r="C2129" s="4" t="s">
        <v>1968</v>
      </c>
      <c r="D2129" s="6">
        <v>0.41</v>
      </c>
      <c r="E2129" s="6">
        <v>0.4</v>
      </c>
      <c r="F2129" s="7">
        <v>66.61</v>
      </c>
      <c r="G2129" s="7">
        <v>0.48</v>
      </c>
      <c r="H2129" s="7">
        <v>0.36</v>
      </c>
      <c r="I2129" s="7">
        <v>8.8211106E7</v>
      </c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>
      <c r="A2130" s="5" t="s">
        <v>4221</v>
      </c>
      <c r="B2130" s="5" t="s">
        <v>4222</v>
      </c>
      <c r="C2130" s="4" t="s">
        <v>76</v>
      </c>
      <c r="D2130" s="6">
        <v>0.02</v>
      </c>
      <c r="E2130" s="6">
        <v>0.02</v>
      </c>
      <c r="F2130" s="4"/>
      <c r="G2130" s="7">
        <v>0.04</v>
      </c>
      <c r="H2130" s="7">
        <v>0.01</v>
      </c>
      <c r="I2130" s="7">
        <v>1.7660736E7</v>
      </c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>
      <c r="A2131" s="5" t="s">
        <v>4223</v>
      </c>
      <c r="B2131" s="5" t="s">
        <v>4224</v>
      </c>
      <c r="C2131" s="4" t="s">
        <v>260</v>
      </c>
      <c r="D2131" s="6">
        <v>6.07</v>
      </c>
      <c r="E2131" s="6">
        <v>6.07</v>
      </c>
      <c r="F2131" s="7">
        <v>227.0</v>
      </c>
      <c r="G2131" s="7">
        <v>9.5</v>
      </c>
      <c r="H2131" s="7">
        <v>6.0</v>
      </c>
      <c r="I2131" s="7">
        <v>6.885114E7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>
      <c r="A2132" s="5" t="s">
        <v>4225</v>
      </c>
      <c r="B2132" s="5" t="s">
        <v>4226</v>
      </c>
      <c r="C2132" s="4" t="s">
        <v>65</v>
      </c>
      <c r="D2132" s="6">
        <v>3.87</v>
      </c>
      <c r="E2132" s="6">
        <v>3.79</v>
      </c>
      <c r="F2132" s="4"/>
      <c r="G2132" s="7">
        <v>5.85</v>
      </c>
      <c r="H2132" s="7">
        <v>3.5</v>
      </c>
      <c r="I2132" s="7">
        <v>7.439881E9</v>
      </c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>
      <c r="A2133" s="5" t="s">
        <v>4225</v>
      </c>
      <c r="B2133" s="5" t="s">
        <v>4226</v>
      </c>
      <c r="C2133" s="4" t="s">
        <v>65</v>
      </c>
      <c r="D2133" s="6">
        <v>3.87</v>
      </c>
      <c r="E2133" s="6">
        <v>3.79</v>
      </c>
      <c r="F2133" s="4"/>
      <c r="G2133" s="7">
        <v>5.85</v>
      </c>
      <c r="H2133" s="7">
        <v>3.5</v>
      </c>
      <c r="I2133" s="7">
        <v>7.439881E9</v>
      </c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>
      <c r="A2134" s="8" t="s">
        <v>4225</v>
      </c>
      <c r="B2134" s="8" t="s">
        <v>4226</v>
      </c>
      <c r="C2134" s="9" t="s">
        <v>65</v>
      </c>
      <c r="D2134" s="10">
        <v>3.87</v>
      </c>
      <c r="E2134" s="6">
        <v>3.79</v>
      </c>
      <c r="F2134" s="4"/>
      <c r="G2134" s="7">
        <v>5.85</v>
      </c>
      <c r="H2134" s="7">
        <v>3.5</v>
      </c>
      <c r="I2134" s="7">
        <v>7.439881E9</v>
      </c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>
      <c r="A2135" s="5" t="s">
        <v>4227</v>
      </c>
      <c r="B2135" s="5" t="s">
        <v>4228</v>
      </c>
      <c r="C2135" s="4" t="s">
        <v>195</v>
      </c>
      <c r="D2135" s="6">
        <v>13.75</v>
      </c>
      <c r="E2135" s="6">
        <v>13.68</v>
      </c>
      <c r="F2135" s="7">
        <v>152.41</v>
      </c>
      <c r="G2135" s="7">
        <v>29.06</v>
      </c>
      <c r="H2135" s="7">
        <v>12.14</v>
      </c>
      <c r="I2135" s="7">
        <v>1.653777125E9</v>
      </c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>
      <c r="A2136" s="5" t="s">
        <v>4229</v>
      </c>
      <c r="B2136" s="5" t="s">
        <v>4230</v>
      </c>
      <c r="C2136" s="4" t="s">
        <v>37</v>
      </c>
      <c r="D2136" s="6">
        <v>0.34</v>
      </c>
      <c r="E2136" s="6">
        <v>0.33</v>
      </c>
      <c r="F2136" s="4"/>
      <c r="G2136" s="7">
        <v>1.01</v>
      </c>
      <c r="H2136" s="7">
        <v>0.31</v>
      </c>
      <c r="I2136" s="7">
        <v>1.27517E7</v>
      </c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>
      <c r="A2137" s="5" t="s">
        <v>4231</v>
      </c>
      <c r="B2137" s="5" t="s">
        <v>4232</v>
      </c>
      <c r="C2137" s="4" t="s">
        <v>447</v>
      </c>
      <c r="D2137" s="6">
        <v>0.03</v>
      </c>
      <c r="E2137" s="6">
        <v>0.03</v>
      </c>
      <c r="F2137" s="4"/>
      <c r="G2137" s="7">
        <v>0.03</v>
      </c>
      <c r="H2137" s="7">
        <v>0.02</v>
      </c>
      <c r="I2137" s="7">
        <v>9462041.0</v>
      </c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>
      <c r="A2138" s="5" t="s">
        <v>4233</v>
      </c>
      <c r="B2138" s="5" t="s">
        <v>4234</v>
      </c>
      <c r="C2138" s="4" t="s">
        <v>432</v>
      </c>
      <c r="D2138" s="6">
        <v>7.08</v>
      </c>
      <c r="E2138" s="6">
        <v>7.08</v>
      </c>
      <c r="F2138" s="4"/>
      <c r="G2138" s="7">
        <v>7.09</v>
      </c>
      <c r="H2138" s="7">
        <v>4.73</v>
      </c>
      <c r="I2138" s="7">
        <v>7.546645E8</v>
      </c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>
      <c r="A2139" s="5" t="s">
        <v>4235</v>
      </c>
      <c r="B2139" s="5" t="s">
        <v>4236</v>
      </c>
      <c r="C2139" s="4" t="s">
        <v>86</v>
      </c>
      <c r="D2139" s="6">
        <v>0.4</v>
      </c>
      <c r="E2139" s="6">
        <v>0.4</v>
      </c>
      <c r="F2139" s="4"/>
      <c r="G2139" s="7">
        <v>0.54</v>
      </c>
      <c r="H2139" s="7">
        <v>0.12</v>
      </c>
      <c r="I2139" s="7">
        <v>2.53950483E8</v>
      </c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>
      <c r="A2140" s="5" t="s">
        <v>4237</v>
      </c>
      <c r="B2140" s="5" t="s">
        <v>4238</v>
      </c>
      <c r="C2140" s="4" t="s">
        <v>172</v>
      </c>
      <c r="D2140" s="6">
        <v>0.02</v>
      </c>
      <c r="E2140" s="6">
        <v>0.02</v>
      </c>
      <c r="F2140" s="4"/>
      <c r="G2140" s="7">
        <v>0.04</v>
      </c>
      <c r="H2140" s="7">
        <v>0.01</v>
      </c>
      <c r="I2140" s="7">
        <v>2.1920179E7</v>
      </c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>
      <c r="A2141" s="5" t="s">
        <v>4239</v>
      </c>
      <c r="B2141" s="5" t="s">
        <v>4240</v>
      </c>
      <c r="C2141" s="4" t="s">
        <v>4241</v>
      </c>
      <c r="D2141" s="6">
        <v>0.7</v>
      </c>
      <c r="E2141" s="6">
        <v>0.7</v>
      </c>
      <c r="F2141" s="4"/>
      <c r="G2141" s="7">
        <v>1.14</v>
      </c>
      <c r="H2141" s="7">
        <v>0.63</v>
      </c>
      <c r="I2141" s="7">
        <v>1.06015298E8</v>
      </c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>
      <c r="A2142" s="5" t="s">
        <v>4242</v>
      </c>
      <c r="B2142" s="5" t="s">
        <v>4243</v>
      </c>
      <c r="C2142" s="4" t="s">
        <v>17</v>
      </c>
      <c r="D2142" s="6">
        <v>0.07</v>
      </c>
      <c r="E2142" s="6">
        <v>0.07</v>
      </c>
      <c r="F2142" s="4"/>
      <c r="G2142" s="7">
        <v>0.09</v>
      </c>
      <c r="H2142" s="7">
        <v>0.04</v>
      </c>
      <c r="I2142" s="7">
        <v>1.49582E7</v>
      </c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>
      <c r="A2143" s="5" t="s">
        <v>4244</v>
      </c>
      <c r="B2143" s="5" t="s">
        <v>4245</v>
      </c>
      <c r="C2143" s="4" t="s">
        <v>172</v>
      </c>
      <c r="D2143" s="6">
        <v>0.39</v>
      </c>
      <c r="E2143" s="6">
        <v>0.39</v>
      </c>
      <c r="F2143" s="4"/>
      <c r="G2143" s="7">
        <v>0.48</v>
      </c>
      <c r="H2143" s="7">
        <v>0.17</v>
      </c>
      <c r="I2143" s="7">
        <v>2.3278958E7</v>
      </c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>
      <c r="A2144" s="5" t="s">
        <v>4246</v>
      </c>
      <c r="B2144" s="5" t="s">
        <v>4247</v>
      </c>
      <c r="C2144" s="4" t="s">
        <v>4248</v>
      </c>
      <c r="D2144" s="6">
        <v>0.02</v>
      </c>
      <c r="E2144" s="6">
        <v>0.02</v>
      </c>
      <c r="F2144" s="4"/>
      <c r="G2144" s="7">
        <v>0.03</v>
      </c>
      <c r="H2144" s="7">
        <v>0.01</v>
      </c>
      <c r="I2144" s="7">
        <v>1.34798E7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>
      <c r="A2145" s="5" t="s">
        <v>4249</v>
      </c>
      <c r="B2145" s="5" t="s">
        <v>4250</v>
      </c>
      <c r="C2145" s="4" t="s">
        <v>17</v>
      </c>
      <c r="D2145" s="6">
        <v>0.11</v>
      </c>
      <c r="E2145" s="6">
        <v>0.12</v>
      </c>
      <c r="F2145" s="4"/>
      <c r="G2145" s="7">
        <v>0.15</v>
      </c>
      <c r="H2145" s="7">
        <v>0.1</v>
      </c>
      <c r="I2145" s="7">
        <v>1.0753297E7</v>
      </c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>
      <c r="A2146" s="5" t="s">
        <v>4251</v>
      </c>
      <c r="B2146" s="5" t="s">
        <v>4252</v>
      </c>
      <c r="C2146" s="4" t="s">
        <v>961</v>
      </c>
      <c r="D2146" s="6">
        <v>0.01</v>
      </c>
      <c r="E2146" s="6">
        <v>0.01</v>
      </c>
      <c r="F2146" s="4"/>
      <c r="G2146" s="7">
        <v>0.01</v>
      </c>
      <c r="H2146" s="7">
        <v>0.0</v>
      </c>
      <c r="I2146" s="7">
        <v>9847938.0</v>
      </c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>
      <c r="A2147" s="5" t="s">
        <v>4253</v>
      </c>
      <c r="B2147" s="5" t="s">
        <v>4254</v>
      </c>
      <c r="C2147" s="4" t="s">
        <v>86</v>
      </c>
      <c r="D2147" s="6">
        <v>1.27</v>
      </c>
      <c r="E2147" s="6">
        <v>1.31</v>
      </c>
      <c r="F2147" s="4"/>
      <c r="G2147" s="7">
        <v>1.38</v>
      </c>
      <c r="H2147" s="7">
        <v>0.28</v>
      </c>
      <c r="I2147" s="7">
        <v>2.2586975E8</v>
      </c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>
      <c r="A2148" s="5" t="s">
        <v>4255</v>
      </c>
      <c r="B2148" s="5" t="s">
        <v>4256</v>
      </c>
      <c r="C2148" s="4" t="s">
        <v>86</v>
      </c>
      <c r="D2148" s="6">
        <v>0.87</v>
      </c>
      <c r="E2148" s="6">
        <v>0.88</v>
      </c>
      <c r="F2148" s="4"/>
      <c r="G2148" s="7">
        <v>0.9</v>
      </c>
      <c r="H2148" s="7">
        <v>0.29</v>
      </c>
      <c r="I2148" s="7">
        <v>2.49273184E8</v>
      </c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>
      <c r="A2149" s="5" t="s">
        <v>4257</v>
      </c>
      <c r="B2149" s="5" t="s">
        <v>4258</v>
      </c>
      <c r="C2149" s="4" t="s">
        <v>50</v>
      </c>
      <c r="D2149" s="6">
        <v>0.25</v>
      </c>
      <c r="E2149" s="6">
        <v>0.24</v>
      </c>
      <c r="F2149" s="4"/>
      <c r="G2149" s="7">
        <v>0.36</v>
      </c>
      <c r="H2149" s="7">
        <v>0.17</v>
      </c>
      <c r="I2149" s="7">
        <v>3.91853007E8</v>
      </c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>
      <c r="A2150" s="5" t="s">
        <v>4259</v>
      </c>
      <c r="B2150" s="5" t="s">
        <v>4260</v>
      </c>
      <c r="C2150" s="4" t="s">
        <v>23</v>
      </c>
      <c r="D2150" s="6">
        <v>3.3</v>
      </c>
      <c r="E2150" s="6">
        <v>3.28</v>
      </c>
      <c r="F2150" s="4"/>
      <c r="G2150" s="7">
        <v>5.6</v>
      </c>
      <c r="H2150" s="7">
        <v>2.88</v>
      </c>
      <c r="I2150" s="7">
        <v>8.8248334E7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>
      <c r="A2151" s="5" t="s">
        <v>4261</v>
      </c>
      <c r="B2151" s="5" t="s">
        <v>4262</v>
      </c>
      <c r="C2151" s="4" t="s">
        <v>68</v>
      </c>
      <c r="D2151" s="6">
        <v>7.08</v>
      </c>
      <c r="E2151" s="6">
        <v>7.07</v>
      </c>
      <c r="F2151" s="7">
        <v>415.49</v>
      </c>
      <c r="G2151" s="7">
        <v>8.38</v>
      </c>
      <c r="H2151" s="7">
        <v>4.72</v>
      </c>
      <c r="I2151" s="7">
        <v>3.882644346E9</v>
      </c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>
      <c r="A2152" s="5" t="s">
        <v>4263</v>
      </c>
      <c r="B2152" s="5" t="s">
        <v>4264</v>
      </c>
      <c r="C2152" s="4" t="s">
        <v>169</v>
      </c>
      <c r="D2152" s="6">
        <v>0.07</v>
      </c>
      <c r="E2152" s="6">
        <v>0.07</v>
      </c>
      <c r="F2152" s="4"/>
      <c r="G2152" s="7">
        <v>0.09</v>
      </c>
      <c r="H2152" s="7">
        <v>0.06</v>
      </c>
      <c r="I2152" s="7">
        <v>4.816968E7</v>
      </c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</row>
    <row r="2153">
      <c r="A2153" s="5" t="s">
        <v>4265</v>
      </c>
      <c r="B2153" s="5" t="s">
        <v>4266</v>
      </c>
      <c r="C2153" s="4" t="s">
        <v>17</v>
      </c>
      <c r="D2153" s="6">
        <v>0.28</v>
      </c>
      <c r="E2153" s="6">
        <v>0.28</v>
      </c>
      <c r="F2153" s="4"/>
      <c r="G2153" s="7">
        <v>0.28</v>
      </c>
      <c r="H2153" s="7">
        <v>0.08</v>
      </c>
      <c r="I2153" s="7">
        <v>6.08144638E8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</row>
    <row r="2154">
      <c r="A2154" s="5" t="s">
        <v>4267</v>
      </c>
      <c r="B2154" s="5" t="s">
        <v>4268</v>
      </c>
      <c r="C2154" s="4" t="s">
        <v>1764</v>
      </c>
      <c r="D2154" s="6">
        <v>2.79</v>
      </c>
      <c r="E2154" s="6">
        <v>2.79</v>
      </c>
      <c r="F2154" s="7">
        <v>18.22</v>
      </c>
      <c r="G2154" s="7">
        <v>3.32</v>
      </c>
      <c r="H2154" s="7">
        <v>2.5</v>
      </c>
      <c r="I2154" s="7">
        <v>1.10647576E8</v>
      </c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>
      <c r="A2155" s="5" t="s">
        <v>4269</v>
      </c>
      <c r="B2155" s="5" t="s">
        <v>4270</v>
      </c>
      <c r="C2155" s="4" t="s">
        <v>601</v>
      </c>
      <c r="D2155" s="6">
        <v>5.3</v>
      </c>
      <c r="E2155" s="6">
        <v>5.24</v>
      </c>
      <c r="F2155" s="7">
        <v>9.9</v>
      </c>
      <c r="G2155" s="7">
        <v>11.34</v>
      </c>
      <c r="H2155" s="7">
        <v>4.57</v>
      </c>
      <c r="I2155" s="7">
        <v>4.279417314E9</v>
      </c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</row>
    <row r="2156">
      <c r="A2156" s="5" t="s">
        <v>4271</v>
      </c>
      <c r="B2156" s="5" t="s">
        <v>4272</v>
      </c>
      <c r="C2156" s="4" t="s">
        <v>4273</v>
      </c>
      <c r="D2156" s="6" t="e">
        <v>#N/A</v>
      </c>
      <c r="E2156" s="6" t="e">
        <v>#N/A</v>
      </c>
      <c r="F2156" s="4"/>
      <c r="G2156" s="4"/>
      <c r="H2156" s="4"/>
      <c r="I2156" s="7" t="e">
        <v>#N/A</v>
      </c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</row>
    <row r="2157">
      <c r="A2157" s="5" t="s">
        <v>4274</v>
      </c>
      <c r="B2157" s="5" t="s">
        <v>4275</v>
      </c>
      <c r="C2157" s="4" t="s">
        <v>2112</v>
      </c>
      <c r="D2157" s="6">
        <v>1.77</v>
      </c>
      <c r="E2157" s="6">
        <v>1.77</v>
      </c>
      <c r="F2157" s="4"/>
      <c r="G2157" s="7">
        <v>1.8</v>
      </c>
      <c r="H2157" s="7">
        <v>1.1</v>
      </c>
      <c r="I2157" s="7">
        <v>6.865272E8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>
      <c r="A2158" s="5" t="s">
        <v>4276</v>
      </c>
      <c r="B2158" s="5" t="s">
        <v>4277</v>
      </c>
      <c r="C2158" s="4" t="s">
        <v>159</v>
      </c>
      <c r="D2158" s="6">
        <v>1.01</v>
      </c>
      <c r="E2158" s="6">
        <v>1.0</v>
      </c>
      <c r="F2158" s="7">
        <v>30.71</v>
      </c>
      <c r="G2158" s="7">
        <v>1.3</v>
      </c>
      <c r="H2158" s="7">
        <v>0.63</v>
      </c>
      <c r="I2158" s="7">
        <v>5.41387492E8</v>
      </c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>
      <c r="A2159" s="5" t="s">
        <v>4278</v>
      </c>
      <c r="B2159" s="5" t="s">
        <v>4279</v>
      </c>
      <c r="C2159" s="4" t="s">
        <v>17</v>
      </c>
      <c r="D2159" s="6">
        <v>0.0</v>
      </c>
      <c r="E2159" s="6">
        <v>0.0</v>
      </c>
      <c r="F2159" s="4"/>
      <c r="G2159" s="7">
        <v>0.01</v>
      </c>
      <c r="H2159" s="7">
        <v>0.0</v>
      </c>
      <c r="I2159" s="7">
        <v>6708304.0</v>
      </c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</row>
    <row r="2160">
      <c r="A2160" s="5" t="s">
        <v>4280</v>
      </c>
      <c r="B2160" s="5" t="s">
        <v>4281</v>
      </c>
      <c r="C2160" s="4" t="s">
        <v>182</v>
      </c>
      <c r="D2160" s="6">
        <v>0.05</v>
      </c>
      <c r="E2160" s="6">
        <v>0.05</v>
      </c>
      <c r="F2160" s="4"/>
      <c r="G2160" s="7">
        <v>0.08</v>
      </c>
      <c r="H2160" s="7">
        <v>0.04</v>
      </c>
      <c r="I2160" s="7">
        <v>1.2055392E7</v>
      </c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</row>
    <row r="2161">
      <c r="A2161" s="5" t="s">
        <v>4282</v>
      </c>
      <c r="B2161" s="5" t="s">
        <v>4283</v>
      </c>
      <c r="C2161" s="4" t="s">
        <v>37</v>
      </c>
      <c r="D2161" s="6">
        <v>0.03</v>
      </c>
      <c r="E2161" s="6">
        <v>0.03</v>
      </c>
      <c r="F2161" s="4"/>
      <c r="G2161" s="7">
        <v>0.09</v>
      </c>
      <c r="H2161" s="7">
        <v>0.03</v>
      </c>
      <c r="I2161" s="7">
        <v>6.8479078E7</v>
      </c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</row>
    <row r="2162">
      <c r="A2162" s="5" t="s">
        <v>4284</v>
      </c>
      <c r="B2162" s="5" t="s">
        <v>4285</v>
      </c>
      <c r="C2162" s="4" t="s">
        <v>34</v>
      </c>
      <c r="D2162" s="6">
        <v>16.62</v>
      </c>
      <c r="E2162" s="6">
        <v>16.66</v>
      </c>
      <c r="F2162" s="4"/>
      <c r="G2162" s="7">
        <v>17.98</v>
      </c>
      <c r="H2162" s="7">
        <v>11.97</v>
      </c>
      <c r="I2162" s="7" t="e">
        <v>#N/A</v>
      </c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</row>
    <row r="2163">
      <c r="A2163" s="5" t="s">
        <v>4286</v>
      </c>
      <c r="B2163" s="5" t="s">
        <v>4287</v>
      </c>
      <c r="C2163" s="4" t="s">
        <v>60</v>
      </c>
      <c r="D2163" s="6">
        <v>0.01</v>
      </c>
      <c r="E2163" s="6">
        <v>0.01</v>
      </c>
      <c r="F2163" s="4"/>
      <c r="G2163" s="7">
        <v>0.11</v>
      </c>
      <c r="H2163" s="7">
        <v>0.01</v>
      </c>
      <c r="I2163" s="7">
        <v>5842116.0</v>
      </c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</row>
    <row r="2164">
      <c r="A2164" s="5" t="s">
        <v>4288</v>
      </c>
      <c r="B2164" s="5" t="s">
        <v>4289</v>
      </c>
      <c r="C2164" s="4" t="s">
        <v>182</v>
      </c>
      <c r="D2164" s="6">
        <v>0.72</v>
      </c>
      <c r="E2164" s="6">
        <v>0.72</v>
      </c>
      <c r="F2164" s="4"/>
      <c r="G2164" s="7">
        <v>0.9</v>
      </c>
      <c r="H2164" s="7">
        <v>0.39</v>
      </c>
      <c r="I2164" s="7">
        <v>5.678921E7</v>
      </c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</row>
    <row r="2165">
      <c r="A2165" s="5" t="s">
        <v>4290</v>
      </c>
      <c r="B2165" s="5" t="s">
        <v>4291</v>
      </c>
      <c r="C2165" s="4" t="s">
        <v>60</v>
      </c>
      <c r="D2165" s="6">
        <v>0.01</v>
      </c>
      <c r="E2165" s="6">
        <v>0.01</v>
      </c>
      <c r="F2165" s="4"/>
      <c r="G2165" s="7">
        <v>0.03</v>
      </c>
      <c r="H2165" s="7">
        <v>0.01</v>
      </c>
      <c r="I2165" s="7">
        <v>3121770.0</v>
      </c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</row>
    <row r="2166">
      <c r="A2166" s="5" t="s">
        <v>4292</v>
      </c>
      <c r="B2166" s="5" t="s">
        <v>4293</v>
      </c>
      <c r="C2166" s="4" t="s">
        <v>34</v>
      </c>
      <c r="D2166" s="6">
        <v>26.54</v>
      </c>
      <c r="E2166" s="6">
        <v>26.95</v>
      </c>
      <c r="F2166" s="4"/>
      <c r="G2166" s="7">
        <v>27.96</v>
      </c>
      <c r="H2166" s="7">
        <v>23.13</v>
      </c>
      <c r="I2166" s="7" t="e">
        <v>#N/A</v>
      </c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</row>
    <row r="2167">
      <c r="A2167" s="5" t="s">
        <v>4294</v>
      </c>
      <c r="B2167" s="5" t="s">
        <v>4295</v>
      </c>
      <c r="C2167" s="4" t="s">
        <v>618</v>
      </c>
      <c r="D2167" s="6">
        <v>8.06</v>
      </c>
      <c r="E2167" s="6">
        <v>8.0</v>
      </c>
      <c r="F2167" s="7">
        <v>26.66</v>
      </c>
      <c r="G2167" s="7">
        <v>9.88</v>
      </c>
      <c r="H2167" s="7">
        <v>6.58</v>
      </c>
      <c r="I2167" s="7">
        <v>6.1836976E8</v>
      </c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</row>
    <row r="2168">
      <c r="A2168" s="5" t="s">
        <v>4296</v>
      </c>
      <c r="B2168" s="5" t="s">
        <v>4297</v>
      </c>
      <c r="C2168" s="4" t="s">
        <v>14</v>
      </c>
      <c r="D2168" s="6">
        <v>0.01</v>
      </c>
      <c r="E2168" s="6">
        <v>0.01</v>
      </c>
      <c r="F2168" s="4"/>
      <c r="G2168" s="7">
        <v>0.02</v>
      </c>
      <c r="H2168" s="7">
        <v>0.01</v>
      </c>
      <c r="I2168" s="7">
        <v>1.2304781E7</v>
      </c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</row>
    <row r="2169">
      <c r="A2169" s="5" t="s">
        <v>4298</v>
      </c>
      <c r="B2169" s="5" t="s">
        <v>4299</v>
      </c>
      <c r="C2169" s="4" t="s">
        <v>141</v>
      </c>
      <c r="D2169" s="6">
        <v>0.68</v>
      </c>
      <c r="E2169" s="6">
        <v>0.69</v>
      </c>
      <c r="F2169" s="7">
        <v>11.06</v>
      </c>
      <c r="G2169" s="7">
        <v>0.72</v>
      </c>
      <c r="H2169" s="7">
        <v>0.53</v>
      </c>
      <c r="I2169" s="7">
        <v>2.36105454E8</v>
      </c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</row>
    <row r="2170">
      <c r="A2170" s="5" t="s">
        <v>4300</v>
      </c>
      <c r="B2170" s="5" t="s">
        <v>4301</v>
      </c>
      <c r="C2170" s="4" t="s">
        <v>34</v>
      </c>
      <c r="D2170" s="6">
        <v>17.29</v>
      </c>
      <c r="E2170" s="6">
        <v>17.06</v>
      </c>
      <c r="F2170" s="4"/>
      <c r="G2170" s="7">
        <v>22.38</v>
      </c>
      <c r="H2170" s="7">
        <v>16.4</v>
      </c>
      <c r="I2170" s="7" t="e">
        <v>#N/A</v>
      </c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</row>
    <row r="2171">
      <c r="A2171" s="5" t="s">
        <v>4302</v>
      </c>
      <c r="B2171" s="5" t="s">
        <v>4303</v>
      </c>
      <c r="C2171" s="4" t="s">
        <v>4304</v>
      </c>
      <c r="D2171" s="6">
        <v>0.28</v>
      </c>
      <c r="E2171" s="6">
        <v>0.29</v>
      </c>
      <c r="F2171" s="4"/>
      <c r="G2171" s="7">
        <v>0.42</v>
      </c>
      <c r="H2171" s="7">
        <v>0.27</v>
      </c>
      <c r="I2171" s="7">
        <v>1.96901367E8</v>
      </c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</row>
    <row r="2172">
      <c r="A2172" s="5" t="s">
        <v>4305</v>
      </c>
      <c r="B2172" s="5" t="s">
        <v>4306</v>
      </c>
      <c r="C2172" s="4" t="s">
        <v>34</v>
      </c>
      <c r="D2172" s="6">
        <v>10.78</v>
      </c>
      <c r="E2172" s="6">
        <v>10.53</v>
      </c>
      <c r="F2172" s="4"/>
      <c r="G2172" s="7">
        <v>12.75</v>
      </c>
      <c r="H2172" s="7">
        <v>5.76</v>
      </c>
      <c r="I2172" s="7" t="e">
        <v>#N/A</v>
      </c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</row>
    <row r="2173">
      <c r="A2173" s="5" t="s">
        <v>4307</v>
      </c>
      <c r="B2173" s="5" t="s">
        <v>4308</v>
      </c>
      <c r="C2173" s="4" t="s">
        <v>17</v>
      </c>
      <c r="D2173" s="6">
        <v>0.01</v>
      </c>
      <c r="E2173" s="6">
        <v>0.01</v>
      </c>
      <c r="F2173" s="4"/>
      <c r="G2173" s="7">
        <v>0.02</v>
      </c>
      <c r="H2173" s="7">
        <v>0.01</v>
      </c>
      <c r="I2173" s="7">
        <v>1.7542112E7</v>
      </c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</row>
    <row r="2174">
      <c r="A2174" s="5" t="s">
        <v>4309</v>
      </c>
      <c r="B2174" s="5" t="s">
        <v>4310</v>
      </c>
      <c r="C2174" s="4" t="s">
        <v>34</v>
      </c>
      <c r="D2174" s="6">
        <v>14.9</v>
      </c>
      <c r="E2174" s="6">
        <v>14.92</v>
      </c>
      <c r="F2174" s="4"/>
      <c r="G2174" s="7">
        <v>16.8</v>
      </c>
      <c r="H2174" s="7">
        <v>14.63</v>
      </c>
      <c r="I2174" s="7" t="e">
        <v>#N/A</v>
      </c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</row>
    <row r="2175">
      <c r="A2175" s="5" t="s">
        <v>4311</v>
      </c>
      <c r="B2175" s="5" t="s">
        <v>4312</v>
      </c>
      <c r="C2175" s="4" t="s">
        <v>34</v>
      </c>
      <c r="D2175" s="6">
        <v>10.59</v>
      </c>
      <c r="E2175" s="6">
        <v>10.59</v>
      </c>
      <c r="F2175" s="4"/>
      <c r="G2175" s="7">
        <v>10.81</v>
      </c>
      <c r="H2175" s="7">
        <v>9.51</v>
      </c>
      <c r="I2175" s="7" t="e">
        <v>#N/A</v>
      </c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</row>
    <row r="2176">
      <c r="A2176" s="5" t="s">
        <v>4313</v>
      </c>
      <c r="B2176" s="5" t="s">
        <v>4314</v>
      </c>
      <c r="C2176" s="4" t="s">
        <v>34</v>
      </c>
      <c r="D2176" s="6">
        <v>9.8</v>
      </c>
      <c r="E2176" s="6">
        <v>9.8</v>
      </c>
      <c r="F2176" s="4"/>
      <c r="G2176" s="7">
        <v>9.95</v>
      </c>
      <c r="H2176" s="7">
        <v>9.2</v>
      </c>
      <c r="I2176" s="7" t="e">
        <v>#N/A</v>
      </c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</row>
    <row r="2177">
      <c r="A2177" s="5" t="s">
        <v>4315</v>
      </c>
      <c r="B2177" s="5" t="s">
        <v>4316</v>
      </c>
      <c r="C2177" s="4" t="s">
        <v>17</v>
      </c>
      <c r="D2177" s="6">
        <v>0.87</v>
      </c>
      <c r="E2177" s="6">
        <v>0.87</v>
      </c>
      <c r="F2177" s="4"/>
      <c r="G2177" s="7">
        <v>0.99</v>
      </c>
      <c r="H2177" s="7">
        <v>0.17</v>
      </c>
      <c r="I2177" s="7">
        <v>5.24942642E8</v>
      </c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</row>
    <row r="2178">
      <c r="A2178" s="5" t="s">
        <v>4317</v>
      </c>
      <c r="B2178" s="5" t="s">
        <v>4318</v>
      </c>
      <c r="C2178" s="4" t="s">
        <v>34</v>
      </c>
      <c r="D2178" s="6">
        <v>25.75</v>
      </c>
      <c r="E2178" s="6">
        <v>25.95</v>
      </c>
      <c r="F2178" s="4"/>
      <c r="G2178" s="7">
        <v>26.39</v>
      </c>
      <c r="H2178" s="7">
        <v>24.96</v>
      </c>
      <c r="I2178" s="7" t="e">
        <v>#N/A</v>
      </c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</row>
    <row r="2179">
      <c r="A2179" s="5" t="s">
        <v>4319</v>
      </c>
      <c r="B2179" s="5" t="s">
        <v>4320</v>
      </c>
      <c r="C2179" s="4" t="s">
        <v>169</v>
      </c>
      <c r="D2179" s="6">
        <v>0.06</v>
      </c>
      <c r="E2179" s="6">
        <v>0.06</v>
      </c>
      <c r="F2179" s="7">
        <v>52.59</v>
      </c>
      <c r="G2179" s="7">
        <v>0.08</v>
      </c>
      <c r="H2179" s="7">
        <v>0.04</v>
      </c>
      <c r="I2179" s="7">
        <v>1.3359933E7</v>
      </c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>
      <c r="A2180" s="5" t="s">
        <v>4321</v>
      </c>
      <c r="B2180" s="5" t="s">
        <v>4322</v>
      </c>
      <c r="C2180" s="4" t="s">
        <v>34</v>
      </c>
      <c r="D2180" s="6">
        <v>11.01</v>
      </c>
      <c r="E2180" s="6">
        <v>11.0</v>
      </c>
      <c r="F2180" s="4"/>
      <c r="G2180" s="7">
        <v>12.6</v>
      </c>
      <c r="H2180" s="7">
        <v>10.32</v>
      </c>
      <c r="I2180" s="7" t="e">
        <v>#N/A</v>
      </c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>
      <c r="A2181" s="5" t="s">
        <v>4323</v>
      </c>
      <c r="B2181" s="5" t="s">
        <v>4324</v>
      </c>
      <c r="C2181" s="4" t="s">
        <v>34</v>
      </c>
      <c r="D2181" s="6">
        <v>51.06</v>
      </c>
      <c r="E2181" s="6">
        <v>51.59</v>
      </c>
      <c r="F2181" s="4"/>
      <c r="G2181" s="7">
        <v>52.55</v>
      </c>
      <c r="H2181" s="7">
        <v>50.66</v>
      </c>
      <c r="I2181" s="7" t="e">
        <v>#N/A</v>
      </c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>
      <c r="A2182" s="5" t="s">
        <v>4325</v>
      </c>
      <c r="B2182" s="5" t="s">
        <v>4326</v>
      </c>
      <c r="C2182" s="4" t="s">
        <v>34</v>
      </c>
      <c r="D2182" s="6">
        <v>96.93</v>
      </c>
      <c r="E2182" s="6">
        <v>95.77</v>
      </c>
      <c r="F2182" s="4"/>
      <c r="G2182" s="7">
        <v>99.95</v>
      </c>
      <c r="H2182" s="7">
        <v>74.07</v>
      </c>
      <c r="I2182" s="7" t="e">
        <v>#N/A</v>
      </c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>
      <c r="A2183" s="5" t="s">
        <v>4327</v>
      </c>
      <c r="B2183" s="5" t="s">
        <v>4328</v>
      </c>
      <c r="C2183" s="4" t="s">
        <v>34</v>
      </c>
      <c r="D2183" s="6">
        <v>45.31</v>
      </c>
      <c r="E2183" s="6">
        <v>45.88</v>
      </c>
      <c r="F2183" s="4"/>
      <c r="G2183" s="7">
        <v>47.11</v>
      </c>
      <c r="H2183" s="7">
        <v>44.84</v>
      </c>
      <c r="I2183" s="7" t="e">
        <v>#N/A</v>
      </c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>
      <c r="A2184" s="5" t="s">
        <v>4329</v>
      </c>
      <c r="B2184" s="5" t="s">
        <v>4330</v>
      </c>
      <c r="C2184" s="4" t="s">
        <v>34</v>
      </c>
      <c r="D2184" s="6">
        <v>100.35</v>
      </c>
      <c r="E2184" s="6">
        <v>100.52</v>
      </c>
      <c r="F2184" s="4"/>
      <c r="G2184" s="7">
        <v>108.29</v>
      </c>
      <c r="H2184" s="7">
        <v>79.99</v>
      </c>
      <c r="I2184" s="7" t="e">
        <v>#N/A</v>
      </c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>
      <c r="A2185" s="5" t="s">
        <v>4331</v>
      </c>
      <c r="B2185" s="5" t="s">
        <v>4332</v>
      </c>
      <c r="C2185" s="4" t="s">
        <v>447</v>
      </c>
      <c r="D2185" s="6">
        <v>0.01</v>
      </c>
      <c r="E2185" s="6">
        <v>0.01</v>
      </c>
      <c r="F2185" s="4"/>
      <c r="G2185" s="7">
        <v>0.01</v>
      </c>
      <c r="H2185" s="7">
        <v>0.0</v>
      </c>
      <c r="I2185" s="7">
        <v>4115622.0</v>
      </c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>
      <c r="A2186" s="5" t="s">
        <v>4333</v>
      </c>
      <c r="B2186" s="5" t="s">
        <v>4334</v>
      </c>
      <c r="C2186" s="4" t="s">
        <v>34</v>
      </c>
      <c r="D2186" s="6">
        <v>108.26</v>
      </c>
      <c r="E2186" s="6">
        <v>108.9</v>
      </c>
      <c r="F2186" s="4"/>
      <c r="G2186" s="7">
        <v>113.18</v>
      </c>
      <c r="H2186" s="7">
        <v>88.64</v>
      </c>
      <c r="I2186" s="7" t="e">
        <v>#N/A</v>
      </c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>
      <c r="A2187" s="5" t="s">
        <v>4335</v>
      </c>
      <c r="B2187" s="5" t="s">
        <v>4336</v>
      </c>
      <c r="C2187" s="4" t="s">
        <v>86</v>
      </c>
      <c r="D2187" s="6">
        <v>5.48</v>
      </c>
      <c r="E2187" s="6">
        <v>5.46</v>
      </c>
      <c r="F2187" s="7">
        <v>24.39</v>
      </c>
      <c r="G2187" s="7">
        <v>5.63</v>
      </c>
      <c r="H2187" s="7">
        <v>2.09</v>
      </c>
      <c r="I2187" s="7">
        <v>5.722961299E9</v>
      </c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>
      <c r="A2188" s="5" t="s">
        <v>4337</v>
      </c>
      <c r="B2188" s="5" t="s">
        <v>4338</v>
      </c>
      <c r="C2188" s="4" t="s">
        <v>121</v>
      </c>
      <c r="D2188" s="6">
        <v>0.21</v>
      </c>
      <c r="E2188" s="6">
        <v>0.22</v>
      </c>
      <c r="F2188" s="7">
        <v>17.89</v>
      </c>
      <c r="G2188" s="7">
        <v>0.22</v>
      </c>
      <c r="H2188" s="7">
        <v>0.05</v>
      </c>
      <c r="I2188" s="7">
        <v>6.1439593E7</v>
      </c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>
      <c r="A2189" s="5" t="s">
        <v>4339</v>
      </c>
      <c r="B2189" s="5" t="s">
        <v>4340</v>
      </c>
      <c r="C2189" s="4" t="s">
        <v>34</v>
      </c>
      <c r="D2189" s="6">
        <v>71.7</v>
      </c>
      <c r="E2189" s="6">
        <v>72.71</v>
      </c>
      <c r="F2189" s="4"/>
      <c r="G2189" s="7">
        <v>76.16</v>
      </c>
      <c r="H2189" s="7">
        <v>69.78</v>
      </c>
      <c r="I2189" s="7" t="e">
        <v>#N/A</v>
      </c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</row>
    <row r="2190">
      <c r="A2190" s="5" t="s">
        <v>4341</v>
      </c>
      <c r="B2190" s="5" t="s">
        <v>4342</v>
      </c>
      <c r="C2190" s="4" t="s">
        <v>34</v>
      </c>
      <c r="D2190" s="6">
        <v>42.29</v>
      </c>
      <c r="E2190" s="6">
        <v>42.68</v>
      </c>
      <c r="F2190" s="4"/>
      <c r="G2190" s="7">
        <v>42.99</v>
      </c>
      <c r="H2190" s="7">
        <v>41.09</v>
      </c>
      <c r="I2190" s="7" t="e">
        <v>#N/A</v>
      </c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</row>
    <row r="2191">
      <c r="A2191" s="5" t="s">
        <v>4343</v>
      </c>
      <c r="B2191" s="5" t="s">
        <v>4344</v>
      </c>
      <c r="C2191" s="4" t="s">
        <v>23</v>
      </c>
      <c r="D2191" s="6">
        <v>0.17</v>
      </c>
      <c r="E2191" s="6">
        <v>0.18</v>
      </c>
      <c r="F2191" s="4"/>
      <c r="G2191" s="7">
        <v>0.46</v>
      </c>
      <c r="H2191" s="7">
        <v>0.04</v>
      </c>
      <c r="I2191" s="7">
        <v>8816499.0</v>
      </c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>
      <c r="A2192" s="5" t="s">
        <v>4345</v>
      </c>
      <c r="B2192" s="5" t="s">
        <v>4346</v>
      </c>
      <c r="C2192" s="4" t="s">
        <v>34</v>
      </c>
      <c r="D2192" s="6">
        <v>26.73</v>
      </c>
      <c r="E2192" s="6">
        <v>26.82</v>
      </c>
      <c r="F2192" s="4"/>
      <c r="G2192" s="7">
        <v>38.5</v>
      </c>
      <c r="H2192" s="7">
        <v>24.81</v>
      </c>
      <c r="I2192" s="7" t="e">
        <v>#N/A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>
      <c r="A2193" s="5" t="s">
        <v>4347</v>
      </c>
      <c r="B2193" s="5" t="s">
        <v>4348</v>
      </c>
      <c r="C2193" s="4" t="s">
        <v>37</v>
      </c>
      <c r="D2193" s="6">
        <v>0.51</v>
      </c>
      <c r="E2193" s="6">
        <v>0.5</v>
      </c>
      <c r="F2193" s="4"/>
      <c r="G2193" s="7">
        <v>0.82</v>
      </c>
      <c r="H2193" s="7">
        <v>0.34</v>
      </c>
      <c r="I2193" s="7">
        <v>2.2022187E7</v>
      </c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</row>
    <row r="2194">
      <c r="A2194" s="5" t="s">
        <v>4349</v>
      </c>
      <c r="B2194" s="5" t="s">
        <v>4350</v>
      </c>
      <c r="C2194" s="4" t="s">
        <v>34</v>
      </c>
      <c r="D2194" s="6">
        <v>39.1</v>
      </c>
      <c r="E2194" s="6">
        <v>39.5</v>
      </c>
      <c r="F2194" s="4"/>
      <c r="G2194" s="7">
        <v>40.0</v>
      </c>
      <c r="H2194" s="7">
        <v>37.8</v>
      </c>
      <c r="I2194" s="7" t="e">
        <v>#N/A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</row>
    <row r="2195">
      <c r="A2195" s="5" t="s">
        <v>4351</v>
      </c>
      <c r="B2195" s="5" t="s">
        <v>4352</v>
      </c>
      <c r="C2195" s="4" t="s">
        <v>416</v>
      </c>
      <c r="D2195" s="6">
        <v>2.58</v>
      </c>
      <c r="E2195" s="6">
        <v>2.56</v>
      </c>
      <c r="F2195" s="7">
        <v>1.42</v>
      </c>
      <c r="G2195" s="7">
        <v>2.69</v>
      </c>
      <c r="H2195" s="7">
        <v>2.06</v>
      </c>
      <c r="I2195" s="7">
        <v>1.177523E10</v>
      </c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>
      <c r="A2196" s="5" t="s">
        <v>4353</v>
      </c>
      <c r="B2196" s="5" t="s">
        <v>4354</v>
      </c>
      <c r="C2196" s="4" t="s">
        <v>34</v>
      </c>
      <c r="D2196" s="6">
        <v>55.36</v>
      </c>
      <c r="E2196" s="6">
        <v>56.0</v>
      </c>
      <c r="F2196" s="4"/>
      <c r="G2196" s="7">
        <v>56.65</v>
      </c>
      <c r="H2196" s="7">
        <v>44.22</v>
      </c>
      <c r="I2196" s="7" t="e">
        <v>#N/A</v>
      </c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</row>
    <row r="2197">
      <c r="A2197" s="5" t="s">
        <v>4355</v>
      </c>
      <c r="B2197" s="5" t="s">
        <v>4356</v>
      </c>
      <c r="C2197" s="4" t="s">
        <v>34</v>
      </c>
      <c r="D2197" s="6">
        <v>60.43</v>
      </c>
      <c r="E2197" s="6">
        <v>60.83</v>
      </c>
      <c r="F2197" s="4"/>
      <c r="G2197" s="7">
        <v>61.52</v>
      </c>
      <c r="H2197" s="7">
        <v>53.5</v>
      </c>
      <c r="I2197" s="7" t="e">
        <v>#N/A</v>
      </c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</row>
    <row r="2198">
      <c r="A2198" s="5" t="s">
        <v>4357</v>
      </c>
      <c r="B2198" s="5" t="s">
        <v>4358</v>
      </c>
      <c r="C2198" s="4" t="s">
        <v>34</v>
      </c>
      <c r="D2198" s="6">
        <v>55.87</v>
      </c>
      <c r="E2198" s="6">
        <v>56.32</v>
      </c>
      <c r="F2198" s="4"/>
      <c r="G2198" s="7">
        <v>56.79</v>
      </c>
      <c r="H2198" s="7">
        <v>51.5</v>
      </c>
      <c r="I2198" s="7" t="e">
        <v>#N/A</v>
      </c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</row>
    <row r="2199">
      <c r="A2199" s="5" t="s">
        <v>4359</v>
      </c>
      <c r="B2199" s="5" t="s">
        <v>4360</v>
      </c>
      <c r="C2199" s="4" t="s">
        <v>34</v>
      </c>
      <c r="D2199" s="6">
        <v>67.13</v>
      </c>
      <c r="E2199" s="6">
        <v>67.66</v>
      </c>
      <c r="F2199" s="4"/>
      <c r="G2199" s="7">
        <v>68.43</v>
      </c>
      <c r="H2199" s="7">
        <v>57.15</v>
      </c>
      <c r="I2199" s="7" t="e">
        <v>#N/A</v>
      </c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</row>
    <row r="2200">
      <c r="A2200" s="5" t="s">
        <v>4361</v>
      </c>
      <c r="B2200" s="5" t="s">
        <v>4362</v>
      </c>
      <c r="C2200" s="4" t="s">
        <v>34</v>
      </c>
      <c r="D2200" s="6">
        <v>74.0</v>
      </c>
      <c r="E2200" s="6">
        <v>74.52</v>
      </c>
      <c r="F2200" s="4"/>
      <c r="G2200" s="7">
        <v>75.46</v>
      </c>
      <c r="H2200" s="7">
        <v>60.5</v>
      </c>
      <c r="I2200" s="7" t="e">
        <v>#N/A</v>
      </c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</row>
    <row r="2201">
      <c r="A2201" s="5" t="s">
        <v>4363</v>
      </c>
      <c r="B2201" s="5" t="s">
        <v>4364</v>
      </c>
      <c r="C2201" s="4" t="s">
        <v>34</v>
      </c>
      <c r="D2201" s="6">
        <v>52.53</v>
      </c>
      <c r="E2201" s="6">
        <v>53.08</v>
      </c>
      <c r="F2201" s="4"/>
      <c r="G2201" s="7">
        <v>53.51</v>
      </c>
      <c r="H2201" s="7">
        <v>47.07</v>
      </c>
      <c r="I2201" s="7" t="e">
        <v>#N/A</v>
      </c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</row>
    <row r="2202">
      <c r="A2202" s="5" t="s">
        <v>4365</v>
      </c>
      <c r="B2202" s="5" t="s">
        <v>4366</v>
      </c>
      <c r="C2202" s="4" t="s">
        <v>339</v>
      </c>
      <c r="D2202" s="6">
        <v>2.09</v>
      </c>
      <c r="E2202" s="6">
        <v>2.05</v>
      </c>
      <c r="F2202" s="4"/>
      <c r="G2202" s="7">
        <v>2.83</v>
      </c>
      <c r="H2202" s="7">
        <v>1.41</v>
      </c>
      <c r="I2202" s="7">
        <v>3.39761045E9</v>
      </c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</row>
    <row r="2203">
      <c r="A2203" s="5" t="s">
        <v>4367</v>
      </c>
      <c r="B2203" s="5" t="s">
        <v>4368</v>
      </c>
      <c r="C2203" s="4" t="s">
        <v>4369</v>
      </c>
      <c r="D2203" s="6">
        <v>0.77</v>
      </c>
      <c r="E2203" s="6">
        <v>0.77</v>
      </c>
      <c r="F2203" s="7">
        <v>34.43</v>
      </c>
      <c r="G2203" s="7">
        <v>1.95</v>
      </c>
      <c r="H2203" s="7">
        <v>0.61</v>
      </c>
      <c r="I2203" s="7">
        <v>1.11534243E8</v>
      </c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</row>
    <row r="2204">
      <c r="A2204" s="5" t="s">
        <v>4370</v>
      </c>
      <c r="B2204" s="5" t="s">
        <v>4371</v>
      </c>
      <c r="C2204" s="4" t="s">
        <v>34</v>
      </c>
      <c r="D2204" s="6">
        <v>42.9</v>
      </c>
      <c r="E2204" s="6">
        <v>43.27</v>
      </c>
      <c r="F2204" s="4"/>
      <c r="G2204" s="7">
        <v>43.45</v>
      </c>
      <c r="H2204" s="7">
        <v>41.2</v>
      </c>
      <c r="I2204" s="7" t="e">
        <v>#N/A</v>
      </c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</row>
    <row r="2205">
      <c r="A2205" s="5" t="s">
        <v>4372</v>
      </c>
      <c r="B2205" s="5" t="s">
        <v>4373</v>
      </c>
      <c r="C2205" s="4" t="s">
        <v>3350</v>
      </c>
      <c r="D2205" s="6">
        <v>0.01</v>
      </c>
      <c r="E2205" s="6">
        <v>0.01</v>
      </c>
      <c r="F2205" s="4"/>
      <c r="G2205" s="7">
        <v>0.01</v>
      </c>
      <c r="H2205" s="7">
        <v>0.0</v>
      </c>
      <c r="I2205" s="7">
        <v>5217284.0</v>
      </c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</row>
    <row r="2206">
      <c r="A2206" s="5" t="s">
        <v>4374</v>
      </c>
      <c r="B2206" s="5" t="s">
        <v>4375</v>
      </c>
      <c r="C2206" s="4" t="s">
        <v>34</v>
      </c>
      <c r="D2206" s="6">
        <v>89.03</v>
      </c>
      <c r="E2206" s="6">
        <v>89.64</v>
      </c>
      <c r="F2206" s="4"/>
      <c r="G2206" s="7">
        <v>91.4</v>
      </c>
      <c r="H2206" s="7">
        <v>72.07</v>
      </c>
      <c r="I2206" s="7" t="e">
        <v>#N/A</v>
      </c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</row>
    <row r="2207">
      <c r="A2207" s="5" t="s">
        <v>4376</v>
      </c>
      <c r="B2207" s="5" t="s">
        <v>4377</v>
      </c>
      <c r="C2207" s="4" t="s">
        <v>34</v>
      </c>
      <c r="D2207" s="6">
        <v>112.6</v>
      </c>
      <c r="E2207" s="6">
        <v>112.76</v>
      </c>
      <c r="F2207" s="4"/>
      <c r="G2207" s="7">
        <v>114.59</v>
      </c>
      <c r="H2207" s="7">
        <v>87.66</v>
      </c>
      <c r="I2207" s="7" t="e">
        <v>#N/A</v>
      </c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</row>
    <row r="2208">
      <c r="A2208" s="5" t="s">
        <v>4378</v>
      </c>
      <c r="B2208" s="5" t="s">
        <v>4379</v>
      </c>
      <c r="C2208" s="4" t="s">
        <v>34</v>
      </c>
      <c r="D2208" s="6">
        <v>70.72</v>
      </c>
      <c r="E2208" s="6">
        <v>71.39</v>
      </c>
      <c r="F2208" s="4"/>
      <c r="G2208" s="7">
        <v>75.0</v>
      </c>
      <c r="H2208" s="7">
        <v>58.4</v>
      </c>
      <c r="I2208" s="7" t="e">
        <v>#N/A</v>
      </c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</row>
    <row r="2209">
      <c r="A2209" s="5" t="s">
        <v>4380</v>
      </c>
      <c r="B2209" s="5" t="s">
        <v>4381</v>
      </c>
      <c r="C2209" s="4" t="s">
        <v>34</v>
      </c>
      <c r="D2209" s="6">
        <v>110.81</v>
      </c>
      <c r="E2209" s="6">
        <v>110.31</v>
      </c>
      <c r="F2209" s="4"/>
      <c r="G2209" s="7">
        <v>113.26</v>
      </c>
      <c r="H2209" s="7">
        <v>90.48</v>
      </c>
      <c r="I2209" s="7" t="e">
        <v>#N/A</v>
      </c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</row>
    <row r="2210">
      <c r="A2210" s="5" t="s">
        <v>4382</v>
      </c>
      <c r="B2210" s="5" t="s">
        <v>4383</v>
      </c>
      <c r="C2210" s="4" t="s">
        <v>14</v>
      </c>
      <c r="D2210" s="6">
        <v>0.1</v>
      </c>
      <c r="E2210" s="6">
        <v>0.1</v>
      </c>
      <c r="F2210" s="4"/>
      <c r="G2210" s="7">
        <v>0.2</v>
      </c>
      <c r="H2210" s="7">
        <v>0.05</v>
      </c>
      <c r="I2210" s="7">
        <v>8055591.0</v>
      </c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</row>
    <row r="2211">
      <c r="A2211" s="5" t="s">
        <v>4384</v>
      </c>
      <c r="B2211" s="5" t="s">
        <v>4385</v>
      </c>
      <c r="C2211" s="4" t="s">
        <v>60</v>
      </c>
      <c r="D2211" s="6">
        <v>1.28</v>
      </c>
      <c r="E2211" s="6">
        <v>1.28</v>
      </c>
      <c r="F2211" s="4"/>
      <c r="G2211" s="7">
        <v>1.95</v>
      </c>
      <c r="H2211" s="7">
        <v>1.08</v>
      </c>
      <c r="I2211" s="7">
        <v>6.3930532E7</v>
      </c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</row>
    <row r="2212">
      <c r="A2212" s="5" t="s">
        <v>4386</v>
      </c>
      <c r="B2212" s="5" t="s">
        <v>4387</v>
      </c>
      <c r="C2212" s="4" t="s">
        <v>34</v>
      </c>
      <c r="D2212" s="6">
        <v>119.83</v>
      </c>
      <c r="E2212" s="6">
        <v>120.85</v>
      </c>
      <c r="F2212" s="4"/>
      <c r="G2212" s="7">
        <v>121.4</v>
      </c>
      <c r="H2212" s="7">
        <v>88.01</v>
      </c>
      <c r="I2212" s="7" t="e">
        <v>#N/A</v>
      </c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</row>
    <row r="2213">
      <c r="A2213" s="5" t="s">
        <v>4388</v>
      </c>
      <c r="B2213" s="5" t="s">
        <v>4389</v>
      </c>
      <c r="C2213" s="4" t="s">
        <v>34</v>
      </c>
      <c r="D2213" s="6">
        <v>45.78</v>
      </c>
      <c r="E2213" s="6">
        <v>46.26</v>
      </c>
      <c r="F2213" s="4"/>
      <c r="G2213" s="7">
        <v>47.87</v>
      </c>
      <c r="H2213" s="7">
        <v>45.55</v>
      </c>
      <c r="I2213" s="7" t="e">
        <v>#N/A</v>
      </c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</row>
    <row r="2214">
      <c r="A2214" s="5" t="s">
        <v>4390</v>
      </c>
      <c r="B2214" s="5" t="s">
        <v>4391</v>
      </c>
      <c r="C2214" s="4" t="s">
        <v>34</v>
      </c>
      <c r="D2214" s="6">
        <v>89.68</v>
      </c>
      <c r="E2214" s="6">
        <v>90.1</v>
      </c>
      <c r="F2214" s="4"/>
      <c r="G2214" s="7">
        <v>94.67</v>
      </c>
      <c r="H2214" s="7">
        <v>73.46</v>
      </c>
      <c r="I2214" s="7" t="e">
        <v>#N/A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</row>
    <row r="2215">
      <c r="A2215" s="5" t="s">
        <v>4392</v>
      </c>
      <c r="B2215" s="5" t="s">
        <v>4393</v>
      </c>
      <c r="C2215" s="4" t="s">
        <v>14</v>
      </c>
      <c r="D2215" s="6">
        <v>2.26</v>
      </c>
      <c r="E2215" s="6">
        <v>2.27</v>
      </c>
      <c r="F2215" s="4"/>
      <c r="G2215" s="7">
        <v>3.7</v>
      </c>
      <c r="H2215" s="7">
        <v>2.17</v>
      </c>
      <c r="I2215" s="7">
        <v>6.174726E8</v>
      </c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</row>
    <row r="2216">
      <c r="A2216" s="5" t="s">
        <v>4394</v>
      </c>
      <c r="B2216" s="5" t="s">
        <v>4395</v>
      </c>
      <c r="C2216" s="4" t="s">
        <v>309</v>
      </c>
      <c r="D2216" s="6">
        <v>3.48</v>
      </c>
      <c r="E2216" s="6">
        <v>3.5</v>
      </c>
      <c r="F2216" s="7">
        <v>5.34</v>
      </c>
      <c r="G2216" s="7">
        <v>3.8</v>
      </c>
      <c r="H2216" s="7">
        <v>2.83</v>
      </c>
      <c r="I2216" s="7">
        <v>2.721326954E9</v>
      </c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</row>
    <row r="2217">
      <c r="A2217" s="5" t="s">
        <v>4396</v>
      </c>
      <c r="B2217" s="5" t="s">
        <v>4397</v>
      </c>
      <c r="C2217" s="4" t="s">
        <v>34</v>
      </c>
      <c r="D2217" s="6">
        <v>153.21</v>
      </c>
      <c r="E2217" s="6">
        <v>153.85</v>
      </c>
      <c r="F2217" s="4"/>
      <c r="G2217" s="7">
        <v>156.35</v>
      </c>
      <c r="H2217" s="7">
        <v>122.4</v>
      </c>
      <c r="I2217" s="7" t="e">
        <v>#N/A</v>
      </c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</row>
    <row r="2218">
      <c r="A2218" s="5" t="s">
        <v>4398</v>
      </c>
      <c r="B2218" s="5" t="s">
        <v>4399</v>
      </c>
      <c r="C2218" s="4" t="s">
        <v>60</v>
      </c>
      <c r="D2218" s="6">
        <v>0.02</v>
      </c>
      <c r="E2218" s="6">
        <v>0.02</v>
      </c>
      <c r="F2218" s="4"/>
      <c r="G2218" s="7">
        <v>0.05</v>
      </c>
      <c r="H2218" s="7">
        <v>0.02</v>
      </c>
      <c r="I2218" s="7">
        <v>5.1284296E7</v>
      </c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</row>
    <row r="2219">
      <c r="A2219" s="5" t="s">
        <v>4400</v>
      </c>
      <c r="B2219" s="5" t="s">
        <v>4401</v>
      </c>
      <c r="C2219" s="4" t="s">
        <v>961</v>
      </c>
      <c r="D2219" s="6">
        <v>0.42</v>
      </c>
      <c r="E2219" s="6">
        <v>0.4</v>
      </c>
      <c r="F2219" s="4"/>
      <c r="G2219" s="7">
        <v>0.86</v>
      </c>
      <c r="H2219" s="7">
        <v>0.18</v>
      </c>
      <c r="I2219" s="7">
        <v>1.228001E8</v>
      </c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</row>
    <row r="2220">
      <c r="A2220" s="5" t="s">
        <v>4402</v>
      </c>
      <c r="B2220" s="5" t="s">
        <v>4403</v>
      </c>
      <c r="C2220" s="4" t="s">
        <v>34</v>
      </c>
      <c r="D2220" s="6">
        <v>78.28</v>
      </c>
      <c r="E2220" s="6">
        <v>78.55</v>
      </c>
      <c r="F2220" s="4"/>
      <c r="G2220" s="7">
        <v>80.29</v>
      </c>
      <c r="H2220" s="7">
        <v>63.36</v>
      </c>
      <c r="I2220" s="7" t="e">
        <v>#N/A</v>
      </c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</row>
    <row r="2221">
      <c r="A2221" s="5" t="s">
        <v>4404</v>
      </c>
      <c r="B2221" s="5" t="s">
        <v>4405</v>
      </c>
      <c r="C2221" s="4" t="s">
        <v>34</v>
      </c>
      <c r="D2221" s="6">
        <v>38.71</v>
      </c>
      <c r="E2221" s="6">
        <v>38.99</v>
      </c>
      <c r="F2221" s="4"/>
      <c r="G2221" s="7">
        <v>39.68</v>
      </c>
      <c r="H2221" s="7">
        <v>37.47</v>
      </c>
      <c r="I2221" s="7" t="e">
        <v>#N/A</v>
      </c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</row>
    <row r="2222">
      <c r="A2222" s="5" t="s">
        <v>4406</v>
      </c>
      <c r="B2222" s="5" t="s">
        <v>4407</v>
      </c>
      <c r="C2222" s="4" t="s">
        <v>182</v>
      </c>
      <c r="D2222" s="6">
        <v>0.04</v>
      </c>
      <c r="E2222" s="6">
        <v>0.04</v>
      </c>
      <c r="F2222" s="4"/>
      <c r="G2222" s="7">
        <v>0.09</v>
      </c>
      <c r="H2222" s="7">
        <v>0.04</v>
      </c>
      <c r="I2222" s="7">
        <v>3.075249E7</v>
      </c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</row>
    <row r="2223">
      <c r="A2223" s="5" t="s">
        <v>4408</v>
      </c>
      <c r="B2223" s="5" t="s">
        <v>4409</v>
      </c>
      <c r="C2223" s="4" t="s">
        <v>34</v>
      </c>
      <c r="D2223" s="6">
        <v>73.24</v>
      </c>
      <c r="E2223" s="6">
        <v>74.33</v>
      </c>
      <c r="F2223" s="4"/>
      <c r="G2223" s="7">
        <v>76.0</v>
      </c>
      <c r="H2223" s="7">
        <v>59.11</v>
      </c>
      <c r="I2223" s="7" t="e">
        <v>#N/A</v>
      </c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</row>
    <row r="2224">
      <c r="A2224" s="5" t="s">
        <v>4410</v>
      </c>
      <c r="B2224" s="5" t="s">
        <v>4411</v>
      </c>
      <c r="C2224" s="4" t="s">
        <v>172</v>
      </c>
      <c r="D2224" s="6">
        <v>0.06</v>
      </c>
      <c r="E2224" s="6">
        <v>0.06</v>
      </c>
      <c r="F2224" s="7">
        <v>11.38</v>
      </c>
      <c r="G2224" s="7">
        <v>0.14</v>
      </c>
      <c r="H2224" s="7">
        <v>0.06</v>
      </c>
      <c r="I2224" s="7">
        <v>4.1774824E7</v>
      </c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>
      <c r="A2225" s="5" t="s">
        <v>4412</v>
      </c>
      <c r="B2225" s="5" t="s">
        <v>4413</v>
      </c>
      <c r="C2225" s="4" t="s">
        <v>17</v>
      </c>
      <c r="D2225" s="6">
        <v>0.01</v>
      </c>
      <c r="E2225" s="6">
        <v>0.01</v>
      </c>
      <c r="F2225" s="4"/>
      <c r="G2225" s="7">
        <v>0.01</v>
      </c>
      <c r="H2225" s="7">
        <v>0.01</v>
      </c>
      <c r="I2225" s="7">
        <v>1.300265E7</v>
      </c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>
      <c r="A2226" s="5" t="s">
        <v>4414</v>
      </c>
      <c r="B2226" s="5" t="s">
        <v>4415</v>
      </c>
      <c r="C2226" s="4" t="s">
        <v>34</v>
      </c>
      <c r="D2226" s="6">
        <v>85.1</v>
      </c>
      <c r="E2226" s="6">
        <v>85.77</v>
      </c>
      <c r="F2226" s="4"/>
      <c r="G2226" s="7">
        <v>89.63</v>
      </c>
      <c r="H2226" s="7">
        <v>71.11</v>
      </c>
      <c r="I2226" s="7" t="e">
        <v>#N/A</v>
      </c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>
      <c r="A2227" s="5" t="s">
        <v>4416</v>
      </c>
      <c r="B2227" s="5" t="s">
        <v>4417</v>
      </c>
      <c r="C2227" s="4" t="s">
        <v>172</v>
      </c>
      <c r="D2227" s="6">
        <v>2.58</v>
      </c>
      <c r="E2227" s="6">
        <v>2.58</v>
      </c>
      <c r="F2227" s="7">
        <v>15.59</v>
      </c>
      <c r="G2227" s="7">
        <v>2.6</v>
      </c>
      <c r="H2227" s="7">
        <v>1.62</v>
      </c>
      <c r="I2227" s="7">
        <v>1.40920473E8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>
      <c r="A2228" s="5" t="s">
        <v>4418</v>
      </c>
      <c r="B2228" s="5" t="s">
        <v>4419</v>
      </c>
      <c r="C2228" s="4" t="s">
        <v>34</v>
      </c>
      <c r="D2228" s="6">
        <v>33.5</v>
      </c>
      <c r="E2228" s="6">
        <v>33.53</v>
      </c>
      <c r="F2228" s="4"/>
      <c r="G2228" s="7">
        <v>34.0</v>
      </c>
      <c r="H2228" s="7">
        <v>25.97</v>
      </c>
      <c r="I2228" s="7" t="e">
        <v>#N/A</v>
      </c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</row>
    <row r="2229">
      <c r="A2229" s="5" t="s">
        <v>4420</v>
      </c>
      <c r="B2229" s="5" t="s">
        <v>4421</v>
      </c>
      <c r="C2229" s="4" t="s">
        <v>17</v>
      </c>
      <c r="D2229" s="6">
        <v>0.2</v>
      </c>
      <c r="E2229" s="6">
        <v>0.2</v>
      </c>
      <c r="F2229" s="4"/>
      <c r="G2229" s="7">
        <v>0.21</v>
      </c>
      <c r="H2229" s="7">
        <v>0.06</v>
      </c>
      <c r="I2229" s="7">
        <v>3.8048496E7</v>
      </c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</row>
    <row r="2230">
      <c r="A2230" s="5" t="s">
        <v>4422</v>
      </c>
      <c r="B2230" s="5" t="s">
        <v>4423</v>
      </c>
      <c r="C2230" s="4" t="s">
        <v>34</v>
      </c>
      <c r="D2230" s="6" t="e">
        <v>#N/A</v>
      </c>
      <c r="E2230" s="6" t="e">
        <v>#N/A</v>
      </c>
      <c r="F2230" s="4"/>
      <c r="G2230" s="4"/>
      <c r="H2230" s="4"/>
      <c r="I2230" s="7" t="e">
        <v>#N/A</v>
      </c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</row>
    <row r="2231">
      <c r="A2231" s="5" t="s">
        <v>4424</v>
      </c>
      <c r="B2231" s="5" t="s">
        <v>4425</v>
      </c>
      <c r="C2231" s="4" t="s">
        <v>17</v>
      </c>
      <c r="D2231" s="6">
        <v>0.17</v>
      </c>
      <c r="E2231" s="6">
        <v>0.17</v>
      </c>
      <c r="F2231" s="4"/>
      <c r="G2231" s="7">
        <v>0.41</v>
      </c>
      <c r="H2231" s="7">
        <v>0.05</v>
      </c>
      <c r="I2231" s="7">
        <v>4.0235532E7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</row>
    <row r="2232">
      <c r="A2232" s="5" t="s">
        <v>4426</v>
      </c>
      <c r="B2232" s="5" t="s">
        <v>4427</v>
      </c>
      <c r="C2232" s="4" t="s">
        <v>86</v>
      </c>
      <c r="D2232" s="6">
        <v>1.27</v>
      </c>
      <c r="E2232" s="6">
        <v>1.24</v>
      </c>
      <c r="F2232" s="4"/>
      <c r="G2232" s="7">
        <v>2.19</v>
      </c>
      <c r="H2232" s="7">
        <v>0.18</v>
      </c>
      <c r="I2232" s="7">
        <v>1.40837134E8</v>
      </c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</row>
    <row r="2233">
      <c r="A2233" s="5" t="s">
        <v>4428</v>
      </c>
      <c r="B2233" s="5" t="s">
        <v>4429</v>
      </c>
      <c r="C2233" s="4" t="s">
        <v>961</v>
      </c>
      <c r="D2233" s="6" t="e">
        <v>#N/A</v>
      </c>
      <c r="E2233" s="6" t="e">
        <v>#N/A</v>
      </c>
      <c r="F2233" s="4"/>
      <c r="G2233" s="4"/>
      <c r="H2233" s="4"/>
      <c r="I2233" s="7" t="e">
        <v>#N/A</v>
      </c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</row>
    <row r="2234">
      <c r="A2234" s="5" t="s">
        <v>4430</v>
      </c>
      <c r="B2234" s="5" t="s">
        <v>4431</v>
      </c>
      <c r="C2234" s="4" t="s">
        <v>4432</v>
      </c>
      <c r="D2234" s="6">
        <v>0.07</v>
      </c>
      <c r="E2234" s="6">
        <v>0.07</v>
      </c>
      <c r="F2234" s="4"/>
      <c r="G2234" s="7">
        <v>0.12</v>
      </c>
      <c r="H2234" s="7">
        <v>0.06</v>
      </c>
      <c r="I2234" s="7">
        <v>2.838085E7</v>
      </c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</row>
    <row r="2235">
      <c r="A2235" s="5" t="s">
        <v>4433</v>
      </c>
      <c r="B2235" s="5" t="s">
        <v>4434</v>
      </c>
      <c r="C2235" s="4" t="s">
        <v>34</v>
      </c>
      <c r="D2235" s="6" t="e">
        <v>#N/A</v>
      </c>
      <c r="E2235" s="6" t="e">
        <v>#N/A</v>
      </c>
      <c r="F2235" s="4"/>
      <c r="G2235" s="4"/>
      <c r="H2235" s="4"/>
      <c r="I2235" s="7" t="e">
        <v>#N/A</v>
      </c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</row>
    <row r="2236">
      <c r="A2236" s="5" t="s">
        <v>4435</v>
      </c>
      <c r="B2236" s="5" t="s">
        <v>4436</v>
      </c>
      <c r="C2236" s="4" t="s">
        <v>68</v>
      </c>
      <c r="D2236" s="6">
        <v>0.08</v>
      </c>
      <c r="E2236" s="6">
        <v>0.09</v>
      </c>
      <c r="F2236" s="4"/>
      <c r="G2236" s="7">
        <v>0.16</v>
      </c>
      <c r="H2236" s="7">
        <v>0.08</v>
      </c>
      <c r="I2236" s="7">
        <v>1.09806058E8</v>
      </c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</row>
    <row r="2237">
      <c r="A2237" s="5" t="s">
        <v>4437</v>
      </c>
      <c r="B2237" s="5" t="s">
        <v>4438</v>
      </c>
      <c r="C2237" s="4" t="s">
        <v>121</v>
      </c>
      <c r="D2237" s="6">
        <v>6.01</v>
      </c>
      <c r="E2237" s="6">
        <v>5.95</v>
      </c>
      <c r="F2237" s="7">
        <v>20.43</v>
      </c>
      <c r="G2237" s="7">
        <v>6.05</v>
      </c>
      <c r="H2237" s="7">
        <v>3.55</v>
      </c>
      <c r="I2237" s="7">
        <v>4.974685736E9</v>
      </c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</row>
    <row r="2238">
      <c r="A2238" s="5" t="s">
        <v>4439</v>
      </c>
      <c r="B2238" s="5" t="s">
        <v>4440</v>
      </c>
      <c r="C2238" s="4" t="s">
        <v>394</v>
      </c>
      <c r="D2238" s="6">
        <v>0.14</v>
      </c>
      <c r="E2238" s="6">
        <v>0.14</v>
      </c>
      <c r="F2238" s="7">
        <v>17.26</v>
      </c>
      <c r="G2238" s="7">
        <v>0.2</v>
      </c>
      <c r="H2238" s="7">
        <v>0.1</v>
      </c>
      <c r="I2238" s="7">
        <v>1.3950225E7</v>
      </c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</row>
    <row r="2239">
      <c r="A2239" s="5" t="s">
        <v>4441</v>
      </c>
      <c r="B2239" s="5" t="s">
        <v>4442</v>
      </c>
      <c r="C2239" s="4" t="s">
        <v>14</v>
      </c>
      <c r="D2239" s="6">
        <v>0.03</v>
      </c>
      <c r="E2239" s="6">
        <v>0.03</v>
      </c>
      <c r="F2239" s="4"/>
      <c r="G2239" s="7">
        <v>0.08</v>
      </c>
      <c r="H2239" s="7">
        <v>0.01</v>
      </c>
      <c r="I2239" s="7">
        <v>7.6638506E7</v>
      </c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</row>
    <row r="2240">
      <c r="A2240" s="5" t="s">
        <v>4443</v>
      </c>
      <c r="B2240" s="5" t="s">
        <v>4444</v>
      </c>
      <c r="C2240" s="4" t="s">
        <v>26</v>
      </c>
      <c r="D2240" s="6">
        <v>0.02</v>
      </c>
      <c r="E2240" s="6">
        <v>0.02</v>
      </c>
      <c r="F2240" s="4"/>
      <c r="G2240" s="7">
        <v>0.05</v>
      </c>
      <c r="H2240" s="7">
        <v>0.01</v>
      </c>
      <c r="I2240" s="7">
        <v>1.3119049E7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</row>
    <row r="2241">
      <c r="A2241" s="5" t="s">
        <v>4443</v>
      </c>
      <c r="B2241" s="5" t="s">
        <v>4444</v>
      </c>
      <c r="C2241" s="4" t="s">
        <v>26</v>
      </c>
      <c r="D2241" s="6">
        <v>0.02</v>
      </c>
      <c r="E2241" s="6">
        <v>0.02</v>
      </c>
      <c r="F2241" s="4"/>
      <c r="G2241" s="7">
        <v>0.05</v>
      </c>
      <c r="H2241" s="7">
        <v>0.01</v>
      </c>
      <c r="I2241" s="7">
        <v>1.3119049E7</v>
      </c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>
      <c r="A2242" s="8" t="s">
        <v>4443</v>
      </c>
      <c r="B2242" s="8" t="s">
        <v>4444</v>
      </c>
      <c r="C2242" s="9" t="s">
        <v>26</v>
      </c>
      <c r="D2242" s="10">
        <v>0.02</v>
      </c>
      <c r="E2242" s="6">
        <v>0.02</v>
      </c>
      <c r="F2242" s="4"/>
      <c r="G2242" s="7">
        <v>0.05</v>
      </c>
      <c r="H2242" s="7">
        <v>0.01</v>
      </c>
      <c r="I2242" s="7">
        <v>1.3119049E7</v>
      </c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</row>
    <row r="2243">
      <c r="A2243" s="5" t="s">
        <v>4445</v>
      </c>
      <c r="B2243" s="5" t="s">
        <v>4446</v>
      </c>
      <c r="C2243" s="4" t="s">
        <v>37</v>
      </c>
      <c r="D2243" s="6">
        <v>0.01</v>
      </c>
      <c r="E2243" s="6">
        <v>0.01</v>
      </c>
      <c r="F2243" s="4"/>
      <c r="G2243" s="7">
        <v>0.01</v>
      </c>
      <c r="H2243" s="7">
        <v>0.0</v>
      </c>
      <c r="I2243" s="7">
        <v>6.2346877E7</v>
      </c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</row>
    <row r="2244">
      <c r="A2244" s="5" t="s">
        <v>4447</v>
      </c>
      <c r="B2244" s="5" t="s">
        <v>4448</v>
      </c>
      <c r="C2244" s="4" t="s">
        <v>17</v>
      </c>
      <c r="D2244" s="6">
        <v>0.02</v>
      </c>
      <c r="E2244" s="6">
        <v>0.02</v>
      </c>
      <c r="F2244" s="4"/>
      <c r="G2244" s="7">
        <v>0.03</v>
      </c>
      <c r="H2244" s="7">
        <v>0.01</v>
      </c>
      <c r="I2244" s="7">
        <v>6585821.0</v>
      </c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</row>
    <row r="2245">
      <c r="A2245" s="5" t="s">
        <v>4449</v>
      </c>
      <c r="B2245" s="5" t="s">
        <v>4450</v>
      </c>
      <c r="C2245" s="4" t="s">
        <v>159</v>
      </c>
      <c r="D2245" s="6">
        <v>0.07</v>
      </c>
      <c r="E2245" s="6">
        <v>0.07</v>
      </c>
      <c r="F2245" s="7">
        <v>20.28</v>
      </c>
      <c r="G2245" s="7">
        <v>0.08</v>
      </c>
      <c r="H2245" s="7">
        <v>0.04</v>
      </c>
      <c r="I2245" s="7">
        <v>4.114385E7</v>
      </c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</row>
    <row r="2246">
      <c r="A2246" s="5" t="s">
        <v>4451</v>
      </c>
      <c r="B2246" s="5" t="s">
        <v>4452</v>
      </c>
      <c r="C2246" s="4" t="s">
        <v>961</v>
      </c>
      <c r="D2246" s="6">
        <v>0.07</v>
      </c>
      <c r="E2246" s="6">
        <v>0.07</v>
      </c>
      <c r="F2246" s="4"/>
      <c r="G2246" s="7">
        <v>0.17</v>
      </c>
      <c r="H2246" s="7">
        <v>0.03</v>
      </c>
      <c r="I2246" s="7">
        <v>6.0064873E7</v>
      </c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>
      <c r="A2247" s="5" t="s">
        <v>4453</v>
      </c>
      <c r="B2247" s="5" t="s">
        <v>4454</v>
      </c>
      <c r="C2247" s="4" t="s">
        <v>210</v>
      </c>
      <c r="D2247" s="6">
        <v>6.88</v>
      </c>
      <c r="E2247" s="6">
        <v>6.94</v>
      </c>
      <c r="F2247" s="7">
        <v>67.26</v>
      </c>
      <c r="G2247" s="7">
        <v>8.4</v>
      </c>
      <c r="H2247" s="7">
        <v>5.2</v>
      </c>
      <c r="I2247" s="7">
        <v>1.008125728E9</v>
      </c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</row>
    <row r="2248">
      <c r="A2248" s="5" t="s">
        <v>4453</v>
      </c>
      <c r="B2248" s="5" t="s">
        <v>4454</v>
      </c>
      <c r="C2248" s="4" t="s">
        <v>210</v>
      </c>
      <c r="D2248" s="6">
        <v>6.88</v>
      </c>
      <c r="E2248" s="6">
        <v>6.94</v>
      </c>
      <c r="F2248" s="7">
        <v>67.26</v>
      </c>
      <c r="G2248" s="7">
        <v>8.4</v>
      </c>
      <c r="H2248" s="7">
        <v>5.2</v>
      </c>
      <c r="I2248" s="7">
        <v>1.008125728E9</v>
      </c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</row>
    <row r="2249">
      <c r="A2249" s="8" t="s">
        <v>4453</v>
      </c>
      <c r="B2249" s="8" t="s">
        <v>4454</v>
      </c>
      <c r="C2249" s="9" t="s">
        <v>210</v>
      </c>
      <c r="D2249" s="10">
        <v>6.88</v>
      </c>
      <c r="E2249" s="6">
        <v>6.94</v>
      </c>
      <c r="F2249" s="7">
        <v>67.26</v>
      </c>
      <c r="G2249" s="7">
        <v>8.4</v>
      </c>
      <c r="H2249" s="7">
        <v>5.2</v>
      </c>
      <c r="I2249" s="7">
        <v>1.008125728E9</v>
      </c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</row>
    <row r="2250">
      <c r="A2250" s="5" t="s">
        <v>4455</v>
      </c>
      <c r="B2250" s="5" t="s">
        <v>4456</v>
      </c>
      <c r="C2250" s="4" t="s">
        <v>34</v>
      </c>
      <c r="D2250" s="6">
        <v>77.21</v>
      </c>
      <c r="E2250" s="6">
        <v>78.21</v>
      </c>
      <c r="F2250" s="4"/>
      <c r="G2250" s="7">
        <v>81.0</v>
      </c>
      <c r="H2250" s="7">
        <v>55.0</v>
      </c>
      <c r="I2250" s="7" t="e">
        <v>#N/A</v>
      </c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</row>
    <row r="2251">
      <c r="A2251" s="5" t="s">
        <v>4457</v>
      </c>
      <c r="B2251" s="5" t="s">
        <v>4458</v>
      </c>
      <c r="C2251" s="4" t="s">
        <v>20</v>
      </c>
      <c r="D2251" s="6">
        <v>0.06</v>
      </c>
      <c r="E2251" s="6">
        <v>0.06</v>
      </c>
      <c r="F2251" s="4"/>
      <c r="G2251" s="7">
        <v>0.06</v>
      </c>
      <c r="H2251" s="7">
        <v>0.01</v>
      </c>
      <c r="I2251" s="7">
        <v>3.0193666E7</v>
      </c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</row>
    <row r="2252">
      <c r="A2252" s="5" t="s">
        <v>4459</v>
      </c>
      <c r="B2252" s="5" t="s">
        <v>4460</v>
      </c>
      <c r="C2252" s="4" t="s">
        <v>447</v>
      </c>
      <c r="D2252" s="6">
        <v>1.18</v>
      </c>
      <c r="E2252" s="6">
        <v>1.19</v>
      </c>
      <c r="F2252" s="4"/>
      <c r="G2252" s="7">
        <v>1.92</v>
      </c>
      <c r="H2252" s="7">
        <v>0.34</v>
      </c>
      <c r="I2252" s="7">
        <v>1.54745901E8</v>
      </c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</row>
    <row r="2253">
      <c r="A2253" s="5" t="s">
        <v>4461</v>
      </c>
      <c r="B2253" s="5" t="s">
        <v>4462</v>
      </c>
      <c r="C2253" s="4" t="s">
        <v>34</v>
      </c>
      <c r="D2253" s="6">
        <v>503.0</v>
      </c>
      <c r="E2253" s="6">
        <v>504.44</v>
      </c>
      <c r="F2253" s="4"/>
      <c r="G2253" s="7">
        <v>515.85</v>
      </c>
      <c r="H2253" s="7">
        <v>394.0</v>
      </c>
      <c r="I2253" s="7" t="s">
        <v>4463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</row>
    <row r="2254">
      <c r="A2254" s="5" t="s">
        <v>4464</v>
      </c>
      <c r="B2254" s="5" t="s">
        <v>4465</v>
      </c>
      <c r="C2254" s="4" t="s">
        <v>86</v>
      </c>
      <c r="D2254" s="6">
        <v>0.25</v>
      </c>
      <c r="E2254" s="6">
        <v>0.24</v>
      </c>
      <c r="F2254" s="4"/>
      <c r="G2254" s="7">
        <v>0.41</v>
      </c>
      <c r="H2254" s="7">
        <v>0.18</v>
      </c>
      <c r="I2254" s="7">
        <v>6.8734285E7</v>
      </c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>
      <c r="A2255" s="5" t="s">
        <v>4466</v>
      </c>
      <c r="B2255" s="5" t="s">
        <v>4467</v>
      </c>
      <c r="C2255" s="4" t="s">
        <v>37</v>
      </c>
      <c r="D2255" s="6">
        <v>4.4</v>
      </c>
      <c r="E2255" s="6">
        <v>4.41</v>
      </c>
      <c r="F2255" s="4"/>
      <c r="G2255" s="7">
        <v>7.43</v>
      </c>
      <c r="H2255" s="7">
        <v>3.32</v>
      </c>
      <c r="I2255" s="7">
        <v>2.102632005E9</v>
      </c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</row>
    <row r="2256">
      <c r="A2256" s="5" t="s">
        <v>4468</v>
      </c>
      <c r="B2256" s="5" t="s">
        <v>4469</v>
      </c>
      <c r="C2256" s="4" t="s">
        <v>668</v>
      </c>
      <c r="D2256" s="6">
        <v>1.64</v>
      </c>
      <c r="E2256" s="6">
        <v>1.66</v>
      </c>
      <c r="F2256" s="7">
        <v>31.96</v>
      </c>
      <c r="G2256" s="7">
        <v>1.88</v>
      </c>
      <c r="H2256" s="7">
        <v>1.17</v>
      </c>
      <c r="I2256" s="7">
        <v>1.60637947E8</v>
      </c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</row>
    <row r="2257">
      <c r="A2257" s="5" t="s">
        <v>4470</v>
      </c>
      <c r="B2257" s="5" t="s">
        <v>4471</v>
      </c>
      <c r="C2257" s="4" t="s">
        <v>34</v>
      </c>
      <c r="D2257" s="6" t="e">
        <v>#N/A</v>
      </c>
      <c r="E2257" s="6" t="e">
        <v>#N/A</v>
      </c>
      <c r="F2257" s="4"/>
      <c r="G2257" s="4"/>
      <c r="H2257" s="4"/>
      <c r="I2257" s="7" t="e">
        <v>#N/A</v>
      </c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</row>
    <row r="2258">
      <c r="A2258" s="5" t="s">
        <v>4472</v>
      </c>
      <c r="B2258" s="5" t="s">
        <v>4473</v>
      </c>
      <c r="C2258" s="4" t="s">
        <v>121</v>
      </c>
      <c r="D2258" s="6">
        <v>0.73</v>
      </c>
      <c r="E2258" s="6">
        <v>0.7</v>
      </c>
      <c r="F2258" s="7">
        <v>35.35</v>
      </c>
      <c r="G2258" s="7">
        <v>0.73</v>
      </c>
      <c r="H2258" s="7">
        <v>0.35</v>
      </c>
      <c r="I2258" s="7">
        <v>3.82397492E8</v>
      </c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</row>
    <row r="2259">
      <c r="A2259" s="5" t="s">
        <v>4474</v>
      </c>
      <c r="B2259" s="5" t="s">
        <v>4475</v>
      </c>
      <c r="C2259" s="4" t="s">
        <v>31</v>
      </c>
      <c r="D2259" s="6">
        <v>0.1</v>
      </c>
      <c r="E2259" s="6">
        <v>0.1</v>
      </c>
      <c r="F2259" s="4"/>
      <c r="G2259" s="7">
        <v>0.12</v>
      </c>
      <c r="H2259" s="7">
        <v>0.05</v>
      </c>
      <c r="I2259" s="7">
        <v>2.218072E7</v>
      </c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>
      <c r="A2260" s="5" t="s">
        <v>4476</v>
      </c>
      <c r="B2260" s="5" t="s">
        <v>4477</v>
      </c>
      <c r="C2260" s="4" t="s">
        <v>17</v>
      </c>
      <c r="D2260" s="6">
        <v>19.2</v>
      </c>
      <c r="E2260" s="6">
        <v>19.77</v>
      </c>
      <c r="F2260" s="4"/>
      <c r="G2260" s="7">
        <v>22.28</v>
      </c>
      <c r="H2260" s="7">
        <v>9.8</v>
      </c>
      <c r="I2260" s="7">
        <v>1.425923768E9</v>
      </c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</row>
    <row r="2261">
      <c r="A2261" s="5" t="s">
        <v>4478</v>
      </c>
      <c r="B2261" s="5" t="s">
        <v>4479</v>
      </c>
      <c r="C2261" s="4" t="s">
        <v>169</v>
      </c>
      <c r="D2261" s="6">
        <v>1.0</v>
      </c>
      <c r="E2261" s="6">
        <v>1.0</v>
      </c>
      <c r="F2261" s="7">
        <v>10.29</v>
      </c>
      <c r="G2261" s="7">
        <v>1.06</v>
      </c>
      <c r="H2261" s="7">
        <v>0.77</v>
      </c>
      <c r="I2261" s="7">
        <v>7.717138E7</v>
      </c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>
      <c r="A2262" s="5" t="s">
        <v>4480</v>
      </c>
      <c r="B2262" s="5" t="s">
        <v>4481</v>
      </c>
      <c r="C2262" s="4" t="s">
        <v>86</v>
      </c>
      <c r="D2262" s="6">
        <v>3.07</v>
      </c>
      <c r="E2262" s="6">
        <v>3.0</v>
      </c>
      <c r="F2262" s="7">
        <v>10.72</v>
      </c>
      <c r="G2262" s="7">
        <v>3.2</v>
      </c>
      <c r="H2262" s="7">
        <v>1.43</v>
      </c>
      <c r="I2262" s="7">
        <v>3.506949953E9</v>
      </c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>
      <c r="A2263" s="5" t="s">
        <v>4482</v>
      </c>
      <c r="B2263" s="5" t="s">
        <v>4483</v>
      </c>
      <c r="C2263" s="4" t="s">
        <v>169</v>
      </c>
      <c r="D2263" s="6">
        <v>0.59</v>
      </c>
      <c r="E2263" s="6">
        <v>0.59</v>
      </c>
      <c r="F2263" s="7">
        <v>46.09</v>
      </c>
      <c r="G2263" s="7">
        <v>0.61</v>
      </c>
      <c r="H2263" s="7">
        <v>0.3</v>
      </c>
      <c r="I2263" s="7">
        <v>4.387535E7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</row>
    <row r="2264">
      <c r="A2264" s="4" t="s">
        <v>4484</v>
      </c>
      <c r="B2264" s="4" t="s">
        <v>4485</v>
      </c>
      <c r="C2264" s="4" t="s">
        <v>961</v>
      </c>
      <c r="D2264" s="6">
        <v>0.02</v>
      </c>
      <c r="E2264" s="6">
        <v>0.03</v>
      </c>
      <c r="F2264" s="4"/>
      <c r="G2264" s="7">
        <v>0.09</v>
      </c>
      <c r="H2264" s="7">
        <v>0.02</v>
      </c>
      <c r="I2264" s="7">
        <v>1.3963567E7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>
      <c r="A2265" s="4" t="s">
        <v>4486</v>
      </c>
      <c r="B2265" s="4" t="s">
        <v>4487</v>
      </c>
      <c r="C2265" s="4" t="s">
        <v>169</v>
      </c>
      <c r="D2265" s="6">
        <v>1.81</v>
      </c>
      <c r="E2265" s="6">
        <v>1.8</v>
      </c>
      <c r="F2265" s="7">
        <v>9.2</v>
      </c>
      <c r="G2265" s="7">
        <v>1.93</v>
      </c>
      <c r="H2265" s="7">
        <v>1.49</v>
      </c>
      <c r="I2265" s="7">
        <v>2.03755975E9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>
      <c r="A2266" s="4" t="s">
        <v>4488</v>
      </c>
      <c r="B2266" s="4" t="s">
        <v>4489</v>
      </c>
      <c r="C2266" s="4" t="s">
        <v>169</v>
      </c>
      <c r="D2266" s="6">
        <v>1.14</v>
      </c>
      <c r="E2266" s="6">
        <v>1.15</v>
      </c>
      <c r="F2266" s="7">
        <v>17.85</v>
      </c>
      <c r="G2266" s="7">
        <v>1.16</v>
      </c>
      <c r="H2266" s="7">
        <v>1.0</v>
      </c>
      <c r="I2266" s="7">
        <v>2.04450561E8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</row>
    <row r="2267">
      <c r="A2267" s="4" t="s">
        <v>4490</v>
      </c>
      <c r="B2267" s="4" t="s">
        <v>4491</v>
      </c>
      <c r="C2267" s="4" t="s">
        <v>20</v>
      </c>
      <c r="D2267" s="6">
        <v>4.92</v>
      </c>
      <c r="E2267" s="6">
        <v>5.07</v>
      </c>
      <c r="F2267" s="7">
        <v>18.08</v>
      </c>
      <c r="G2267" s="7">
        <v>8.0</v>
      </c>
      <c r="H2267" s="7">
        <v>4.75</v>
      </c>
      <c r="I2267" s="7">
        <v>1.73006587E8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</row>
    <row r="2268">
      <c r="A2268" s="4" t="s">
        <v>4492</v>
      </c>
      <c r="B2268" s="4" t="s">
        <v>4493</v>
      </c>
      <c r="C2268" s="4" t="s">
        <v>138</v>
      </c>
      <c r="D2268" s="6">
        <v>1.21</v>
      </c>
      <c r="E2268" s="6">
        <v>1.23</v>
      </c>
      <c r="F2268" s="7">
        <v>8.73</v>
      </c>
      <c r="G2268" s="7">
        <v>1.36</v>
      </c>
      <c r="H2268" s="7">
        <v>1.11</v>
      </c>
      <c r="I2268" s="7">
        <v>2.51205566E8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>
      <c r="A2269" s="4" t="s">
        <v>4494</v>
      </c>
      <c r="B2269" s="4" t="s">
        <v>4495</v>
      </c>
      <c r="C2269" s="4" t="s">
        <v>411</v>
      </c>
      <c r="D2269" s="6">
        <v>38.95</v>
      </c>
      <c r="E2269" s="6">
        <v>38.6</v>
      </c>
      <c r="F2269" s="7">
        <v>19.55</v>
      </c>
      <c r="G2269" s="7">
        <v>41.0</v>
      </c>
      <c r="H2269" s="7">
        <v>28.44</v>
      </c>
      <c r="I2269" s="7" t="s">
        <v>4496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>
      <c r="A2270" s="4" t="s">
        <v>4497</v>
      </c>
      <c r="B2270" s="4" t="s">
        <v>4498</v>
      </c>
      <c r="C2270" s="4" t="s">
        <v>34</v>
      </c>
      <c r="D2270" s="6">
        <v>50.23</v>
      </c>
      <c r="E2270" s="6">
        <v>50.8</v>
      </c>
      <c r="F2270" s="4"/>
      <c r="G2270" s="7">
        <v>50.91</v>
      </c>
      <c r="H2270" s="7">
        <v>50.05</v>
      </c>
      <c r="I2270" s="7" t="e">
        <v>#N/A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</row>
    <row r="2271">
      <c r="A2271" s="4" t="s">
        <v>4499</v>
      </c>
      <c r="B2271" s="4" t="s">
        <v>4500</v>
      </c>
      <c r="C2271" s="4" t="s">
        <v>328</v>
      </c>
      <c r="D2271" s="6">
        <v>4.83</v>
      </c>
      <c r="E2271" s="6">
        <v>5.06</v>
      </c>
      <c r="F2271" s="4"/>
      <c r="G2271" s="7">
        <v>5.9</v>
      </c>
      <c r="H2271" s="7">
        <v>1.38</v>
      </c>
      <c r="I2271" s="7">
        <v>1.012619627E9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>
      <c r="A2272" s="4" t="s">
        <v>4501</v>
      </c>
      <c r="B2272" s="4" t="s">
        <v>4502</v>
      </c>
      <c r="C2272" s="4" t="s">
        <v>17</v>
      </c>
      <c r="D2272" s="6">
        <v>0.02</v>
      </c>
      <c r="E2272" s="6">
        <v>0.02</v>
      </c>
      <c r="F2272" s="4"/>
      <c r="G2272" s="7">
        <v>0.05</v>
      </c>
      <c r="H2272" s="7">
        <v>0.01</v>
      </c>
      <c r="I2272" s="7">
        <v>6391333.0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</row>
    <row r="2273">
      <c r="A2273" s="4" t="s">
        <v>4503</v>
      </c>
      <c r="B2273" s="4" t="s">
        <v>4504</v>
      </c>
      <c r="C2273" s="4" t="s">
        <v>37</v>
      </c>
      <c r="D2273" s="6">
        <v>0.38</v>
      </c>
      <c r="E2273" s="6">
        <v>0.37</v>
      </c>
      <c r="F2273" s="4"/>
      <c r="G2273" s="7">
        <v>0.39</v>
      </c>
      <c r="H2273" s="7">
        <v>0.13</v>
      </c>
      <c r="I2273" s="7">
        <v>5.00677125E8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</row>
    <row r="2274">
      <c r="A2274" s="4" t="s">
        <v>4505</v>
      </c>
      <c r="B2274" s="4" t="s">
        <v>4506</v>
      </c>
      <c r="C2274" s="4" t="s">
        <v>17</v>
      </c>
      <c r="D2274" s="6">
        <v>0.25</v>
      </c>
      <c r="E2274" s="6">
        <v>0.23</v>
      </c>
      <c r="F2274" s="4"/>
      <c r="G2274" s="7">
        <v>0.29</v>
      </c>
      <c r="H2274" s="7">
        <v>0.05</v>
      </c>
      <c r="I2274" s="7">
        <v>8.16518E7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</row>
    <row r="2275">
      <c r="A2275" s="4" t="s">
        <v>4507</v>
      </c>
      <c r="B2275" s="4" t="s">
        <v>4508</v>
      </c>
      <c r="C2275" s="4" t="s">
        <v>34</v>
      </c>
      <c r="D2275" s="6" t="e">
        <v>#N/A</v>
      </c>
      <c r="E2275" s="6" t="e">
        <v>#N/A</v>
      </c>
      <c r="F2275" s="4"/>
      <c r="G2275" s="4"/>
      <c r="H2275" s="4"/>
      <c r="I2275" s="7" t="e">
        <v>#N/A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>
      <c r="A2276" s="4" t="s">
        <v>4509</v>
      </c>
      <c r="B2276" s="4" t="s">
        <v>4510</v>
      </c>
      <c r="C2276" s="4" t="s">
        <v>17</v>
      </c>
      <c r="D2276" s="6">
        <v>0.02</v>
      </c>
      <c r="E2276" s="6">
        <v>0.02</v>
      </c>
      <c r="F2276" s="4"/>
      <c r="G2276" s="7">
        <v>0.04</v>
      </c>
      <c r="H2276" s="7">
        <v>0.01</v>
      </c>
      <c r="I2276" s="7">
        <v>4.351699E7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</row>
    <row r="2277">
      <c r="A2277" s="4" t="s">
        <v>4511</v>
      </c>
      <c r="B2277" s="4" t="s">
        <v>4512</v>
      </c>
      <c r="C2277" s="4" t="s">
        <v>34</v>
      </c>
      <c r="D2277" s="6">
        <v>21.8</v>
      </c>
      <c r="E2277" s="6">
        <v>21.81</v>
      </c>
      <c r="F2277" s="4"/>
      <c r="G2277" s="7">
        <v>22.49</v>
      </c>
      <c r="H2277" s="7">
        <v>19.46</v>
      </c>
      <c r="I2277" s="7" t="e">
        <v>#N/A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</row>
    <row r="2278">
      <c r="A2278" s="4" t="s">
        <v>4513</v>
      </c>
      <c r="B2278" s="4" t="s">
        <v>4514</v>
      </c>
      <c r="C2278" s="4" t="s">
        <v>34</v>
      </c>
      <c r="D2278" s="6">
        <v>53.31</v>
      </c>
      <c r="E2278" s="6">
        <v>53.34</v>
      </c>
      <c r="F2278" s="4"/>
      <c r="G2278" s="7">
        <v>53.93</v>
      </c>
      <c r="H2278" s="7">
        <v>42.67</v>
      </c>
      <c r="I2278" s="7" t="e">
        <v>#N/A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</row>
    <row r="2279">
      <c r="A2279" s="4" t="s">
        <v>4515</v>
      </c>
      <c r="B2279" s="4" t="s">
        <v>4516</v>
      </c>
      <c r="C2279" s="4" t="s">
        <v>76</v>
      </c>
      <c r="D2279" s="6">
        <v>23.66</v>
      </c>
      <c r="E2279" s="6">
        <v>23.59</v>
      </c>
      <c r="F2279" s="7">
        <v>10.26</v>
      </c>
      <c r="G2279" s="7">
        <v>27.3</v>
      </c>
      <c r="H2279" s="7">
        <v>18.61</v>
      </c>
      <c r="I2279" s="7">
        <v>3.068962255E10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</row>
    <row r="2280">
      <c r="A2280" s="4" t="s">
        <v>4517</v>
      </c>
      <c r="B2280" s="4" t="s">
        <v>4518</v>
      </c>
      <c r="C2280" s="4" t="s">
        <v>668</v>
      </c>
      <c r="D2280" s="6">
        <v>4.8</v>
      </c>
      <c r="E2280" s="6">
        <v>4.78</v>
      </c>
      <c r="F2280" s="7">
        <v>1052.63</v>
      </c>
      <c r="G2280" s="7">
        <v>5.49</v>
      </c>
      <c r="H2280" s="7">
        <v>3.76</v>
      </c>
      <c r="I2280" s="7">
        <v>1.734434468E9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>
      <c r="A2281" s="4" t="s">
        <v>4519</v>
      </c>
      <c r="B2281" s="4" t="s">
        <v>4520</v>
      </c>
      <c r="C2281" s="4" t="s">
        <v>312</v>
      </c>
      <c r="D2281" s="6">
        <v>0.03</v>
      </c>
      <c r="E2281" s="6">
        <v>0.03</v>
      </c>
      <c r="F2281" s="4"/>
      <c r="G2281" s="7">
        <v>0.04</v>
      </c>
      <c r="H2281" s="7">
        <v>0.03</v>
      </c>
      <c r="I2281" s="7">
        <v>1.23609E7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>
      <c r="A2282" s="4" t="s">
        <v>4521</v>
      </c>
      <c r="B2282" s="4" t="s">
        <v>4522</v>
      </c>
      <c r="C2282" s="4" t="s">
        <v>76</v>
      </c>
      <c r="D2282" s="6">
        <v>0.0</v>
      </c>
      <c r="E2282" s="6">
        <v>0.0</v>
      </c>
      <c r="F2282" s="4"/>
      <c r="G2282" s="7">
        <v>0.0</v>
      </c>
      <c r="H2282" s="7">
        <v>0.0</v>
      </c>
      <c r="I2282" s="7">
        <v>1568020.0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>
      <c r="A2283" s="4" t="s">
        <v>4523</v>
      </c>
      <c r="B2283" s="4" t="s">
        <v>4524</v>
      </c>
      <c r="C2283" s="4" t="s">
        <v>34</v>
      </c>
      <c r="D2283" s="6">
        <v>29.66</v>
      </c>
      <c r="E2283" s="6">
        <v>29.38</v>
      </c>
      <c r="F2283" s="4"/>
      <c r="G2283" s="7">
        <v>30.66</v>
      </c>
      <c r="H2283" s="7">
        <v>24.59</v>
      </c>
      <c r="I2283" s="7" t="e">
        <v>#N/A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</row>
    <row r="2284">
      <c r="A2284" s="4" t="s">
        <v>4525</v>
      </c>
      <c r="B2284" s="4" t="s">
        <v>4526</v>
      </c>
      <c r="C2284" s="4" t="s">
        <v>151</v>
      </c>
      <c r="D2284" s="6">
        <v>81.72</v>
      </c>
      <c r="E2284" s="6">
        <v>81.09</v>
      </c>
      <c r="F2284" s="7">
        <v>31.67</v>
      </c>
      <c r="G2284" s="7">
        <v>95.18</v>
      </c>
      <c r="H2284" s="7">
        <v>67.7</v>
      </c>
      <c r="I2284" s="7">
        <v>9.2717225224E10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>
      <c r="A2285" s="4" t="s">
        <v>4527</v>
      </c>
      <c r="B2285" s="4" t="s">
        <v>4528</v>
      </c>
      <c r="C2285" s="4" t="s">
        <v>169</v>
      </c>
      <c r="D2285" s="6">
        <v>2.48</v>
      </c>
      <c r="E2285" s="6">
        <v>2.47</v>
      </c>
      <c r="F2285" s="7">
        <v>8.54</v>
      </c>
      <c r="G2285" s="7">
        <v>2.64</v>
      </c>
      <c r="H2285" s="7">
        <v>2.07</v>
      </c>
      <c r="I2285" s="7">
        <v>8.89357518E8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>
      <c r="A2286" s="4" t="s">
        <v>4529</v>
      </c>
      <c r="B2286" s="4" t="s">
        <v>4530</v>
      </c>
      <c r="C2286" s="4" t="s">
        <v>961</v>
      </c>
      <c r="D2286" s="6">
        <v>3.59</v>
      </c>
      <c r="E2286" s="6">
        <v>3.59</v>
      </c>
      <c r="F2286" s="7">
        <v>30.44</v>
      </c>
      <c r="G2286" s="7">
        <v>3.79</v>
      </c>
      <c r="H2286" s="7">
        <v>1.35</v>
      </c>
      <c r="I2286" s="7">
        <v>7.17008424E8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>
      <c r="A2287" s="4" t="s">
        <v>4531</v>
      </c>
      <c r="B2287" s="4" t="s">
        <v>4532</v>
      </c>
      <c r="C2287" s="4" t="s">
        <v>86</v>
      </c>
      <c r="D2287" s="6">
        <v>0.19</v>
      </c>
      <c r="E2287" s="6">
        <v>0.19</v>
      </c>
      <c r="F2287" s="4"/>
      <c r="G2287" s="7">
        <v>0.21</v>
      </c>
      <c r="H2287" s="7">
        <v>0.03</v>
      </c>
      <c r="I2287" s="7">
        <v>5.3957168E7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>
      <c r="A2288" s="4" t="s">
        <v>4533</v>
      </c>
      <c r="B2288" s="4" t="s">
        <v>4534</v>
      </c>
      <c r="C2288" s="4" t="s">
        <v>86</v>
      </c>
      <c r="D2288" s="6">
        <v>6.45</v>
      </c>
      <c r="E2288" s="6">
        <v>6.44</v>
      </c>
      <c r="F2288" s="7">
        <v>169.42</v>
      </c>
      <c r="G2288" s="7">
        <v>6.67</v>
      </c>
      <c r="H2288" s="7">
        <v>2.21</v>
      </c>
      <c r="I2288" s="7">
        <v>6.094162994E9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>
      <c r="A2289" s="4" t="s">
        <v>4535</v>
      </c>
      <c r="B2289" s="4" t="s">
        <v>4536</v>
      </c>
      <c r="C2289" s="4" t="s">
        <v>312</v>
      </c>
      <c r="D2289" s="6">
        <v>7.81</v>
      </c>
      <c r="E2289" s="6">
        <v>7.75</v>
      </c>
      <c r="F2289" s="7">
        <v>9.75</v>
      </c>
      <c r="G2289" s="7">
        <v>8.03</v>
      </c>
      <c r="H2289" s="7">
        <v>4.26</v>
      </c>
      <c r="I2289" s="7">
        <v>6.466612005E9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>
      <c r="A2290" s="4" t="s">
        <v>4537</v>
      </c>
      <c r="B2290" s="4" t="s">
        <v>4538</v>
      </c>
      <c r="C2290" s="4" t="s">
        <v>81</v>
      </c>
      <c r="D2290" s="6">
        <v>5.44</v>
      </c>
      <c r="E2290" s="6">
        <v>5.42</v>
      </c>
      <c r="F2290" s="7">
        <v>29.66</v>
      </c>
      <c r="G2290" s="7">
        <v>5.97</v>
      </c>
      <c r="H2290" s="7">
        <v>5.16</v>
      </c>
      <c r="I2290" s="7">
        <v>6.57422374E8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>
      <c r="A2291" s="4" t="s">
        <v>4539</v>
      </c>
      <c r="B2291" s="4" t="s">
        <v>4540</v>
      </c>
      <c r="C2291" s="4" t="s">
        <v>169</v>
      </c>
      <c r="D2291" s="6">
        <v>1.4</v>
      </c>
      <c r="E2291" s="6">
        <v>1.4</v>
      </c>
      <c r="F2291" s="4"/>
      <c r="G2291" s="7">
        <v>1.58</v>
      </c>
      <c r="H2291" s="7">
        <v>1.18</v>
      </c>
      <c r="I2291" s="7" t="e">
        <v>#N/A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>
      <c r="A2292" s="4" t="s">
        <v>4541</v>
      </c>
      <c r="B2292" s="4" t="s">
        <v>4542</v>
      </c>
      <c r="C2292" s="4" t="s">
        <v>14</v>
      </c>
      <c r="D2292" s="6">
        <v>0.01</v>
      </c>
      <c r="E2292" s="6">
        <v>0.01</v>
      </c>
      <c r="F2292" s="4"/>
      <c r="G2292" s="7">
        <v>0.03</v>
      </c>
      <c r="H2292" s="7">
        <v>0.01</v>
      </c>
      <c r="I2292" s="7">
        <v>5858704.0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>
      <c r="A2293" s="4" t="s">
        <v>4543</v>
      </c>
      <c r="B2293" s="4" t="s">
        <v>4544</v>
      </c>
      <c r="C2293" s="4" t="s">
        <v>86</v>
      </c>
      <c r="D2293" s="6">
        <v>0.49</v>
      </c>
      <c r="E2293" s="6">
        <v>0.49</v>
      </c>
      <c r="F2293" s="4"/>
      <c r="G2293" s="7">
        <v>0.55</v>
      </c>
      <c r="H2293" s="7">
        <v>0.12</v>
      </c>
      <c r="I2293" s="7">
        <v>7.08343975E8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>
      <c r="A2294" s="4" t="s">
        <v>4545</v>
      </c>
      <c r="B2294" s="4" t="s">
        <v>4546</v>
      </c>
      <c r="C2294" s="4" t="s">
        <v>37</v>
      </c>
      <c r="D2294" s="6">
        <v>0.03</v>
      </c>
      <c r="E2294" s="6">
        <v>0.03</v>
      </c>
      <c r="F2294" s="4"/>
      <c r="G2294" s="7">
        <v>0.07</v>
      </c>
      <c r="H2294" s="7">
        <v>0.01</v>
      </c>
      <c r="I2294" s="7">
        <v>3.3026602E7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>
      <c r="A2295" s="4" t="s">
        <v>4547</v>
      </c>
      <c r="B2295" s="4" t="s">
        <v>4548</v>
      </c>
      <c r="C2295" s="4" t="s">
        <v>34</v>
      </c>
      <c r="D2295" s="6">
        <v>22.25</v>
      </c>
      <c r="E2295" s="6">
        <v>22.2</v>
      </c>
      <c r="F2295" s="4"/>
      <c r="G2295" s="7">
        <v>23.96</v>
      </c>
      <c r="H2295" s="7">
        <v>9.96</v>
      </c>
      <c r="I2295" s="7" t="e">
        <v>#N/A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>
      <c r="A2296" s="4" t="s">
        <v>4549</v>
      </c>
      <c r="B2296" s="4" t="s">
        <v>4550</v>
      </c>
      <c r="C2296" s="4" t="s">
        <v>668</v>
      </c>
      <c r="D2296" s="6">
        <v>0.88</v>
      </c>
      <c r="E2296" s="6">
        <v>0.88</v>
      </c>
      <c r="F2296" s="7">
        <v>72.37</v>
      </c>
      <c r="G2296" s="7">
        <v>1.0</v>
      </c>
      <c r="H2296" s="7">
        <v>0.46</v>
      </c>
      <c r="I2296" s="7">
        <v>3.43464012E8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</row>
    <row r="2297">
      <c r="A2297" s="4" t="s">
        <v>4551</v>
      </c>
      <c r="B2297" s="4" t="s">
        <v>4552</v>
      </c>
      <c r="C2297" s="4" t="s">
        <v>169</v>
      </c>
      <c r="D2297" s="6">
        <v>1.32</v>
      </c>
      <c r="E2297" s="6">
        <v>1.32</v>
      </c>
      <c r="F2297" s="7">
        <v>28.23</v>
      </c>
      <c r="G2297" s="7">
        <v>1.43</v>
      </c>
      <c r="H2297" s="7">
        <v>1.14</v>
      </c>
      <c r="I2297" s="7">
        <v>1.810539791E9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</row>
    <row r="2298">
      <c r="A2298" s="4" t="s">
        <v>4553</v>
      </c>
      <c r="B2298" s="4" t="s">
        <v>4554</v>
      </c>
      <c r="C2298" s="4" t="s">
        <v>169</v>
      </c>
      <c r="D2298" s="6">
        <v>1.02</v>
      </c>
      <c r="E2298" s="6">
        <v>1.01</v>
      </c>
      <c r="F2298" s="7">
        <v>32.25</v>
      </c>
      <c r="G2298" s="7">
        <v>1.06</v>
      </c>
      <c r="H2298" s="7">
        <v>0.86</v>
      </c>
      <c r="I2298" s="7">
        <v>2.02914837E8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>
      <c r="A2299" s="4" t="s">
        <v>4555</v>
      </c>
      <c r="B2299" s="4" t="s">
        <v>4556</v>
      </c>
      <c r="C2299" s="4" t="s">
        <v>86</v>
      </c>
      <c r="D2299" s="6">
        <v>0.24</v>
      </c>
      <c r="E2299" s="6">
        <v>0.24</v>
      </c>
      <c r="F2299" s="4"/>
      <c r="G2299" s="7">
        <v>0.3</v>
      </c>
      <c r="H2299" s="7">
        <v>0.09</v>
      </c>
      <c r="I2299" s="7">
        <v>2.7299591E7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>
      <c r="A2300" s="4" t="s">
        <v>4557</v>
      </c>
      <c r="B2300" s="4" t="s">
        <v>4558</v>
      </c>
      <c r="C2300" s="4" t="s">
        <v>169</v>
      </c>
      <c r="D2300" s="6">
        <v>1.62</v>
      </c>
      <c r="E2300" s="6">
        <v>1.61</v>
      </c>
      <c r="F2300" s="7">
        <v>10.3</v>
      </c>
      <c r="G2300" s="7">
        <v>1.85</v>
      </c>
      <c r="H2300" s="7">
        <v>1.39</v>
      </c>
      <c r="I2300" s="7">
        <v>4.5252058E8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>
      <c r="A2301" s="4" t="s">
        <v>4559</v>
      </c>
      <c r="B2301" s="4" t="s">
        <v>4560</v>
      </c>
      <c r="C2301" s="4" t="s">
        <v>169</v>
      </c>
      <c r="D2301" s="6">
        <v>1.61</v>
      </c>
      <c r="E2301" s="6">
        <v>1.6</v>
      </c>
      <c r="F2301" s="4"/>
      <c r="G2301" s="7">
        <v>1.71</v>
      </c>
      <c r="H2301" s="7">
        <v>1.52</v>
      </c>
      <c r="I2301" s="7">
        <v>2.52740797E8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>
      <c r="A2302" s="4" t="s">
        <v>4561</v>
      </c>
      <c r="B2302" s="4" t="s">
        <v>4562</v>
      </c>
      <c r="C2302" s="4" t="s">
        <v>126</v>
      </c>
      <c r="D2302" s="6">
        <v>0.01</v>
      </c>
      <c r="E2302" s="6">
        <v>0.01</v>
      </c>
      <c r="F2302" s="4"/>
      <c r="G2302" s="7">
        <v>0.01</v>
      </c>
      <c r="H2302" s="7">
        <v>0.01</v>
      </c>
      <c r="I2302" s="7">
        <v>860160.0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>
      <c r="A2303" s="4" t="s">
        <v>4563</v>
      </c>
      <c r="B2303" s="4" t="s">
        <v>4564</v>
      </c>
      <c r="C2303" s="4" t="s">
        <v>397</v>
      </c>
      <c r="D2303" s="6">
        <v>0.09</v>
      </c>
      <c r="E2303" s="6">
        <v>0.09</v>
      </c>
      <c r="F2303" s="4"/>
      <c r="G2303" s="7">
        <v>0.83</v>
      </c>
      <c r="H2303" s="7">
        <v>0.09</v>
      </c>
      <c r="I2303" s="7">
        <v>6721938.0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>
      <c r="A2304" s="4" t="s">
        <v>4565</v>
      </c>
      <c r="B2304" s="4" t="s">
        <v>4566</v>
      </c>
      <c r="C2304" s="4" t="s">
        <v>96</v>
      </c>
      <c r="D2304" s="6">
        <v>0.02</v>
      </c>
      <c r="E2304" s="6">
        <v>0.02</v>
      </c>
      <c r="F2304" s="4"/>
      <c r="G2304" s="7">
        <v>0.04</v>
      </c>
      <c r="H2304" s="7">
        <v>0.0</v>
      </c>
      <c r="I2304" s="7">
        <v>1.119104E7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>
      <c r="A2305" s="4" t="s">
        <v>4567</v>
      </c>
      <c r="B2305" s="4" t="s">
        <v>4568</v>
      </c>
      <c r="C2305" s="4" t="s">
        <v>121</v>
      </c>
      <c r="D2305" s="6">
        <v>12.55</v>
      </c>
      <c r="E2305" s="6">
        <v>12.57</v>
      </c>
      <c r="F2305" s="7">
        <v>16.29</v>
      </c>
      <c r="G2305" s="7">
        <v>15.81</v>
      </c>
      <c r="H2305" s="7">
        <v>11.07</v>
      </c>
      <c r="I2305" s="7">
        <v>6.392385267E9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>
      <c r="A2306" s="4" t="s">
        <v>4569</v>
      </c>
      <c r="B2306" s="4" t="s">
        <v>4570</v>
      </c>
      <c r="C2306" s="4" t="s">
        <v>416</v>
      </c>
      <c r="D2306" s="6">
        <v>0.57</v>
      </c>
      <c r="E2306" s="6">
        <v>0.57</v>
      </c>
      <c r="F2306" s="4"/>
      <c r="G2306" s="7">
        <v>0.83</v>
      </c>
      <c r="H2306" s="7">
        <v>0.45</v>
      </c>
      <c r="I2306" s="7">
        <v>9.220026E7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>
      <c r="A2307" s="4" t="s">
        <v>4571</v>
      </c>
      <c r="B2307" s="4" t="s">
        <v>4572</v>
      </c>
      <c r="C2307" s="4" t="s">
        <v>578</v>
      </c>
      <c r="D2307" s="6">
        <v>29.43</v>
      </c>
      <c r="E2307" s="6">
        <v>29.38</v>
      </c>
      <c r="F2307" s="7">
        <v>37.55</v>
      </c>
      <c r="G2307" s="7">
        <v>33.76</v>
      </c>
      <c r="H2307" s="7">
        <v>25.51</v>
      </c>
      <c r="I2307" s="7">
        <v>3.5951658942E10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>
      <c r="A2308" s="4" t="s">
        <v>4573</v>
      </c>
      <c r="B2308" s="4" t="s">
        <v>4574</v>
      </c>
      <c r="C2308" s="4" t="s">
        <v>416</v>
      </c>
      <c r="D2308" s="6">
        <v>2.54</v>
      </c>
      <c r="E2308" s="6">
        <v>2.55</v>
      </c>
      <c r="F2308" s="7">
        <v>9.72</v>
      </c>
      <c r="G2308" s="7">
        <v>2.82</v>
      </c>
      <c r="H2308" s="7">
        <v>2.31</v>
      </c>
      <c r="I2308" s="7">
        <v>1.658453605E9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>
      <c r="A2309" s="4" t="s">
        <v>4575</v>
      </c>
      <c r="B2309" s="4" t="s">
        <v>4576</v>
      </c>
      <c r="C2309" s="4" t="s">
        <v>169</v>
      </c>
      <c r="D2309" s="6">
        <v>1.98</v>
      </c>
      <c r="E2309" s="6">
        <v>2.0</v>
      </c>
      <c r="F2309" s="7">
        <v>5.91</v>
      </c>
      <c r="G2309" s="7">
        <v>2.17</v>
      </c>
      <c r="H2309" s="7">
        <v>1.43</v>
      </c>
      <c r="I2309" s="7">
        <v>4.48737304E8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>
      <c r="A2310" s="4" t="s">
        <v>4577</v>
      </c>
      <c r="B2310" s="4" t="s">
        <v>4578</v>
      </c>
      <c r="C2310" s="4" t="s">
        <v>37</v>
      </c>
      <c r="D2310" s="6">
        <v>0.46</v>
      </c>
      <c r="E2310" s="6">
        <v>0.46</v>
      </c>
      <c r="F2310" s="4"/>
      <c r="G2310" s="7">
        <v>0.51</v>
      </c>
      <c r="H2310" s="7">
        <v>0.12</v>
      </c>
      <c r="I2310" s="7">
        <v>1.11005625E8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>
      <c r="A2311" s="4" t="s">
        <v>4577</v>
      </c>
      <c r="B2311" s="4" t="s">
        <v>4578</v>
      </c>
      <c r="C2311" s="4" t="s">
        <v>37</v>
      </c>
      <c r="D2311" s="6">
        <v>0.46</v>
      </c>
      <c r="E2311" s="6">
        <v>0.46</v>
      </c>
      <c r="F2311" s="4"/>
      <c r="G2311" s="7">
        <v>0.51</v>
      </c>
      <c r="H2311" s="7">
        <v>0.12</v>
      </c>
      <c r="I2311" s="7">
        <v>1.11005625E8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>
      <c r="A2312" s="4" t="s">
        <v>4579</v>
      </c>
      <c r="B2312" s="4" t="s">
        <v>4580</v>
      </c>
      <c r="C2312" s="4" t="s">
        <v>14</v>
      </c>
      <c r="D2312" s="6">
        <v>0.13</v>
      </c>
      <c r="E2312" s="6">
        <v>0.13</v>
      </c>
      <c r="F2312" s="4"/>
      <c r="G2312" s="7">
        <v>0.15</v>
      </c>
      <c r="H2312" s="7">
        <v>0.05</v>
      </c>
      <c r="I2312" s="7">
        <v>2.4700974E8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>
      <c r="A2313" s="4" t="s">
        <v>4581</v>
      </c>
      <c r="B2313" s="4" t="s">
        <v>4582</v>
      </c>
      <c r="C2313" s="4" t="s">
        <v>34</v>
      </c>
      <c r="D2313" s="6" t="e">
        <v>#N/A</v>
      </c>
      <c r="E2313" s="6" t="e">
        <v>#N/A</v>
      </c>
      <c r="F2313" s="4"/>
      <c r="G2313" s="4"/>
      <c r="H2313" s="4"/>
      <c r="I2313" s="7" t="e">
        <v>#N/A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>
      <c r="A2314" s="4" t="s">
        <v>4583</v>
      </c>
      <c r="B2314" s="4" t="s">
        <v>4584</v>
      </c>
      <c r="C2314" s="4" t="s">
        <v>121</v>
      </c>
      <c r="D2314" s="6">
        <v>0.08</v>
      </c>
      <c r="E2314" s="6">
        <v>0.08</v>
      </c>
      <c r="F2314" s="4"/>
      <c r="G2314" s="7">
        <v>0.11</v>
      </c>
      <c r="H2314" s="7">
        <v>0.05</v>
      </c>
      <c r="I2314" s="7">
        <v>9918137.0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>
      <c r="A2315" s="4" t="s">
        <v>4585</v>
      </c>
      <c r="B2315" s="4" t="s">
        <v>4586</v>
      </c>
      <c r="C2315" s="4" t="s">
        <v>17</v>
      </c>
      <c r="D2315" s="6">
        <v>0.01</v>
      </c>
      <c r="E2315" s="6">
        <v>0.01</v>
      </c>
      <c r="F2315" s="4"/>
      <c r="G2315" s="7">
        <v>0.01</v>
      </c>
      <c r="H2315" s="7">
        <v>0.0</v>
      </c>
      <c r="I2315" s="7">
        <v>1787520.0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</row>
    <row r="2316">
      <c r="A2316" s="4" t="s">
        <v>4587</v>
      </c>
      <c r="B2316" s="4" t="s">
        <v>4588</v>
      </c>
      <c r="C2316" s="4" t="s">
        <v>14</v>
      </c>
      <c r="D2316" s="6">
        <v>68.55</v>
      </c>
      <c r="E2316" s="6">
        <v>68.46</v>
      </c>
      <c r="F2316" s="7">
        <v>76.46</v>
      </c>
      <c r="G2316" s="7">
        <v>130.5</v>
      </c>
      <c r="H2316" s="7">
        <v>61.49</v>
      </c>
      <c r="I2316" s="7">
        <v>2.303500148E10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</row>
    <row r="2317">
      <c r="A2317" s="4" t="s">
        <v>4589</v>
      </c>
      <c r="B2317" s="4" t="s">
        <v>4590</v>
      </c>
      <c r="C2317" s="4" t="s">
        <v>387</v>
      </c>
      <c r="D2317" s="6">
        <v>0.14</v>
      </c>
      <c r="E2317" s="6">
        <v>0.14</v>
      </c>
      <c r="F2317" s="7">
        <v>10.0</v>
      </c>
      <c r="G2317" s="7">
        <v>0.16</v>
      </c>
      <c r="H2317" s="7">
        <v>0.09</v>
      </c>
      <c r="I2317" s="7">
        <v>4.6195071E7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</row>
    <row r="2318">
      <c r="A2318" s="4" t="s">
        <v>4591</v>
      </c>
      <c r="B2318" s="4" t="s">
        <v>4592</v>
      </c>
      <c r="C2318" s="4" t="s">
        <v>37</v>
      </c>
      <c r="D2318" s="6">
        <v>0.58</v>
      </c>
      <c r="E2318" s="6">
        <v>0.52</v>
      </c>
      <c r="F2318" s="4"/>
      <c r="G2318" s="7">
        <v>0.84</v>
      </c>
      <c r="H2318" s="7">
        <v>0.14</v>
      </c>
      <c r="I2318" s="7">
        <v>1.79371432E8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>
      <c r="A2319" s="4" t="s">
        <v>4591</v>
      </c>
      <c r="B2319" s="4" t="s">
        <v>4592</v>
      </c>
      <c r="C2319" s="4" t="s">
        <v>37</v>
      </c>
      <c r="D2319" s="6">
        <v>0.58</v>
      </c>
      <c r="E2319" s="6">
        <v>0.52</v>
      </c>
      <c r="F2319" s="4"/>
      <c r="G2319" s="7">
        <v>0.84</v>
      </c>
      <c r="H2319" s="7">
        <v>0.14</v>
      </c>
      <c r="I2319" s="7">
        <v>1.79371432E8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>
      <c r="A2320" s="4" t="s">
        <v>4593</v>
      </c>
      <c r="B2320" s="4" t="s">
        <v>4594</v>
      </c>
      <c r="C2320" s="4" t="s">
        <v>4595</v>
      </c>
      <c r="D2320" s="6">
        <v>2.27</v>
      </c>
      <c r="E2320" s="6">
        <v>2.27</v>
      </c>
      <c r="F2320" s="4"/>
      <c r="G2320" s="7">
        <v>2.27</v>
      </c>
      <c r="H2320" s="7">
        <v>1.61</v>
      </c>
      <c r="I2320" s="7">
        <v>6.241827E8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>
      <c r="A2321" s="4" t="s">
        <v>4596</v>
      </c>
      <c r="B2321" s="4" t="s">
        <v>4597</v>
      </c>
      <c r="C2321" s="4" t="s">
        <v>34</v>
      </c>
      <c r="D2321" s="6">
        <v>44.78</v>
      </c>
      <c r="E2321" s="6">
        <v>44.95</v>
      </c>
      <c r="F2321" s="4"/>
      <c r="G2321" s="7">
        <v>46.12</v>
      </c>
      <c r="H2321" s="7">
        <v>41.58</v>
      </c>
      <c r="I2321" s="7" t="e">
        <v>#N/A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</row>
    <row r="2322">
      <c r="A2322" s="4" t="s">
        <v>4598</v>
      </c>
      <c r="B2322" s="4" t="s">
        <v>4599</v>
      </c>
      <c r="C2322" s="4" t="s">
        <v>782</v>
      </c>
      <c r="D2322" s="6">
        <v>0.24</v>
      </c>
      <c r="E2322" s="6">
        <v>0.25</v>
      </c>
      <c r="F2322" s="7">
        <v>9.03</v>
      </c>
      <c r="G2322" s="7">
        <v>0.28</v>
      </c>
      <c r="H2322" s="7">
        <v>0.1</v>
      </c>
      <c r="I2322" s="7">
        <v>3.9650186E7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>
      <c r="A2323" s="4" t="s">
        <v>4600</v>
      </c>
      <c r="B2323" s="4" t="s">
        <v>4601</v>
      </c>
      <c r="C2323" s="4" t="s">
        <v>17</v>
      </c>
      <c r="D2323" s="6">
        <v>0.09</v>
      </c>
      <c r="E2323" s="6">
        <v>0.08</v>
      </c>
      <c r="F2323" s="4"/>
      <c r="G2323" s="7">
        <v>0.09</v>
      </c>
      <c r="H2323" s="7">
        <v>0.01</v>
      </c>
      <c r="I2323" s="7">
        <v>3.25770272E8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</row>
    <row r="2324">
      <c r="A2324" s="4" t="s">
        <v>4602</v>
      </c>
      <c r="B2324" s="4" t="s">
        <v>4603</v>
      </c>
      <c r="C2324" s="4" t="s">
        <v>34</v>
      </c>
      <c r="D2324" s="6">
        <v>13.2</v>
      </c>
      <c r="E2324" s="6">
        <v>13.16</v>
      </c>
      <c r="F2324" s="4"/>
      <c r="G2324" s="7">
        <v>13.64</v>
      </c>
      <c r="H2324" s="7">
        <v>13.0</v>
      </c>
      <c r="I2324" s="7" t="e">
        <v>#N/A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</row>
    <row r="2325">
      <c r="A2325" s="4" t="s">
        <v>4604</v>
      </c>
      <c r="B2325" s="4" t="s">
        <v>4605</v>
      </c>
      <c r="C2325" s="4" t="s">
        <v>34</v>
      </c>
      <c r="D2325" s="6">
        <v>28.45</v>
      </c>
      <c r="E2325" s="6">
        <v>28.5</v>
      </c>
      <c r="F2325" s="4"/>
      <c r="G2325" s="7">
        <v>28.61</v>
      </c>
      <c r="H2325" s="7">
        <v>21.86</v>
      </c>
      <c r="I2325" s="7" t="e">
        <v>#N/A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>
      <c r="A2326" s="4" t="s">
        <v>4606</v>
      </c>
      <c r="B2326" s="4" t="s">
        <v>4607</v>
      </c>
      <c r="C2326" s="4" t="s">
        <v>34</v>
      </c>
      <c r="D2326" s="6">
        <v>51.72</v>
      </c>
      <c r="E2326" s="6">
        <v>51.83</v>
      </c>
      <c r="F2326" s="4"/>
      <c r="G2326" s="7">
        <v>53.5</v>
      </c>
      <c r="H2326" s="7">
        <v>44.43</v>
      </c>
      <c r="I2326" s="7" t="e">
        <v>#N/A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</row>
    <row r="2327">
      <c r="A2327" s="4" t="s">
        <v>4608</v>
      </c>
      <c r="B2327" s="4" t="s">
        <v>4609</v>
      </c>
      <c r="C2327" s="4" t="s">
        <v>17</v>
      </c>
      <c r="D2327" s="6">
        <v>0.03</v>
      </c>
      <c r="E2327" s="6">
        <v>0.03</v>
      </c>
      <c r="F2327" s="4"/>
      <c r="G2327" s="7">
        <v>0.08</v>
      </c>
      <c r="H2327" s="7">
        <v>0.02</v>
      </c>
      <c r="I2327" s="7">
        <v>5710923.0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</row>
    <row r="2328">
      <c r="A2328" s="4" t="s">
        <v>4610</v>
      </c>
      <c r="B2328" s="4" t="s">
        <v>4611</v>
      </c>
      <c r="C2328" s="4" t="s">
        <v>239</v>
      </c>
      <c r="D2328" s="6">
        <v>0.03</v>
      </c>
      <c r="E2328" s="6">
        <v>0.03</v>
      </c>
      <c r="F2328" s="4"/>
      <c r="G2328" s="7">
        <v>0.04</v>
      </c>
      <c r="H2328" s="7">
        <v>0.02</v>
      </c>
      <c r="I2328" s="7">
        <v>5.4515518E7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>
      <c r="A2329" s="4" t="s">
        <v>4612</v>
      </c>
      <c r="B2329" s="4" t="s">
        <v>4613</v>
      </c>
      <c r="C2329" s="4" t="s">
        <v>182</v>
      </c>
      <c r="D2329" s="6">
        <v>0.01</v>
      </c>
      <c r="E2329" s="6">
        <v>0.01</v>
      </c>
      <c r="F2329" s="4"/>
      <c r="G2329" s="7">
        <v>0.03</v>
      </c>
      <c r="H2329" s="7">
        <v>0.01</v>
      </c>
      <c r="I2329" s="7">
        <v>6484080.0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>
      <c r="A2330" s="4" t="s">
        <v>4614</v>
      </c>
      <c r="B2330" s="4" t="s">
        <v>4615</v>
      </c>
      <c r="C2330" s="4" t="s">
        <v>34</v>
      </c>
      <c r="D2330" s="6" t="e">
        <v>#N/A</v>
      </c>
      <c r="E2330" s="6" t="e">
        <v>#N/A</v>
      </c>
      <c r="F2330" s="4"/>
      <c r="G2330" s="4"/>
      <c r="H2330" s="4"/>
      <c r="I2330" s="7" t="e">
        <v>#N/A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>
      <c r="A2331" s="4" t="s">
        <v>4616</v>
      </c>
      <c r="B2331" s="4" t="s">
        <v>4617</v>
      </c>
      <c r="C2331" s="4" t="s">
        <v>34</v>
      </c>
      <c r="D2331" s="6" t="e">
        <v>#N/A</v>
      </c>
      <c r="E2331" s="6" t="e">
        <v>#N/A</v>
      </c>
      <c r="F2331" s="4"/>
      <c r="G2331" s="4"/>
      <c r="H2331" s="4"/>
      <c r="I2331" s="7" t="e">
        <v>#N/A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</row>
    <row r="2332">
      <c r="A2332" s="4" t="s">
        <v>4618</v>
      </c>
      <c r="B2332" s="4" t="s">
        <v>4619</v>
      </c>
      <c r="C2332" s="4" t="s">
        <v>34</v>
      </c>
      <c r="D2332" s="6" t="e">
        <v>#N/A</v>
      </c>
      <c r="E2332" s="6" t="e">
        <v>#N/A</v>
      </c>
      <c r="F2332" s="4"/>
      <c r="G2332" s="4"/>
      <c r="H2332" s="4"/>
      <c r="I2332" s="7" t="e">
        <v>#N/A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>
      <c r="A2333" s="4" t="s">
        <v>4620</v>
      </c>
      <c r="B2333" s="4" t="s">
        <v>4621</v>
      </c>
      <c r="C2333" s="4" t="s">
        <v>506</v>
      </c>
      <c r="D2333" s="6">
        <v>0.16</v>
      </c>
      <c r="E2333" s="6">
        <v>0.17</v>
      </c>
      <c r="F2333" s="4"/>
      <c r="G2333" s="7">
        <v>0.22</v>
      </c>
      <c r="H2333" s="7">
        <v>0.1</v>
      </c>
      <c r="I2333" s="7">
        <v>3.4178639E7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</row>
    <row r="2334">
      <c r="A2334" s="4" t="s">
        <v>4622</v>
      </c>
      <c r="B2334" s="4" t="s">
        <v>4623</v>
      </c>
      <c r="C2334" s="4" t="s">
        <v>1470</v>
      </c>
      <c r="D2334" s="6">
        <v>0.02</v>
      </c>
      <c r="E2334" s="6">
        <v>0.02</v>
      </c>
      <c r="F2334" s="4"/>
      <c r="G2334" s="7">
        <v>0.04</v>
      </c>
      <c r="H2334" s="7">
        <v>0.01</v>
      </c>
      <c r="I2334" s="7">
        <v>7232300.0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>
      <c r="A2335" s="4" t="s">
        <v>4624</v>
      </c>
      <c r="B2335" s="4" t="s">
        <v>4625</v>
      </c>
      <c r="C2335" s="4" t="s">
        <v>34</v>
      </c>
      <c r="D2335" s="6">
        <v>50.15</v>
      </c>
      <c r="E2335" s="6">
        <v>50.43</v>
      </c>
      <c r="F2335" s="4"/>
      <c r="G2335" s="7">
        <v>53.04</v>
      </c>
      <c r="H2335" s="7">
        <v>49.69</v>
      </c>
      <c r="I2335" s="7" t="e">
        <v>#N/A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>
      <c r="A2336" s="4" t="s">
        <v>4626</v>
      </c>
      <c r="B2336" s="4" t="s">
        <v>4627</v>
      </c>
      <c r="C2336" s="4" t="s">
        <v>34</v>
      </c>
      <c r="D2336" s="6">
        <v>14.75</v>
      </c>
      <c r="E2336" s="6">
        <v>14.58</v>
      </c>
      <c r="F2336" s="4"/>
      <c r="G2336" s="7">
        <v>15.52</v>
      </c>
      <c r="H2336" s="7">
        <v>6.4</v>
      </c>
      <c r="I2336" s="7" t="e">
        <v>#N/A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>
      <c r="A2337" s="4" t="s">
        <v>4628</v>
      </c>
      <c r="B2337" s="4" t="s">
        <v>4629</v>
      </c>
      <c r="C2337" s="4" t="s">
        <v>17</v>
      </c>
      <c r="D2337" s="6">
        <v>0.02</v>
      </c>
      <c r="E2337" s="6">
        <v>0.02</v>
      </c>
      <c r="F2337" s="4"/>
      <c r="G2337" s="7">
        <v>0.02</v>
      </c>
      <c r="H2337" s="7">
        <v>0.02</v>
      </c>
      <c r="I2337" s="7">
        <v>9332099.0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>
      <c r="A2338" s="4" t="s">
        <v>4630</v>
      </c>
      <c r="B2338" s="4" t="s">
        <v>4631</v>
      </c>
      <c r="C2338" s="4" t="s">
        <v>182</v>
      </c>
      <c r="D2338" s="6">
        <v>0.01</v>
      </c>
      <c r="E2338" s="6">
        <v>0.01</v>
      </c>
      <c r="F2338" s="4"/>
      <c r="G2338" s="7">
        <v>0.03</v>
      </c>
      <c r="H2338" s="7">
        <v>0.01</v>
      </c>
      <c r="I2338" s="7">
        <v>5933311.0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>
      <c r="A2339" s="4" t="s">
        <v>4632</v>
      </c>
      <c r="B2339" s="4" t="s">
        <v>4633</v>
      </c>
      <c r="C2339" s="4" t="s">
        <v>37</v>
      </c>
      <c r="D2339" s="6">
        <v>0.22</v>
      </c>
      <c r="E2339" s="6">
        <v>0.22</v>
      </c>
      <c r="F2339" s="4"/>
      <c r="G2339" s="7">
        <v>0.25</v>
      </c>
      <c r="H2339" s="7">
        <v>0.14</v>
      </c>
      <c r="I2339" s="7">
        <v>1.3311469E7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>
      <c r="A2340" s="4" t="s">
        <v>4632</v>
      </c>
      <c r="B2340" s="4" t="s">
        <v>4633</v>
      </c>
      <c r="C2340" s="4" t="s">
        <v>37</v>
      </c>
      <c r="D2340" s="6">
        <v>0.22</v>
      </c>
      <c r="E2340" s="6">
        <v>0.22</v>
      </c>
      <c r="F2340" s="4"/>
      <c r="G2340" s="7">
        <v>0.25</v>
      </c>
      <c r="H2340" s="7">
        <v>0.14</v>
      </c>
      <c r="I2340" s="7">
        <v>1.3311469E7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>
      <c r="A2341" s="4" t="s">
        <v>4634</v>
      </c>
      <c r="B2341" s="4" t="s">
        <v>4635</v>
      </c>
      <c r="C2341" s="4" t="s">
        <v>4241</v>
      </c>
      <c r="D2341" s="6">
        <v>2.1</v>
      </c>
      <c r="E2341" s="6">
        <v>2.06</v>
      </c>
      <c r="F2341" s="7">
        <v>28.34</v>
      </c>
      <c r="G2341" s="7">
        <v>2.4</v>
      </c>
      <c r="H2341" s="7">
        <v>1.44</v>
      </c>
      <c r="I2341" s="7">
        <v>3.00283816E8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>
      <c r="A2342" s="4" t="s">
        <v>4636</v>
      </c>
      <c r="B2342" s="4" t="s">
        <v>4637</v>
      </c>
      <c r="C2342" s="4" t="s">
        <v>668</v>
      </c>
      <c r="D2342" s="6">
        <v>0.05</v>
      </c>
      <c r="E2342" s="6">
        <v>0.05</v>
      </c>
      <c r="F2342" s="4"/>
      <c r="G2342" s="7">
        <v>0.07</v>
      </c>
      <c r="H2342" s="7">
        <v>0.02</v>
      </c>
      <c r="I2342" s="7">
        <v>4.055251E7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>
      <c r="A2343" s="4" t="s">
        <v>4638</v>
      </c>
      <c r="B2343" s="4" t="s">
        <v>4639</v>
      </c>
      <c r="C2343" s="4" t="s">
        <v>14</v>
      </c>
      <c r="D2343" s="6">
        <v>112.25</v>
      </c>
      <c r="E2343" s="6">
        <v>114.02</v>
      </c>
      <c r="F2343" s="7">
        <v>76.93</v>
      </c>
      <c r="G2343" s="7">
        <v>196.52</v>
      </c>
      <c r="H2343" s="7">
        <v>108.2</v>
      </c>
      <c r="I2343" s="7">
        <v>1.90670993E10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>
      <c r="A2344" s="4" t="s">
        <v>4640</v>
      </c>
      <c r="B2344" s="4" t="s">
        <v>4641</v>
      </c>
      <c r="C2344" s="4" t="s">
        <v>76</v>
      </c>
      <c r="D2344" s="6">
        <v>0.02</v>
      </c>
      <c r="E2344" s="6">
        <v>0.02</v>
      </c>
      <c r="F2344" s="4"/>
      <c r="G2344" s="7">
        <v>0.07</v>
      </c>
      <c r="H2344" s="7">
        <v>0.02</v>
      </c>
      <c r="I2344" s="7">
        <v>7534069.0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>
      <c r="A2345" s="4" t="s">
        <v>4642</v>
      </c>
      <c r="B2345" s="4" t="s">
        <v>4643</v>
      </c>
      <c r="C2345" s="4" t="s">
        <v>34</v>
      </c>
      <c r="D2345" s="6">
        <v>1.48</v>
      </c>
      <c r="E2345" s="6">
        <v>1.49</v>
      </c>
      <c r="F2345" s="4"/>
      <c r="G2345" s="7">
        <v>1.53</v>
      </c>
      <c r="H2345" s="7">
        <v>1.48</v>
      </c>
      <c r="I2345" s="7" t="e">
        <v>#N/A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>
      <c r="A2346" s="4" t="s">
        <v>4644</v>
      </c>
      <c r="B2346" s="4" t="s">
        <v>4645</v>
      </c>
      <c r="C2346" s="4" t="s">
        <v>159</v>
      </c>
      <c r="D2346" s="6">
        <v>97.75</v>
      </c>
      <c r="E2346" s="6">
        <v>97.83</v>
      </c>
      <c r="F2346" s="4"/>
      <c r="G2346" s="7">
        <v>151.33</v>
      </c>
      <c r="H2346" s="7">
        <v>61.42</v>
      </c>
      <c r="I2346" s="7">
        <v>3.955291E10</v>
      </c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>
      <c r="A2347" s="4" t="s">
        <v>4646</v>
      </c>
      <c r="B2347" s="4" t="s">
        <v>4647</v>
      </c>
      <c r="C2347" s="4" t="s">
        <v>312</v>
      </c>
      <c r="D2347" s="6">
        <v>5.01</v>
      </c>
      <c r="E2347" s="6">
        <v>4.96</v>
      </c>
      <c r="F2347" s="7">
        <v>6.89</v>
      </c>
      <c r="G2347" s="7">
        <v>6.73</v>
      </c>
      <c r="H2347" s="7">
        <v>4.36</v>
      </c>
      <c r="I2347" s="7">
        <v>3.4547063732E10</v>
      </c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>
      <c r="A2348" s="4" t="s">
        <v>4648</v>
      </c>
      <c r="B2348" s="4" t="s">
        <v>4649</v>
      </c>
      <c r="C2348" s="4" t="s">
        <v>34</v>
      </c>
      <c r="D2348" s="6" t="e">
        <v>#N/A</v>
      </c>
      <c r="E2348" s="6" t="e">
        <v>#N/A</v>
      </c>
      <c r="F2348" s="4"/>
      <c r="G2348" s="4"/>
      <c r="H2348" s="4"/>
      <c r="I2348" s="7" t="e">
        <v>#N/A</v>
      </c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>
      <c r="A2349" s="4" t="s">
        <v>4650</v>
      </c>
      <c r="B2349" s="4" t="s">
        <v>4651</v>
      </c>
      <c r="C2349" s="4" t="s">
        <v>37</v>
      </c>
      <c r="D2349" s="6">
        <v>0.01</v>
      </c>
      <c r="E2349" s="6">
        <v>0.01</v>
      </c>
      <c r="F2349" s="4"/>
      <c r="G2349" s="7">
        <v>0.02</v>
      </c>
      <c r="H2349" s="7">
        <v>0.0</v>
      </c>
      <c r="I2349" s="7">
        <v>8394640.0</v>
      </c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>
      <c r="A2350" s="4" t="s">
        <v>4650</v>
      </c>
      <c r="B2350" s="4" t="s">
        <v>4651</v>
      </c>
      <c r="C2350" s="4" t="s">
        <v>37</v>
      </c>
      <c r="D2350" s="6">
        <v>0.01</v>
      </c>
      <c r="E2350" s="6">
        <v>0.01</v>
      </c>
      <c r="F2350" s="4"/>
      <c r="G2350" s="7">
        <v>0.02</v>
      </c>
      <c r="H2350" s="7">
        <v>0.0</v>
      </c>
      <c r="I2350" s="7">
        <v>8394640.0</v>
      </c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>
      <c r="A2351" s="4" t="s">
        <v>4652</v>
      </c>
      <c r="B2351" s="4" t="s">
        <v>4653</v>
      </c>
      <c r="C2351" s="4" t="s">
        <v>34</v>
      </c>
      <c r="D2351" s="6" t="e">
        <v>#N/A</v>
      </c>
      <c r="E2351" s="6" t="e">
        <v>#N/A</v>
      </c>
      <c r="F2351" s="4"/>
      <c r="G2351" s="4"/>
      <c r="H2351" s="4"/>
      <c r="I2351" s="7" t="e">
        <v>#N/A</v>
      </c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>
      <c r="A2352" s="4" t="s">
        <v>4654</v>
      </c>
      <c r="B2352" s="4" t="s">
        <v>4655</v>
      </c>
      <c r="C2352" s="4" t="s">
        <v>14</v>
      </c>
      <c r="D2352" s="6">
        <v>0.37</v>
      </c>
      <c r="E2352" s="6">
        <v>0.37</v>
      </c>
      <c r="F2352" s="4"/>
      <c r="G2352" s="7">
        <v>0.54</v>
      </c>
      <c r="H2352" s="7">
        <v>0.11</v>
      </c>
      <c r="I2352" s="7">
        <v>1.30407796E8</v>
      </c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>
      <c r="A2353" s="4" t="s">
        <v>4656</v>
      </c>
      <c r="B2353" s="4" t="s">
        <v>4657</v>
      </c>
      <c r="C2353" s="4" t="s">
        <v>96</v>
      </c>
      <c r="D2353" s="6">
        <v>0.01</v>
      </c>
      <c r="E2353" s="6">
        <v>0.01</v>
      </c>
      <c r="F2353" s="4"/>
      <c r="G2353" s="7">
        <v>0.03</v>
      </c>
      <c r="H2353" s="7">
        <v>0.01</v>
      </c>
      <c r="I2353" s="7">
        <v>3211150.0</v>
      </c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</row>
    <row r="2354">
      <c r="A2354" s="4" t="s">
        <v>4658</v>
      </c>
      <c r="B2354" s="4" t="s">
        <v>4659</v>
      </c>
      <c r="C2354" s="4" t="s">
        <v>86</v>
      </c>
      <c r="D2354" s="6">
        <v>0.25</v>
      </c>
      <c r="E2354" s="6">
        <v>0.24</v>
      </c>
      <c r="F2354" s="4"/>
      <c r="G2354" s="7">
        <v>0.43</v>
      </c>
      <c r="H2354" s="7">
        <v>0.08</v>
      </c>
      <c r="I2354" s="7">
        <v>9.1042614E7</v>
      </c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</row>
    <row r="2355">
      <c r="A2355" s="4" t="s">
        <v>4660</v>
      </c>
      <c r="B2355" s="4" t="s">
        <v>4661</v>
      </c>
      <c r="C2355" s="4" t="s">
        <v>17</v>
      </c>
      <c r="D2355" s="6">
        <v>0.07</v>
      </c>
      <c r="E2355" s="6">
        <v>0.06</v>
      </c>
      <c r="F2355" s="4"/>
      <c r="G2355" s="7">
        <v>0.07</v>
      </c>
      <c r="H2355" s="7">
        <v>0.03</v>
      </c>
      <c r="I2355" s="7">
        <v>2.0121808E7</v>
      </c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>
      <c r="A2356" s="4" t="s">
        <v>4662</v>
      </c>
      <c r="B2356" s="4" t="s">
        <v>4663</v>
      </c>
      <c r="C2356" s="4" t="s">
        <v>86</v>
      </c>
      <c r="D2356" s="6">
        <v>0.05</v>
      </c>
      <c r="E2356" s="6">
        <v>0.05</v>
      </c>
      <c r="F2356" s="4"/>
      <c r="G2356" s="7">
        <v>0.06</v>
      </c>
      <c r="H2356" s="7">
        <v>0.01</v>
      </c>
      <c r="I2356" s="7">
        <v>3.8372833E7</v>
      </c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>
      <c r="A2357" s="4" t="s">
        <v>4664</v>
      </c>
      <c r="B2357" s="4" t="s">
        <v>4665</v>
      </c>
      <c r="C2357" s="4" t="s">
        <v>394</v>
      </c>
      <c r="D2357" s="6">
        <v>0.08</v>
      </c>
      <c r="E2357" s="6">
        <v>0.08</v>
      </c>
      <c r="F2357" s="4"/>
      <c r="G2357" s="7">
        <v>0.12</v>
      </c>
      <c r="H2357" s="7">
        <v>0.04</v>
      </c>
      <c r="I2357" s="7">
        <v>1.62528366E8</v>
      </c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>
      <c r="A2358" s="4" t="s">
        <v>4666</v>
      </c>
      <c r="B2358" s="4" t="s">
        <v>4667</v>
      </c>
      <c r="C2358" s="4" t="s">
        <v>26</v>
      </c>
      <c r="D2358" s="6">
        <v>0.01</v>
      </c>
      <c r="E2358" s="6">
        <v>0.01</v>
      </c>
      <c r="F2358" s="4"/>
      <c r="G2358" s="7">
        <v>0.02</v>
      </c>
      <c r="H2358" s="7">
        <v>0.01</v>
      </c>
      <c r="I2358" s="7">
        <v>7177309.0</v>
      </c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>
      <c r="A2359" s="4" t="s">
        <v>4666</v>
      </c>
      <c r="B2359" s="4" t="s">
        <v>4667</v>
      </c>
      <c r="C2359" s="4" t="s">
        <v>26</v>
      </c>
      <c r="D2359" s="6">
        <v>0.01</v>
      </c>
      <c r="E2359" s="6">
        <v>0.01</v>
      </c>
      <c r="F2359" s="4"/>
      <c r="G2359" s="7">
        <v>0.02</v>
      </c>
      <c r="H2359" s="7">
        <v>0.01</v>
      </c>
      <c r="I2359" s="7">
        <v>7177309.0</v>
      </c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>
      <c r="A2360" s="9" t="s">
        <v>4666</v>
      </c>
      <c r="B2360" s="9" t="s">
        <v>4667</v>
      </c>
      <c r="C2360" s="9" t="s">
        <v>26</v>
      </c>
      <c r="D2360" s="10">
        <v>0.01</v>
      </c>
      <c r="E2360" s="6">
        <v>0.01</v>
      </c>
      <c r="F2360" s="4"/>
      <c r="G2360" s="7">
        <v>0.02</v>
      </c>
      <c r="H2360" s="7">
        <v>0.01</v>
      </c>
      <c r="I2360" s="7">
        <v>7177309.0</v>
      </c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</row>
    <row r="2361">
      <c r="A2361" s="4" t="s">
        <v>4668</v>
      </c>
      <c r="B2361" s="4" t="s">
        <v>4669</v>
      </c>
      <c r="C2361" s="4" t="s">
        <v>2765</v>
      </c>
      <c r="D2361" s="6">
        <v>0.16</v>
      </c>
      <c r="E2361" s="6">
        <v>0.17</v>
      </c>
      <c r="F2361" s="7">
        <v>3.81</v>
      </c>
      <c r="G2361" s="7">
        <v>0.18</v>
      </c>
      <c r="H2361" s="7">
        <v>0.06</v>
      </c>
      <c r="I2361" s="7">
        <v>3.4492831E7</v>
      </c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>
      <c r="A2362" s="4" t="s">
        <v>4670</v>
      </c>
      <c r="B2362" s="4" t="s">
        <v>4671</v>
      </c>
      <c r="C2362" s="4" t="s">
        <v>447</v>
      </c>
      <c r="D2362" s="6">
        <v>23.0</v>
      </c>
      <c r="E2362" s="6">
        <v>23.05</v>
      </c>
      <c r="F2362" s="7">
        <v>40.92</v>
      </c>
      <c r="G2362" s="7">
        <v>25.6</v>
      </c>
      <c r="H2362" s="7">
        <v>10.4</v>
      </c>
      <c r="I2362" s="7">
        <v>2.4756648E9</v>
      </c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>
      <c r="A2363" s="4" t="s">
        <v>4672</v>
      </c>
      <c r="B2363" s="4" t="s">
        <v>4673</v>
      </c>
      <c r="C2363" s="4" t="s">
        <v>239</v>
      </c>
      <c r="D2363" s="6">
        <v>3.35</v>
      </c>
      <c r="E2363" s="6">
        <v>3.29</v>
      </c>
      <c r="F2363" s="7">
        <v>54.87</v>
      </c>
      <c r="G2363" s="7">
        <v>4.93</v>
      </c>
      <c r="H2363" s="7">
        <v>1.09</v>
      </c>
      <c r="I2363" s="7">
        <v>4.256787928E9</v>
      </c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>
      <c r="A2364" s="4" t="s">
        <v>4674</v>
      </c>
      <c r="B2364" s="4" t="s">
        <v>4675</v>
      </c>
      <c r="C2364" s="4" t="s">
        <v>172</v>
      </c>
      <c r="D2364" s="6">
        <v>0.39</v>
      </c>
      <c r="E2364" s="6">
        <v>0.43</v>
      </c>
      <c r="F2364" s="4"/>
      <c r="G2364" s="7">
        <v>0.65</v>
      </c>
      <c r="H2364" s="7">
        <v>0.31</v>
      </c>
      <c r="I2364" s="7">
        <v>4585935.0</v>
      </c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>
      <c r="A2365" s="4" t="s">
        <v>4676</v>
      </c>
      <c r="B2365" s="4" t="s">
        <v>4677</v>
      </c>
      <c r="C2365" s="4" t="s">
        <v>17</v>
      </c>
      <c r="D2365" s="6">
        <v>0.01</v>
      </c>
      <c r="E2365" s="6">
        <v>0.01</v>
      </c>
      <c r="F2365" s="4"/>
      <c r="G2365" s="7">
        <v>0.02</v>
      </c>
      <c r="H2365" s="7">
        <v>0.01</v>
      </c>
      <c r="I2365" s="7">
        <v>5820110.0</v>
      </c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>
      <c r="A2366" s="4" t="s">
        <v>4678</v>
      </c>
      <c r="B2366" s="4" t="s">
        <v>4679</v>
      </c>
      <c r="C2366" s="4" t="s">
        <v>20</v>
      </c>
      <c r="D2366" s="6">
        <v>0.01</v>
      </c>
      <c r="E2366" s="6">
        <v>0.01</v>
      </c>
      <c r="F2366" s="4"/>
      <c r="G2366" s="7">
        <v>0.02</v>
      </c>
      <c r="H2366" s="7">
        <v>0.01</v>
      </c>
      <c r="I2366" s="7">
        <v>3176012.0</v>
      </c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</row>
    <row r="2367">
      <c r="A2367" s="4" t="s">
        <v>4680</v>
      </c>
      <c r="B2367" s="4" t="s">
        <v>4681</v>
      </c>
      <c r="C2367" s="4" t="s">
        <v>17</v>
      </c>
      <c r="D2367" s="6">
        <v>0.09</v>
      </c>
      <c r="E2367" s="6">
        <v>0.09</v>
      </c>
      <c r="F2367" s="4"/>
      <c r="G2367" s="7">
        <v>0.18</v>
      </c>
      <c r="H2367" s="7">
        <v>0.03</v>
      </c>
      <c r="I2367" s="7">
        <v>4.8734136E7</v>
      </c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>
      <c r="A2368" s="4" t="s">
        <v>4682</v>
      </c>
      <c r="B2368" s="4" t="s">
        <v>4683</v>
      </c>
      <c r="C2368" s="4" t="s">
        <v>2774</v>
      </c>
      <c r="D2368" s="6">
        <v>0.07</v>
      </c>
      <c r="E2368" s="6">
        <v>0.08</v>
      </c>
      <c r="F2368" s="4"/>
      <c r="G2368" s="7">
        <v>0.18</v>
      </c>
      <c r="H2368" s="7">
        <v>0.02</v>
      </c>
      <c r="I2368" s="7">
        <v>2.9683923E7</v>
      </c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>
      <c r="A2369" s="4" t="s">
        <v>4684</v>
      </c>
      <c r="B2369" s="4" t="s">
        <v>4685</v>
      </c>
      <c r="C2369" s="4" t="s">
        <v>34</v>
      </c>
      <c r="D2369" s="6">
        <v>9.72</v>
      </c>
      <c r="E2369" s="6">
        <v>9.68</v>
      </c>
      <c r="F2369" s="4"/>
      <c r="G2369" s="7">
        <v>10.08</v>
      </c>
      <c r="H2369" s="7">
        <v>7.73</v>
      </c>
      <c r="I2369" s="7" t="e">
        <v>#N/A</v>
      </c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</row>
    <row r="2370">
      <c r="A2370" s="4" t="s">
        <v>4686</v>
      </c>
      <c r="B2370" s="4" t="s">
        <v>4687</v>
      </c>
      <c r="C2370" s="4" t="s">
        <v>34</v>
      </c>
      <c r="D2370" s="6">
        <v>14.24</v>
      </c>
      <c r="E2370" s="6">
        <v>14.3</v>
      </c>
      <c r="F2370" s="4"/>
      <c r="G2370" s="7">
        <v>16.68</v>
      </c>
      <c r="H2370" s="7">
        <v>14.24</v>
      </c>
      <c r="I2370" s="7" t="e">
        <v>#N/A</v>
      </c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</sheetData>
  <mergeCells count="15">
    <mergeCell ref="O563:P563"/>
    <mergeCell ref="O658:P658"/>
    <mergeCell ref="O789:Q789"/>
    <mergeCell ref="O790:Q790"/>
    <mergeCell ref="O791:Q791"/>
    <mergeCell ref="O792:Q792"/>
    <mergeCell ref="O876:P876"/>
    <mergeCell ref="O927:P927"/>
    <mergeCell ref="M1:N1"/>
    <mergeCell ref="O43:Q43"/>
    <mergeCell ref="O46:P46"/>
    <mergeCell ref="O95:Q95"/>
    <mergeCell ref="O129:Q129"/>
    <mergeCell ref="O359:P359"/>
    <mergeCell ref="O385:Q38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0</v>
      </c>
      <c r="B1" s="11" t="s">
        <v>1</v>
      </c>
      <c r="C1" s="12" t="s">
        <v>2</v>
      </c>
      <c r="D1" s="2" t="s">
        <v>3</v>
      </c>
      <c r="E1" s="2" t="s">
        <v>4</v>
      </c>
      <c r="F1" s="12" t="s">
        <v>5</v>
      </c>
      <c r="G1" s="12" t="s">
        <v>6</v>
      </c>
      <c r="H1" s="1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4688</v>
      </c>
      <c r="B2" s="13" t="s">
        <v>4689</v>
      </c>
      <c r="C2" s="4"/>
      <c r="D2" s="14">
        <f>IFERROR(__xludf.DUMMYFUNCTION("GOOGLEFINANCE(""INDEXASX:""&amp;A2, ""price"")"),8727.8)</f>
        <v>8727.8</v>
      </c>
      <c r="E2" s="15">
        <f>IFERROR(__xludf.DUMMYFUNCTION("GOOGLEFINANCE(""INDEXASX:""&amp;A2, ""closeyest"")"),8714.3)</f>
        <v>8714.3</v>
      </c>
      <c r="F2" s="4"/>
      <c r="G2" s="16">
        <f>IFERROR(__xludf.DUMMYFUNCTION("GOOGLEFINANCE(""INDEXASX:""&amp;A2, ""high52"")"),9115.2)</f>
        <v>9115.2</v>
      </c>
      <c r="H2" s="17">
        <f>IFERROR(__xludf.DUMMYFUNCTION("GOOGLEFINANCE(""INDEXASX:""&amp;A2, ""low52"")"),7169.2)</f>
        <v>7169.2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4690</v>
      </c>
      <c r="B3" s="13" t="s">
        <v>4691</v>
      </c>
      <c r="C3" s="4"/>
      <c r="D3" s="14">
        <f>IFERROR(__xludf.DUMMYFUNCTION("GOOGLEFINANCE(""INDEXASX:""&amp;A3, ""price"")"),8694.0)</f>
        <v>8694</v>
      </c>
      <c r="E3" s="15">
        <f>IFERROR(__xludf.DUMMYFUNCTION("GOOGLEFINANCE(""INDEXASX:""&amp;A3, ""closeyest"")"),8679.9)</f>
        <v>8679.9</v>
      </c>
      <c r="F3" s="4"/>
      <c r="G3" s="16">
        <f>IFERROR(__xludf.DUMMYFUNCTION("GOOGLEFINANCE(""INDEXASX:""&amp;A3, ""high52"")"),9069.9)</f>
        <v>9069.9</v>
      </c>
      <c r="H3" s="17">
        <f>IFERROR(__xludf.DUMMYFUNCTION("GOOGLEFINANCE(""INDEXASX:""&amp;A3, ""low52"")"),7107.6)</f>
        <v>7107.6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4692</v>
      </c>
      <c r="B4" s="13" t="s">
        <v>4693</v>
      </c>
      <c r="C4" s="4"/>
      <c r="D4" s="14">
        <f>IFERROR(__xludf.DUMMYFUNCTION("GOOGLEFINANCE(""INDEXASX:""&amp;A4, ""price"")"),9036.6)</f>
        <v>9036.6</v>
      </c>
      <c r="E4" s="15">
        <f>IFERROR(__xludf.DUMMYFUNCTION("GOOGLEFINANCE(""INDEXASX:""&amp;A4, ""closeyest"")"),9018.8)</f>
        <v>9018.8</v>
      </c>
      <c r="F4" s="4"/>
      <c r="G4" s="16">
        <f>IFERROR(__xludf.DUMMYFUNCTION("GOOGLEFINANCE(""INDEXASX:""&amp;A4, ""high52"")"),9414.6)</f>
        <v>9414.6</v>
      </c>
      <c r="H4" s="17">
        <f>IFERROR(__xludf.DUMMYFUNCTION("GOOGLEFINANCE(""INDEXASX:""&amp;A4, ""low52"")"),7343.7)</f>
        <v>7343.7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4694</v>
      </c>
      <c r="B5" s="13" t="s">
        <v>4695</v>
      </c>
      <c r="C5" s="4"/>
      <c r="D5" s="14">
        <f>IFERROR(__xludf.DUMMYFUNCTION("GOOGLEFINANCE(""INDEXSP:.INX"", ""price"")"),6858.47)</f>
        <v>6858.47</v>
      </c>
      <c r="E5" s="15">
        <f>IFERROR(__xludf.DUMMYFUNCTION("GOOGLEFINANCE(""INDEXSP:.INX"", ""closeyest"")"),6845.5)</f>
        <v>6845.5</v>
      </c>
      <c r="F5" s="4"/>
      <c r="G5" s="16">
        <f>IFERROR(__xludf.DUMMYFUNCTION("GOOGLEFINANCE(""INDEXSP:.INX"", ""high52"")"),6945.77)</f>
        <v>6945.77</v>
      </c>
      <c r="H5" s="17">
        <f>IFERROR(__xludf.DUMMYFUNCTION("GOOGLEFINANCE(""INDEXSP:.INX"", ""low52"")"),4835.04)</f>
        <v>4835.04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4696</v>
      </c>
      <c r="B6" s="13" t="s">
        <v>4697</v>
      </c>
      <c r="C6" s="4"/>
      <c r="D6" s="14">
        <f>IFERROR(__xludf.DUMMYFUNCTION("GOOGLEFINANCE(A6, ""price"")"),48382.39)</f>
        <v>48382.39</v>
      </c>
      <c r="E6" s="15">
        <f>IFERROR(__xludf.DUMMYFUNCTION("GOOGLEFINANCE(""INDEXDJX:.DJI"", ""closeyest"")"),48063.29)</f>
        <v>48063.29</v>
      </c>
      <c r="F6" s="4"/>
      <c r="G6" s="17">
        <f>IFERROR(__xludf.DUMMYFUNCTION("GOOGLEFINANCE(A6, ""high52"")"),48886.86)</f>
        <v>48886.86</v>
      </c>
      <c r="H6" s="17">
        <f>IFERROR(__xludf.DUMMYFUNCTION("GOOGLEFINANCE(A6, ""low52"")"),36611.78)</f>
        <v>36611.78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4698</v>
      </c>
      <c r="B7" s="13" t="s">
        <v>4699</v>
      </c>
      <c r="C7" s="4"/>
      <c r="D7" s="14">
        <f>IFERROR(__xludf.DUMMYFUNCTION("GOOGLEFINANCE(A7, ""price"")"),23235.63)</f>
        <v>23235.63</v>
      </c>
      <c r="E7" s="15">
        <f>IFERROR(__xludf.DUMMYFUNCTION("GOOGLEFINANCE(""INDEXNASDAQ:.IXIC"", ""closeyest"")"),23241.99)</f>
        <v>23241.99</v>
      </c>
      <c r="F7" s="4"/>
      <c r="G7" s="17">
        <f>IFERROR(__xludf.DUMMYFUNCTION("GOOGLEFINANCE(A7, ""high52"")"),24019.99)</f>
        <v>24019.99</v>
      </c>
      <c r="H7" s="17">
        <f>IFERROR(__xludf.DUMMYFUNCTION("GOOGLEFINANCE(A7, ""low52"")"),14784.03)</f>
        <v>14784.03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4700</v>
      </c>
      <c r="B8" s="13" t="s">
        <v>4701</v>
      </c>
      <c r="C8" s="4"/>
      <c r="D8" s="14">
        <f>IFERROR(__xludf.DUMMYFUNCTION("GOOGLEFINANCE(""CURRENCY:""&amp;A8)"),0.6692)</f>
        <v>0.6692</v>
      </c>
      <c r="E8" s="15">
        <f>IFERROR(__xludf.DUMMYFUNCTION("INDEX(GOOGLEFINANCE(""CURRENCY:""&amp;A8, ""price"", TODAY()-10, TODAY()-1), ROWS(GOOGLEFINANCE(""CURRENCY:""&amp;A8, ""price"", TODAY()-10, TODAY()-1)), 2)"),0.667795)</f>
        <v>0.667795</v>
      </c>
      <c r="F8" s="4"/>
      <c r="G8" s="17">
        <f>IFERROR(__xludf.DUMMYFUNCTION("MAX(QUERY(GOOGLEFINANCE(""CURRENCY:""&amp;A8, ""price"", TODAY()-365, TODAY()), ""select Col2 label Col2 ''"", 1))"),0.6715)</f>
        <v>0.6715</v>
      </c>
      <c r="H8" s="17">
        <f>IFERROR(__xludf.DUMMYFUNCTION("MIN(QUERY(GOOGLEFINANCE(""CURRENCY:""&amp;A8, ""price"", TODAY()-365, TODAY()), ""select Col2 label Col2 ''"", 1))"),0.59542)</f>
        <v>0.59542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4702</v>
      </c>
      <c r="B9" s="13" t="s">
        <v>4703</v>
      </c>
      <c r="C9" s="4"/>
      <c r="D9" s="14">
        <f>IFERROR(__xludf.DUMMYFUNCTION("GOOGLEFINANCE(""CURRENCY:""&amp;A9)"),21.10642)</f>
        <v>21.10642</v>
      </c>
      <c r="E9" s="15">
        <f>IFERROR(__xludf.DUMMYFUNCTION("INDEX(GOOGLEFINANCE(""CURRENCY:""&amp;A9, ""price"", TODAY()-10, TODAY()-1), ROWS(GOOGLEFINANCE(""CURRENCY:""&amp;A9, ""price"", TODAY()-10, TODAY()-1)), 2)"),20.99891)</f>
        <v>20.99891</v>
      </c>
      <c r="F9" s="4"/>
      <c r="G9" s="17">
        <f>IFERROR(__xludf.DUMMYFUNCTION("MAX(QUERY(GOOGLEFINANCE(""CURRENCY:""&amp;A9, ""price"", TODAY()-365, TODAY()), ""select Col2 label Col2 ''"", 1))"),21.63711)</f>
        <v>21.63711</v>
      </c>
      <c r="H9" s="17">
        <f>IFERROR(__xludf.DUMMYFUNCTION("MIN(QUERY(GOOGLEFINANCE(""CURRENCY:""&amp;A9, ""price"", TODAY()-365, TODAY()), ""select Col2 label Col2 ''"", 1))"),20.13062)</f>
        <v>20.13062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4704</v>
      </c>
      <c r="B10" s="13" t="s">
        <v>4705</v>
      </c>
      <c r="C10" s="4"/>
      <c r="D10" s="14">
        <f>IFERROR(__xludf.DUMMYFUNCTION("GOOGLEFINANCE(""CURRENCY:""&amp;A10)"),31.4899931)</f>
        <v>31.4899931</v>
      </c>
      <c r="E10" s="15">
        <f>IFERROR(__xludf.DUMMYFUNCTION("INDEX(GOOGLEFINANCE(""CURRENCY:""&amp;A10, ""price"", TODAY()-10, TODAY()-1), ROWS(GOOGLEFINANCE(""CURRENCY:""&amp;A10, ""price"", TODAY()-10, TODAY()-1)), 2)"),31.51)</f>
        <v>31.51</v>
      </c>
      <c r="F10" s="4"/>
      <c r="G10" s="17">
        <f>IFERROR(__xludf.DUMMYFUNCTION("MAX(QUERY(GOOGLEFINANCE(""CURRENCY:""&amp;A10, ""price"", TODAY()-365, TODAY()), ""select Col2 label Col2 ''"", 1))"),34.88)</f>
        <v>34.88</v>
      </c>
      <c r="H10" s="17">
        <f>IFERROR(__xludf.DUMMYFUNCTION("MIN(QUERY(GOOGLEFINANCE(""CURRENCY:""&amp;A10, ""price"", TODAY()-365, TODAY()), ""select Col2 label Col2 ''"", 1))"),31.02)</f>
        <v>31.02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4706</v>
      </c>
      <c r="B11" s="13" t="s">
        <v>4707</v>
      </c>
      <c r="C11" s="4"/>
      <c r="D11" s="14">
        <f>IFERROR(__xludf.DUMMYFUNCTION("GOOGLEFINANCE(""CURRENCY:""&amp;A11)"),90097.2)</f>
        <v>90097.2</v>
      </c>
      <c r="E11" s="15">
        <f>IFERROR(__xludf.DUMMYFUNCTION("INDEX(GOOGLEFINANCE(""CURRENCY:""&amp;A11, ""price"", TODAY()-10, TODAY()-1), ROWS(GOOGLEFINANCE(""CURRENCY:""&amp;A11, ""price"", TODAY()-10, TODAY()-1)), 2)"),88748.3)</f>
        <v>88748.3</v>
      </c>
      <c r="F11" s="4"/>
      <c r="G11" s="17">
        <f>IFERROR(__xludf.DUMMYFUNCTION("MAX(QUERY(GOOGLEFINANCE(""CURRENCY:""&amp;A11, ""price"", TODAY()-365, TODAY()), ""select Col2 label Col2 ''"", 1))"),124310.6)</f>
        <v>124310.6</v>
      </c>
      <c r="H11" s="17">
        <f>IFERROR(__xludf.DUMMYFUNCTION("MIN(QUERY(GOOGLEFINANCE(""CURRENCY:""&amp;A11, ""price"", TODAY()-365, TODAY()), ""select Col2 label Col2 ''"", 1))"),75004.68)</f>
        <v>75004.68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4708</v>
      </c>
      <c r="B12" s="13" t="s">
        <v>4709</v>
      </c>
      <c r="C12" s="4"/>
      <c r="D12" s="14">
        <f>IFERROR(__xludf.DUMMYFUNCTION("INDEX(GOOGLEFINANCE(A12, ""price"", TODAY()-10, TODAY()), ROWS(GOOGLEFINANCE(A12, ""price"", TODAY()-10, TODAY())), 2)"),4329.6)</f>
        <v>4329.6</v>
      </c>
      <c r="E12" s="15">
        <f>IFERROR(__xludf.DUMMYFUNCTION("INDEX(GOOGLEFINANCE(A12, ""price"", TODAY()-14, TODAY()), ROWS(GOOGLEFINANCE(A12, ""price"", TODAY()-14, TODAY()))-1, 2)"),4341.1)</f>
        <v>4341.1</v>
      </c>
      <c r="F12" s="4"/>
      <c r="G12" s="17">
        <f>IFERROR(__xludf.DUMMYFUNCTION("MAX(QUERY(GOOGLEFINANCE(A12, ""price"", TODAY()-365, TODAY()), ""select Col2 label Col2 ''"", 1))"),4552.7)</f>
        <v>4552.7</v>
      </c>
      <c r="H12" s="17">
        <f>IFERROR(__xludf.DUMMYFUNCTION("MIN(QUERY(GOOGLEFINANCE(A12, ""price"", TODAY()-365, TODAY()), ""select Col2 label Col2 ''"", 1))"),2647.4)</f>
        <v>2647.4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4710</v>
      </c>
      <c r="B13" s="13" t="s">
        <v>4711</v>
      </c>
      <c r="C13" s="4"/>
      <c r="D13" s="14">
        <f>IFERROR(__xludf.DUMMYFUNCTION("INDEX(SORT(GOOGLEFINANCE(A13, ""price"", TODAY()-5, TODAY()+1), 1, 0), 2, 2)"),71.02)</f>
        <v>71.02</v>
      </c>
      <c r="E13" s="15">
        <f>IFERROR(__xludf.DUMMYFUNCTION("INDEX(GOOGLEFINANCE(A13, ""price"", TODAY()-14, TODAY()), ROWS(GOOGLEFINANCE(A13, ""price"", TODAY()-14, TODAY()))-1, 2)"),70.6)</f>
        <v>70.6</v>
      </c>
      <c r="F13" s="4"/>
      <c r="G13" s="17">
        <f>IFERROR(__xludf.DUMMYFUNCTION("MAX(QUERY(GOOGLEFINANCE(A13, ""price"", TODAY()-365, TODAY()), ""select Col2 label Col2 ''"", 1))"),77.92)</f>
        <v>77.92</v>
      </c>
      <c r="H13" s="17">
        <f>IFERROR(__xludf.DUMMYFUNCTION("MIN(QUERY(GOOGLEFINANCE(A13, ""price"", TODAY()-365, TODAY()), ""select Col2 label Col2 ''"", 1))"),29.23)</f>
        <v>29.23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4712</v>
      </c>
      <c r="B14" s="13" t="s">
        <v>4713</v>
      </c>
      <c r="C14" s="4"/>
      <c r="D14" s="14">
        <f>IFERROR(__xludf.DUMMYFUNCTION("INDEX(SORT(GOOGLEFINANCE(A14, ""price"", TODAY()-5, TODAY()+1), 1, 0), 2, 2)"),60.22)</f>
        <v>60.22</v>
      </c>
      <c r="E14" s="15">
        <f>IFERROR(__xludf.DUMMYFUNCTION("INDEX(GOOGLEFINANCE(A14, ""price"", TODAY()-14, TODAY()), ROWS(GOOGLEFINANCE(A14, ""price"", TODAY()-14, TODAY()))-1, 2)"),60.85)</f>
        <v>60.85</v>
      </c>
      <c r="F14" s="4"/>
      <c r="G14" s="17">
        <f>IFERROR(__xludf.DUMMYFUNCTION("MAX(QUERY(GOOGLEFINANCE(A14, ""price"", TODAY()-365, TODAY()), ""select Col2 label Col2 ''"", 1))"),82.03)</f>
        <v>82.03</v>
      </c>
      <c r="H14" s="17">
        <f>IFERROR(__xludf.DUMMYFUNCTION("MIN(QUERY(GOOGLEFINANCE(A14, ""price"", TODAY()-365, TODAY()), ""select Col2 label Col2 ''"", 1))"),58.68)</f>
        <v>58.68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1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4714</v>
      </c>
      <c r="B16" s="4" t="s">
        <v>4715</v>
      </c>
      <c r="C16" s="18" t="s">
        <v>4716</v>
      </c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4717</v>
      </c>
      <c r="B17" s="4" t="s">
        <v>4718</v>
      </c>
      <c r="C17" s="18" t="s">
        <v>4716</v>
      </c>
      <c r="D17" s="1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4719</v>
      </c>
      <c r="B18" s="4" t="s">
        <v>4720</v>
      </c>
      <c r="C18" s="18" t="s">
        <v>4716</v>
      </c>
      <c r="D18" s="1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4721</v>
      </c>
      <c r="B19" s="4" t="s">
        <v>4722</v>
      </c>
      <c r="C19" s="18" t="s">
        <v>4716</v>
      </c>
      <c r="D19" s="1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4723</v>
      </c>
      <c r="B20" s="4" t="s">
        <v>4724</v>
      </c>
      <c r="C20" s="18" t="s">
        <v>4716</v>
      </c>
      <c r="D20" s="1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4725</v>
      </c>
      <c r="B21" s="4" t="s">
        <v>4726</v>
      </c>
      <c r="C21" s="18" t="s">
        <v>4716</v>
      </c>
      <c r="D21" s="1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4727</v>
      </c>
      <c r="B22" s="4" t="s">
        <v>4728</v>
      </c>
      <c r="C22" s="18" t="s">
        <v>4716</v>
      </c>
      <c r="D22" s="1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4729</v>
      </c>
      <c r="B23" s="4" t="s">
        <v>4730</v>
      </c>
      <c r="C23" s="18" t="s">
        <v>4716</v>
      </c>
      <c r="D23" s="1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4731</v>
      </c>
      <c r="B24" s="4" t="s">
        <v>4732</v>
      </c>
      <c r="C24" s="18" t="s">
        <v>4733</v>
      </c>
      <c r="E24" s="1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4734</v>
      </c>
      <c r="B25" s="4" t="s">
        <v>4735</v>
      </c>
      <c r="C25" s="18" t="s">
        <v>4733</v>
      </c>
      <c r="E25" s="1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4736</v>
      </c>
      <c r="B26" s="4" t="s">
        <v>4737</v>
      </c>
      <c r="C26" s="18" t="s">
        <v>4733</v>
      </c>
      <c r="E26" s="1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4738</v>
      </c>
      <c r="B27" s="4" t="s">
        <v>4739</v>
      </c>
      <c r="C27" s="18" t="s">
        <v>4733</v>
      </c>
      <c r="E27" s="1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4740</v>
      </c>
      <c r="B28" s="4" t="s">
        <v>4741</v>
      </c>
      <c r="C28" s="18" t="s">
        <v>4733</v>
      </c>
      <c r="E28" s="1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4742</v>
      </c>
      <c r="B29" s="4" t="s">
        <v>4743</v>
      </c>
      <c r="C29" s="18" t="s">
        <v>4744</v>
      </c>
      <c r="E29" s="1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4745</v>
      </c>
      <c r="B30" s="4" t="s">
        <v>4746</v>
      </c>
      <c r="C30" s="18" t="s">
        <v>4744</v>
      </c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4747</v>
      </c>
      <c r="B31" s="4" t="s">
        <v>4701</v>
      </c>
      <c r="C31" s="18" t="s">
        <v>4748</v>
      </c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4749</v>
      </c>
      <c r="B32" s="4" t="s">
        <v>4750</v>
      </c>
      <c r="C32" s="18" t="s">
        <v>4748</v>
      </c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4751</v>
      </c>
      <c r="B33" s="4" t="s">
        <v>4752</v>
      </c>
      <c r="C33" s="18" t="s">
        <v>4748</v>
      </c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4753</v>
      </c>
      <c r="B34" s="4" t="s">
        <v>4754</v>
      </c>
      <c r="C34" s="18" t="s">
        <v>4748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1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1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1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1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1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1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1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1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1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1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1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1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1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1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1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1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1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1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1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1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1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1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1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1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1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1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1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1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1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1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1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1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1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1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1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1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1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1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1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1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1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1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1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1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1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1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1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1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1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1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1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1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1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1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1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1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1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1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1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1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1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1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1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1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1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1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1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1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1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1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1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1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1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1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1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1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1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1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1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1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1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1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1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1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1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1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1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1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1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1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1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1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1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1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1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1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1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1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1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1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1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1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1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1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1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1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1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1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1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1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1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1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1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1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1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1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1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1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1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1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1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1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1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1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1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1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1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1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1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1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1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1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1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1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1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1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1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1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1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1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1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1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1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1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1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1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1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1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1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1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1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1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1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1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1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1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1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1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1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1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1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1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1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1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1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1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1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1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1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1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1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1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1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1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1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1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1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1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1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1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1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1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1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1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1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1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1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1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1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1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1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1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1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1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1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1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1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1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1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1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1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1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1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1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1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1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1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1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1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1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1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1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1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1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1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1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1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1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1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1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1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1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1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1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1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1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1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1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1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1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1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1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1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1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1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1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1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1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1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1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1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1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1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1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1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1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1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1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1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1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1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1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1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1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1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1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1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1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1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1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1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1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1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1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1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1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1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1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1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1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1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1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1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1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1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1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1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1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1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1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1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1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1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1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1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1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1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1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1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1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1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1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1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1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1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1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1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1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1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1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1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1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1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1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1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1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1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1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1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1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1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1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1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1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1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1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1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1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1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1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1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1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1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1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1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1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1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1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1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1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1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1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1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1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1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1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1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1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1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1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1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1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1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1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1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1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1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1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1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1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1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1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1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1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1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1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1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1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1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1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1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1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1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1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1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1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1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1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1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1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1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1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1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1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1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1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1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1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1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1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1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1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1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1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1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1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1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1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1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1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1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1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1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1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1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1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1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1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1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1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1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1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1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1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1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1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1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1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1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1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1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1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1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1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1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1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1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1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1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1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1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1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1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1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1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1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1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1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1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1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1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1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1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1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1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1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1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1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1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1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1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1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1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1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1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1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1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1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1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1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1">
    <mergeCell ref="C31:D31"/>
    <mergeCell ref="C32:D32"/>
    <mergeCell ref="C33:D33"/>
    <mergeCell ref="C34:D34"/>
    <mergeCell ref="C24:D24"/>
    <mergeCell ref="C25:D25"/>
    <mergeCell ref="C26:D26"/>
    <mergeCell ref="C27:D27"/>
    <mergeCell ref="C28:D28"/>
    <mergeCell ref="C29:D29"/>
    <mergeCell ref="C30:D30"/>
  </mergeCells>
  <drawing r:id="rId1"/>
</worksheet>
</file>