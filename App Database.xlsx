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ces" sheetId="1" r:id="rId4"/>
    <sheet state="visible" name="Dashboard" sheetId="2" r:id="rId5"/>
    <sheet state="visible" name="Formulae" sheetId="3" r:id="rId6"/>
    <sheet state="visible" name="URLs" sheetId="4" r:id="rId7"/>
  </sheets>
  <definedNames/>
  <calcPr/>
</workbook>
</file>

<file path=xl/sharedStrings.xml><?xml version="1.0" encoding="utf-8"?>
<sst xmlns="http://schemas.openxmlformats.org/spreadsheetml/2006/main" count="8412" uniqueCount="4778">
  <si>
    <t>ASX Code</t>
  </si>
  <si>
    <t>Company Name</t>
  </si>
  <si>
    <t>Sector</t>
  </si>
  <si>
    <t>LivePrice</t>
  </si>
  <si>
    <t>PrevClose</t>
  </si>
  <si>
    <t>PE</t>
  </si>
  <si>
    <t>High52</t>
  </si>
  <si>
    <t>Low52</t>
  </si>
  <si>
    <t>MarketCap</t>
  </si>
  <si>
    <t>API_Price</t>
  </si>
  <si>
    <t>API_PrevClose</t>
  </si>
  <si>
    <t>API_High52</t>
  </si>
  <si>
    <t>API_Low52</t>
  </si>
  <si>
    <t>API_PE</t>
  </si>
  <si>
    <t>Life360 Inc. CDI 3:1 Foreign Exempt Xngs</t>
  </si>
  <si>
    <t>Software</t>
  </si>
  <si>
    <t>10X</t>
  </si>
  <si>
    <t>Exultant Mining Limited Ordinary</t>
  </si>
  <si>
    <t>Integrated Mining</t>
  </si>
  <si>
    <t>N/A</t>
  </si>
  <si>
    <t>14D</t>
  </si>
  <si>
    <t>1414 Degrees Limited Ordinary</t>
  </si>
  <si>
    <t>Electrical Components &amp; Equipment</t>
  </si>
  <si>
    <t>1AD</t>
  </si>
  <si>
    <t>Adalta Limited Ordinary</t>
  </si>
  <si>
    <t>Biotechnology &amp; Medical Research</t>
  </si>
  <si>
    <t>1AE</t>
  </si>
  <si>
    <t>Aurora Energy Metals Limited Ordinary</t>
  </si>
  <si>
    <t>Uranium</t>
  </si>
  <si>
    <t>1AI</t>
  </si>
  <si>
    <t>Algorae Pharmaceuticals Limited Ordinary</t>
  </si>
  <si>
    <t>1CG</t>
  </si>
  <si>
    <t>One Click Group Limited Ordinary</t>
  </si>
  <si>
    <t>Financial Technology (Fintech)</t>
  </si>
  <si>
    <t>1GOV</t>
  </si>
  <si>
    <t>Vaneck 1-5 Year Australian Government Bond ETF</t>
  </si>
  <si>
    <t>ETF</t>
  </si>
  <si>
    <t>1MC</t>
  </si>
  <si>
    <t>Morella Corporation Limited Ordinary</t>
  </si>
  <si>
    <t>Specialty Mining &amp; Metals</t>
  </si>
  <si>
    <t>1TT</t>
  </si>
  <si>
    <t>Thrive Tribe Technologies Limited Ordinary</t>
  </si>
  <si>
    <t>28BB</t>
  </si>
  <si>
    <t>BetaShares 2028 Fixed Term Corp Bond Active ETF</t>
  </si>
  <si>
    <t>29BB</t>
  </si>
  <si>
    <t>BetaShares 2029 Fixed Term Corp Bond Active ETF</t>
  </si>
  <si>
    <t>29M</t>
  </si>
  <si>
    <t>29METALS Limited Ordinary</t>
  </si>
  <si>
    <t>30BB</t>
  </si>
  <si>
    <t>BetaShares 2030 Fixed Term Corp Bond Active ETF</t>
  </si>
  <si>
    <t>3DA</t>
  </si>
  <si>
    <t>Amaero Ltd Ordinary</t>
  </si>
  <si>
    <t>Industrial Machinery &amp; Equipment</t>
  </si>
  <si>
    <t>3DP</t>
  </si>
  <si>
    <t>Pointerra Limited Ordinary</t>
  </si>
  <si>
    <t>3PL</t>
  </si>
  <si>
    <t>3P Learning Limited. Ordinary</t>
  </si>
  <si>
    <t>4DS</t>
  </si>
  <si>
    <t>4DS Memory Limited Ordinary</t>
  </si>
  <si>
    <t>Computer Hardware</t>
  </si>
  <si>
    <t>4DX</t>
  </si>
  <si>
    <t>4DMEDICAL Limited Ordinary</t>
  </si>
  <si>
    <t>Advanced Medical Equipment &amp; Technology</t>
  </si>
  <si>
    <t>5EA</t>
  </si>
  <si>
    <t>5E Advanced Materials Inc. CDI 10:1</t>
  </si>
  <si>
    <t>5GG</t>
  </si>
  <si>
    <t>Pentanet Limited Ordinary</t>
  </si>
  <si>
    <t>Wireless Telecommunications Services</t>
  </si>
  <si>
    <t>5GN</t>
  </si>
  <si>
    <t>5G Networks Limited Ordinary</t>
  </si>
  <si>
    <t>Online Services</t>
  </si>
  <si>
    <t>5GOV</t>
  </si>
  <si>
    <t>Vaneck 5-10 Year Australian Government Bond ETF</t>
  </si>
  <si>
    <t>6KA</t>
  </si>
  <si>
    <t>6K Additive, Inc. CDI 1:1 US Person Prohibited Excluding QIB</t>
  </si>
  <si>
    <t>Aluminum</t>
  </si>
  <si>
    <t>88E</t>
  </si>
  <si>
    <t>88 Energy Limited Ordinary</t>
  </si>
  <si>
    <t>Oil &amp; Gas Exploration and Production</t>
  </si>
  <si>
    <t>8CO</t>
  </si>
  <si>
    <t>8COMMON Limited Ordinary</t>
  </si>
  <si>
    <t>8IH</t>
  </si>
  <si>
    <t>8I Holdings Ltd CDI 1:1</t>
  </si>
  <si>
    <t>Holding Companies</t>
  </si>
  <si>
    <t>A11</t>
  </si>
  <si>
    <t>Atlantic Lithium Limited Ordinary</t>
  </si>
  <si>
    <t>A1G</t>
  </si>
  <si>
    <t>African Gold Ltd. Ordinary</t>
  </si>
  <si>
    <t>Gold</t>
  </si>
  <si>
    <t>A1M</t>
  </si>
  <si>
    <t>AIC Mines Limited Ordinary</t>
  </si>
  <si>
    <t>A1N</t>
  </si>
  <si>
    <t>ARN Media Limited Ordinary</t>
  </si>
  <si>
    <t>Broadcasting</t>
  </si>
  <si>
    <t>A200</t>
  </si>
  <si>
    <t>BetaShares Australia 200 ETF</t>
  </si>
  <si>
    <t>A2M</t>
  </si>
  <si>
    <t>The A2 Milk Company Limited Ordinary</t>
  </si>
  <si>
    <t>Food Processing</t>
  </si>
  <si>
    <t>A300</t>
  </si>
  <si>
    <t>Global X Australia 300 ETF</t>
  </si>
  <si>
    <t>A3D</t>
  </si>
  <si>
    <t>Aurora Labs Limited Ordinary</t>
  </si>
  <si>
    <t>Electronic Equipment &amp; Parts</t>
  </si>
  <si>
    <t>A4N</t>
  </si>
  <si>
    <t>Alpha HPA Limited Ordinary</t>
  </si>
  <si>
    <t>Commodity Chemicals</t>
  </si>
  <si>
    <t>A8G</t>
  </si>
  <si>
    <t>Australasian Metals Limited Ordinary</t>
  </si>
  <si>
    <t>AA2</t>
  </si>
  <si>
    <t>Ariana Resources PLC CDI 1:10</t>
  </si>
  <si>
    <t>Materials</t>
  </si>
  <si>
    <t>AAA</t>
  </si>
  <si>
    <t>BetaShares Australian High Interest Cash ETF</t>
  </si>
  <si>
    <t>AAC</t>
  </si>
  <si>
    <t>Australian Agricultural Company Limited Ordinary</t>
  </si>
  <si>
    <t>AAI</t>
  </si>
  <si>
    <t>Alcoa Corporation CDI 1:1 Foreign Exempt NYSE</t>
  </si>
  <si>
    <t>Materials (Aluminum)</t>
  </si>
  <si>
    <t>AAJ</t>
  </si>
  <si>
    <t>Aruma Resources Limited Ordinary</t>
  </si>
  <si>
    <t>AAL</t>
  </si>
  <si>
    <t>Alfabs Australia Limited Ordinary</t>
  </si>
  <si>
    <t>Construction &amp; Engineering</t>
  </si>
  <si>
    <t>AAM</t>
  </si>
  <si>
    <t>Aumega Metals Ltd Ordinary</t>
  </si>
  <si>
    <t>AAP</t>
  </si>
  <si>
    <t>Australian Agricultural Projects Limited Ordinary</t>
  </si>
  <si>
    <t>Fishing &amp; Farming</t>
  </si>
  <si>
    <t>AAR</t>
  </si>
  <si>
    <t>Astral Resources NL Ordinary</t>
  </si>
  <si>
    <t>AASF</t>
  </si>
  <si>
    <t>Airlie Australian Share Fund - Active ETF</t>
  </si>
  <si>
    <t>AAU</t>
  </si>
  <si>
    <t>Antilles Gold Limited Ordinary</t>
  </si>
  <si>
    <t>ABB</t>
  </si>
  <si>
    <t>Aussie Broadband Limited Ordinary</t>
  </si>
  <si>
    <t>Integrated Telecommunications Services</t>
  </si>
  <si>
    <t>ABE</t>
  </si>
  <si>
    <t>Australian Bond Exchange Holdings Limited Ordinary</t>
  </si>
  <si>
    <t>Investment Banking &amp; Brokerage Services</t>
  </si>
  <si>
    <t>ABG</t>
  </si>
  <si>
    <t>Abacus Group Ordinary/Units Stapled Securities</t>
  </si>
  <si>
    <t>Real Estate Rental, Devel &amp; Operations</t>
  </si>
  <si>
    <t>ABR</t>
  </si>
  <si>
    <t>Albright Metals Ltd Ordinary</t>
  </si>
  <si>
    <t>ABV</t>
  </si>
  <si>
    <t>Advanced Braking Technology Ltd Ordinary</t>
  </si>
  <si>
    <t>Auto, Truck &amp; Motorcycle Parts</t>
  </si>
  <si>
    <t>ABX</t>
  </si>
  <si>
    <t>ABX Group Limited Ordinary</t>
  </si>
  <si>
    <t>ABY</t>
  </si>
  <si>
    <t>Adore Beauty Group Limited Ordinary</t>
  </si>
  <si>
    <t>Department Stores</t>
  </si>
  <si>
    <t>ACDC</t>
  </si>
  <si>
    <t>Global X Battery Tech &amp; Lithium ETF</t>
  </si>
  <si>
    <t>ACE</t>
  </si>
  <si>
    <t>Acusensus Limited Ordinary</t>
  </si>
  <si>
    <t>Communications &amp; Networking</t>
  </si>
  <si>
    <t>ACF</t>
  </si>
  <si>
    <t>Acrow Limited Ordinary</t>
  </si>
  <si>
    <t>Business Support Services</t>
  </si>
  <si>
    <t>ACL</t>
  </si>
  <si>
    <t>Australian Clinical Labs Limited Ordinary</t>
  </si>
  <si>
    <t>Healthcare Facilities &amp; Services</t>
  </si>
  <si>
    <t>ACM</t>
  </si>
  <si>
    <t>Australian Critical Minerals Limited Ordinary</t>
  </si>
  <si>
    <t>ACP</t>
  </si>
  <si>
    <t>Audalia Resources Limited Ordinary</t>
  </si>
  <si>
    <t>ACQ</t>
  </si>
  <si>
    <t>Acorn Capital Investment Fund Limited Ordinary</t>
  </si>
  <si>
    <t>Investment Management &amp; Fund Operators</t>
  </si>
  <si>
    <t>ACR</t>
  </si>
  <si>
    <t>Acrux Limited Ordinary</t>
  </si>
  <si>
    <t>Pharmaceuticals</t>
  </si>
  <si>
    <t>ACS</t>
  </si>
  <si>
    <t>Accent Resources NL Ordinary</t>
  </si>
  <si>
    <t>ACU</t>
  </si>
  <si>
    <t>Acumentis Group Limited Ordinary</t>
  </si>
  <si>
    <t>Real Estate Services</t>
  </si>
  <si>
    <t>ACW</t>
  </si>
  <si>
    <t>Actinogen Medical Limited Ordinary</t>
  </si>
  <si>
    <t>AD1</t>
  </si>
  <si>
    <t>Adneo Limited Ordinary</t>
  </si>
  <si>
    <t>IT Services &amp; Consulting</t>
  </si>
  <si>
    <t>AD8</t>
  </si>
  <si>
    <t>Audinate Group Limited Ordinary</t>
  </si>
  <si>
    <t>ADC</t>
  </si>
  <si>
    <t>Acdc Metals Ltd Ordinary</t>
  </si>
  <si>
    <t>ADD</t>
  </si>
  <si>
    <t>Adavale Resources Limited Ordinary</t>
  </si>
  <si>
    <t>ADEF</t>
  </si>
  <si>
    <t>Apostle Dundas Global Eqty Fund - Class D Active ETF</t>
  </si>
  <si>
    <t>ADG</t>
  </si>
  <si>
    <t>Adelong Gold Limited Ordinary</t>
  </si>
  <si>
    <t>ADH</t>
  </si>
  <si>
    <t>Adairs Limited Ordinary</t>
  </si>
  <si>
    <t>Home Furnishings Retailers</t>
  </si>
  <si>
    <t>ADN</t>
  </si>
  <si>
    <t>Andromeda Metals Limited Ordinary</t>
  </si>
  <si>
    <t>ADO</t>
  </si>
  <si>
    <t>Anteotech Ltd Ordinary</t>
  </si>
  <si>
    <t>ADR</t>
  </si>
  <si>
    <t>Adherium Limited Ordinary</t>
  </si>
  <si>
    <t>ADS</t>
  </si>
  <si>
    <t>Adslot Ltd. Ordinary</t>
  </si>
  <si>
    <t>ADV</t>
  </si>
  <si>
    <t>Ardiden Ltd Ordinary</t>
  </si>
  <si>
    <t>ADX</t>
  </si>
  <si>
    <t>ADX Energy Ltd Ordinary</t>
  </si>
  <si>
    <t>ADY</t>
  </si>
  <si>
    <t>Admiralty Resources NL Ordinary</t>
  </si>
  <si>
    <t>Steel</t>
  </si>
  <si>
    <t>AEBD</t>
  </si>
  <si>
    <t>BetaShares Ethical Australian Composite Bond ETF</t>
  </si>
  <si>
    <t>AEE</t>
  </si>
  <si>
    <t>Aura Energy Limited Ordinary</t>
  </si>
  <si>
    <t>AEF</t>
  </si>
  <si>
    <t>Australian Ethical Investment Limited Ordinary</t>
  </si>
  <si>
    <t>AEG</t>
  </si>
  <si>
    <t>Aland Equity Group Limited Ordinary Fully Paid</t>
  </si>
  <si>
    <t>AEI</t>
  </si>
  <si>
    <t>Aeris Environmental Ltd Ordinary</t>
  </si>
  <si>
    <t>Environmental Services &amp; Equipment</t>
  </si>
  <si>
    <t>AEL</t>
  </si>
  <si>
    <t>Amplitude Energy Limited Ordinary</t>
  </si>
  <si>
    <t>AEM</t>
  </si>
  <si>
    <t>Advanced Energy Minerals Ltd Ordinary</t>
  </si>
  <si>
    <t>Specialty Chemicals</t>
  </si>
  <si>
    <t>AER</t>
  </si>
  <si>
    <t>Aeeris Ltd Ordinary</t>
  </si>
  <si>
    <t>AESG</t>
  </si>
  <si>
    <t>iShares Global Aggregate Bond ESG (AUD Hedged) ETF</t>
  </si>
  <si>
    <t>AEU</t>
  </si>
  <si>
    <t>Atomic Eagle Ltd Ordinary</t>
  </si>
  <si>
    <t>AEV</t>
  </si>
  <si>
    <t>Avenira Limited Ordinary</t>
  </si>
  <si>
    <t>AFA</t>
  </si>
  <si>
    <t>ASF Group Limited Ordinary</t>
  </si>
  <si>
    <t>AFG</t>
  </si>
  <si>
    <t>Australian Finance Group Ltd Ordinary</t>
  </si>
  <si>
    <t>Consumer Lending</t>
  </si>
  <si>
    <t>AFI</t>
  </si>
  <si>
    <t>Australian Foundation Investment Company Limited Ordinary</t>
  </si>
  <si>
    <t>AFL</t>
  </si>
  <si>
    <t>AF Legal Group Ltd Ordinary</t>
  </si>
  <si>
    <t>Personal Services</t>
  </si>
  <si>
    <t>AFP</t>
  </si>
  <si>
    <t>AFT Pharmaceuticals Limited Ordinary Foreign Exempt NZX</t>
  </si>
  <si>
    <t>AGC</t>
  </si>
  <si>
    <t>Australian Gold and Copper Ltd Ordinary</t>
  </si>
  <si>
    <t>AGD</t>
  </si>
  <si>
    <t>Austral Gold Limited Ordinary</t>
  </si>
  <si>
    <t>AGE</t>
  </si>
  <si>
    <t>Alligator Energy Limited Ordinary</t>
  </si>
  <si>
    <t>AGGG</t>
  </si>
  <si>
    <t>iShares Core Global Aggregate Bond (AUD HDG) ETF</t>
  </si>
  <si>
    <t>AGI</t>
  </si>
  <si>
    <t>Ainsworth Game Technology Limited Ordinary</t>
  </si>
  <si>
    <t>Casinos &amp; Gaming</t>
  </si>
  <si>
    <t>AGL</t>
  </si>
  <si>
    <t>AGL Energy Limited Ordinary</t>
  </si>
  <si>
    <t>Multiline Utilities</t>
  </si>
  <si>
    <t>AGN</t>
  </si>
  <si>
    <t>Argenica Therapeutics Limited Ordinary</t>
  </si>
  <si>
    <t>AGR</t>
  </si>
  <si>
    <t>Aguia Resources Limited Ordinary</t>
  </si>
  <si>
    <t>Agricultural Chemicals</t>
  </si>
  <si>
    <t>AGVT</t>
  </si>
  <si>
    <t>BetaShares Australian Government Bond ETF</t>
  </si>
  <si>
    <t>AGX1</t>
  </si>
  <si>
    <t>Antipodes Global Value Active ETF</t>
  </si>
  <si>
    <t>AGY</t>
  </si>
  <si>
    <t>Argosy Minerals Limited Ordinary</t>
  </si>
  <si>
    <t>AHC</t>
  </si>
  <si>
    <t>Austco Healthcare Limited Ordinary</t>
  </si>
  <si>
    <t>Medical Equipment, Supplies &amp; Dist'n</t>
  </si>
  <si>
    <t>AHE</t>
  </si>
  <si>
    <t>Adheris Health Limited Ordinary</t>
  </si>
  <si>
    <t>AHF</t>
  </si>
  <si>
    <t>Australian Dairy Nutritionals Limited Ordinary</t>
  </si>
  <si>
    <t>AHK</t>
  </si>
  <si>
    <t>ARK Mines Limited Ordinary</t>
  </si>
  <si>
    <t>AHL</t>
  </si>
  <si>
    <t>Adrad Holdings Limited Ordinary</t>
  </si>
  <si>
    <t>AHN</t>
  </si>
  <si>
    <t>Athena Resources Limited Ordinary</t>
  </si>
  <si>
    <t>AHX</t>
  </si>
  <si>
    <t>Apiam Animal Health Limited Ordinary</t>
  </si>
  <si>
    <t>AI1</t>
  </si>
  <si>
    <t>Adisyn Ltd Ordinary</t>
  </si>
  <si>
    <t>AIA</t>
  </si>
  <si>
    <t>Auckland International Airport Limited Ordinary Foreign Exempt NZX</t>
  </si>
  <si>
    <t>Airport Operators &amp; Services</t>
  </si>
  <si>
    <t>AIH</t>
  </si>
  <si>
    <t>Advanced Innergy Holdings Limited Ordinary</t>
  </si>
  <si>
    <t>Energy</t>
  </si>
  <si>
    <t>AII</t>
  </si>
  <si>
    <t>Almonty Industries Inc. CDI 1:1</t>
  </si>
  <si>
    <t>AIM</t>
  </si>
  <si>
    <t>AI-Media Technologies Limited Ordinary</t>
  </si>
  <si>
    <t>AINF</t>
  </si>
  <si>
    <t>Global X AI Infrastructure ETF</t>
  </si>
  <si>
    <t>AIQ</t>
  </si>
  <si>
    <t>Alternative Investment Trust Ordinary Units</t>
  </si>
  <si>
    <t>AIS</t>
  </si>
  <si>
    <t>Aeris Resources Limited Ordinary</t>
  </si>
  <si>
    <t>AIV</t>
  </si>
  <si>
    <t>Activex Limited Ordinary</t>
  </si>
  <si>
    <t>AIZ</t>
  </si>
  <si>
    <t>Air New Zealand Limited Ordinary Foreign Exempt NZX</t>
  </si>
  <si>
    <t>Airlines</t>
  </si>
  <si>
    <t>AJL</t>
  </si>
  <si>
    <t>AJ Lucas Group Limited Ordinary</t>
  </si>
  <si>
    <t>Coal</t>
  </si>
  <si>
    <t>AJX</t>
  </si>
  <si>
    <t>Alexium International Group Limited Ordinary</t>
  </si>
  <si>
    <t>AKA</t>
  </si>
  <si>
    <t>Aureka Limited Ordinary</t>
  </si>
  <si>
    <t>AKG</t>
  </si>
  <si>
    <t>Academies Australasia Group Limited Ordinary</t>
  </si>
  <si>
    <t>School, College &amp; University</t>
  </si>
  <si>
    <t>AKM</t>
  </si>
  <si>
    <t>Aspire Mining Limited Ordinary</t>
  </si>
  <si>
    <t>AKN</t>
  </si>
  <si>
    <t>Auking Mining Limited Ordinary</t>
  </si>
  <si>
    <t>AKO</t>
  </si>
  <si>
    <t>Akora Resources Limited Ordinary</t>
  </si>
  <si>
    <t>AKP</t>
  </si>
  <si>
    <t>Audio Pixels Holdings Limited Ordinary</t>
  </si>
  <si>
    <t>Semiconductors</t>
  </si>
  <si>
    <t>AL3</t>
  </si>
  <si>
    <t>Aml3d Limited Ordinary</t>
  </si>
  <si>
    <t>ALA</t>
  </si>
  <si>
    <t>Arovella Therapeutics Limited Ordinary</t>
  </si>
  <si>
    <t>ALB</t>
  </si>
  <si>
    <t>Albion Resources Limited Ordinary</t>
  </si>
  <si>
    <t>ALC</t>
  </si>
  <si>
    <t>Alcidion Group Limited Ordinary</t>
  </si>
  <si>
    <t>ALD</t>
  </si>
  <si>
    <t>Ampol Limited Ordinary</t>
  </si>
  <si>
    <t>Oil &amp; Gas Refining and Marketing</t>
  </si>
  <si>
    <t>ALFA</t>
  </si>
  <si>
    <t>Vaneck Australian Long Short Complex ETF</t>
  </si>
  <si>
    <t>ALI</t>
  </si>
  <si>
    <t>Argo Global Listed Infrastructure Limited Ordinary</t>
  </si>
  <si>
    <t>ALK</t>
  </si>
  <si>
    <t>Alkane Resources Limited Ordinary</t>
  </si>
  <si>
    <t>ALL</t>
  </si>
  <si>
    <t>Aristocrat Leisure Limited Ordinary</t>
  </si>
  <si>
    <t>ALM</t>
  </si>
  <si>
    <t>Alma Metals Limited CDI 1:1</t>
  </si>
  <si>
    <t>ALPH</t>
  </si>
  <si>
    <t>Schroder Global Equity Alpha Fund - Active ETF</t>
  </si>
  <si>
    <t>ALQ</t>
  </si>
  <si>
    <t>ALS Limited Ordinary</t>
  </si>
  <si>
    <t>ALR</t>
  </si>
  <si>
    <t>Altair Minerals Limited Ordinary</t>
  </si>
  <si>
    <t>ALTB</t>
  </si>
  <si>
    <t>iShares 15+ Year Australian Government Bond ETF</t>
  </si>
  <si>
    <t>ALV</t>
  </si>
  <si>
    <t>Alvo Minerals Limited Ordinary</t>
  </si>
  <si>
    <t>ALX</t>
  </si>
  <si>
    <t>Atlas Arteria FPO Stap US Prohibited Excluding QIB/QP</t>
  </si>
  <si>
    <t>Highways &amp; Rail Tracks</t>
  </si>
  <si>
    <t>ALY</t>
  </si>
  <si>
    <t>Alchemy Resources Limited Ordinary</t>
  </si>
  <si>
    <t>AM5</t>
  </si>
  <si>
    <t>Antares Metals Limited Ordinary</t>
  </si>
  <si>
    <t>AM7</t>
  </si>
  <si>
    <t>Arcadia Minerals Limited CDI 1:1</t>
  </si>
  <si>
    <t>AMA</t>
  </si>
  <si>
    <t>AMA Group Limited Ordinary</t>
  </si>
  <si>
    <t>AMC</t>
  </si>
  <si>
    <t>Amcor PLC CDI 1:1 Foreign Exempt NYSE</t>
  </si>
  <si>
    <t>Non-Paper Containers &amp; Packaging</t>
  </si>
  <si>
    <t>AMD</t>
  </si>
  <si>
    <t>Arrow Minerals Ltd Ordinary</t>
  </si>
  <si>
    <t>AMH</t>
  </si>
  <si>
    <t>Amcil Limited Ordinary</t>
  </si>
  <si>
    <t>AMI</t>
  </si>
  <si>
    <t>Aurelia Metals Limited Ordinary</t>
  </si>
  <si>
    <t>AMN</t>
  </si>
  <si>
    <t>Agrimin Limited Ordinary</t>
  </si>
  <si>
    <t>AMO</t>
  </si>
  <si>
    <t>Ambertech Limited Ordinary</t>
  </si>
  <si>
    <t>Household Electronics</t>
  </si>
  <si>
    <t>AMP</t>
  </si>
  <si>
    <t>AMP Limited Ordinary</t>
  </si>
  <si>
    <t>Diversified Investment Services</t>
  </si>
  <si>
    <t>AMS</t>
  </si>
  <si>
    <t>Atomos Limited Ordinary</t>
  </si>
  <si>
    <t>AMU</t>
  </si>
  <si>
    <t>American Uranium Ltd Ordinary</t>
  </si>
  <si>
    <t>AMX</t>
  </si>
  <si>
    <t>Aerometrex Limited Ordinary</t>
  </si>
  <si>
    <t>Mining Support Services &amp; Equipment</t>
  </si>
  <si>
    <t>AN1</t>
  </si>
  <si>
    <t>Anagenics Limited Ordinary</t>
  </si>
  <si>
    <t>Other Specialty Retailers</t>
  </si>
  <si>
    <t>ANG</t>
  </si>
  <si>
    <t>Austin Engineering Limited Ordinary</t>
  </si>
  <si>
    <t>Heavy Machinery &amp; Vehicles</t>
  </si>
  <si>
    <t>ANN</t>
  </si>
  <si>
    <t>Ansell Limited Ordinary</t>
  </si>
  <si>
    <t>ANO</t>
  </si>
  <si>
    <t>Advance Zinctek Limited Ordinary</t>
  </si>
  <si>
    <t>ANR</t>
  </si>
  <si>
    <t>Anatara Lifesciences Ltd Ordinary</t>
  </si>
  <si>
    <t>ANX</t>
  </si>
  <si>
    <t>Anax Metals Limited Ordinary</t>
  </si>
  <si>
    <t>ANZ</t>
  </si>
  <si>
    <t>ANZ Group Holdings Limited Ordinary</t>
  </si>
  <si>
    <t>Banks</t>
  </si>
  <si>
    <t>AOA</t>
  </si>
  <si>
    <t>Ausmon Resources Limited Ordinary</t>
  </si>
  <si>
    <t>AOF</t>
  </si>
  <si>
    <t>Australian Unity Office Fund Ordinary Units</t>
  </si>
  <si>
    <t>Commercial REITs</t>
  </si>
  <si>
    <t>AOH</t>
  </si>
  <si>
    <t>Assetora Limited Ordinary</t>
  </si>
  <si>
    <t>DELISTED</t>
  </si>
  <si>
    <t>AOK</t>
  </si>
  <si>
    <t>Australian Oil Company Limited Ordinary</t>
  </si>
  <si>
    <t>AON</t>
  </si>
  <si>
    <t>Apollo Minerals Limited Ordinary</t>
  </si>
  <si>
    <t>AOV</t>
  </si>
  <si>
    <t>Amotiv Limited Ordinary</t>
  </si>
  <si>
    <t>APA</t>
  </si>
  <si>
    <t>APA Group Units Stapled Securities</t>
  </si>
  <si>
    <t>Natural Gas Utilities</t>
  </si>
  <si>
    <t>APC</t>
  </si>
  <si>
    <t>APC Minerals Limited Ordinary</t>
  </si>
  <si>
    <t>APE</t>
  </si>
  <si>
    <t>Eagers Automotive Limited Ordinary</t>
  </si>
  <si>
    <t>Auto Vehicles, Parts &amp; Svc Retailers</t>
  </si>
  <si>
    <t>APL</t>
  </si>
  <si>
    <t>Associate Global Partners Limited Ordinary</t>
  </si>
  <si>
    <t>APW</t>
  </si>
  <si>
    <t>Aims Property Securities Fund Ordinary Units</t>
  </si>
  <si>
    <t>APX</t>
  </si>
  <si>
    <t>Appen Limited Ordinary</t>
  </si>
  <si>
    <t>APZ</t>
  </si>
  <si>
    <t>Aspen Group Ordinary/Units Stapled Securities</t>
  </si>
  <si>
    <t>AQC</t>
  </si>
  <si>
    <t>Australian Pacific Coal Limited Ordinary</t>
  </si>
  <si>
    <t>AQD</t>
  </si>
  <si>
    <t>Ausquest Limited Ordinary</t>
  </si>
  <si>
    <t>AQI</t>
  </si>
  <si>
    <t>Alicanto Minerals Limited Ordinary</t>
  </si>
  <si>
    <t>Precious Metals &amp; Minerals</t>
  </si>
  <si>
    <t>AQLT</t>
  </si>
  <si>
    <t>BetaShares Australian Quality ETF</t>
  </si>
  <si>
    <t>AQN</t>
  </si>
  <si>
    <t>Aquirian Limited Ordinary</t>
  </si>
  <si>
    <t>AQX</t>
  </si>
  <si>
    <t>Alice Queen Limited Ordinary</t>
  </si>
  <si>
    <t>AQZ</t>
  </si>
  <si>
    <t>Alliance Aviation Services Limited Ordinary</t>
  </si>
  <si>
    <t>AR1</t>
  </si>
  <si>
    <t>Austral Resources Australia Ltd Ordinary</t>
  </si>
  <si>
    <t>AR3</t>
  </si>
  <si>
    <t>Australian Rare Earths Limited Ordinary</t>
  </si>
  <si>
    <t>AR9</t>
  </si>
  <si>
    <t>Archtis Limited Ordinary</t>
  </si>
  <si>
    <t>ARA</t>
  </si>
  <si>
    <t>Ariadne Australia Limited Ordinary</t>
  </si>
  <si>
    <t>ARB</t>
  </si>
  <si>
    <t>ARB Corporation Limited Ordinary</t>
  </si>
  <si>
    <t>ARC</t>
  </si>
  <si>
    <t>ARC Funds Limited Ordinary</t>
  </si>
  <si>
    <t>ARD</t>
  </si>
  <si>
    <t>Argent Minerals Limited Ordinary</t>
  </si>
  <si>
    <t>ARF</t>
  </si>
  <si>
    <t>Arena Reit. Ordinary/Units Stapled Securities</t>
  </si>
  <si>
    <t>Specialized REITs</t>
  </si>
  <si>
    <t>ARG</t>
  </si>
  <si>
    <t>Argo Investments Limited Ordinary</t>
  </si>
  <si>
    <t>ARI</t>
  </si>
  <si>
    <t>Arika Resources Limited Ordinary</t>
  </si>
  <si>
    <t>ARL</t>
  </si>
  <si>
    <t>Ardea Resources Limited Ordinary</t>
  </si>
  <si>
    <t>ARMR</t>
  </si>
  <si>
    <t>BetaShares Global Defence ETF</t>
  </si>
  <si>
    <t>ARN</t>
  </si>
  <si>
    <t>Aldoro Resources Limited Ordinary</t>
  </si>
  <si>
    <t>ARR</t>
  </si>
  <si>
    <t>American Rare Earths Limited Ordinary</t>
  </si>
  <si>
    <t>ART</t>
  </si>
  <si>
    <t>Airtasker Limited Ordinary</t>
  </si>
  <si>
    <t>ARU</t>
  </si>
  <si>
    <t>Arafura Rare Earths Ltd Ordinary</t>
  </si>
  <si>
    <t>ARV</t>
  </si>
  <si>
    <t>Artemis Resources Limited Ordinary</t>
  </si>
  <si>
    <t>ARX</t>
  </si>
  <si>
    <t>Aroa Biosurgery Limited Ordinary</t>
  </si>
  <si>
    <t>AS1</t>
  </si>
  <si>
    <t>Asara Resources Limited Ordinary</t>
  </si>
  <si>
    <t>AS2</t>
  </si>
  <si>
    <t>Askari Metals Limited Ordinary</t>
  </si>
  <si>
    <t>ASAO</t>
  </si>
  <si>
    <t>Abrdn Sust Asian Opportunities Active ETF</t>
  </si>
  <si>
    <t>ASB</t>
  </si>
  <si>
    <t>Austal Limited Ordinary</t>
  </si>
  <si>
    <t>Aerospace &amp; Defense</t>
  </si>
  <si>
    <t>ASG</t>
  </si>
  <si>
    <t>Autosports Group Limited Ordinary</t>
  </si>
  <si>
    <t>ASH</t>
  </si>
  <si>
    <t>Ashley Services Group Limited Ordinary</t>
  </si>
  <si>
    <t>Employment Services</t>
  </si>
  <si>
    <t>ASIA</t>
  </si>
  <si>
    <t>BetaShares Asia Technology Tigers ETF</t>
  </si>
  <si>
    <t>ASK</t>
  </si>
  <si>
    <t>Abacus Storage King Ordinary/Units Stapled Securities</t>
  </si>
  <si>
    <t>ASL</t>
  </si>
  <si>
    <t>Andean Silver Limited Ordinary</t>
  </si>
  <si>
    <t>ASM</t>
  </si>
  <si>
    <t>Australian Strategic Materials Limited Ordinary</t>
  </si>
  <si>
    <t>ASN</t>
  </si>
  <si>
    <t>Anson Resources Limited Ordinary</t>
  </si>
  <si>
    <t>ASP</t>
  </si>
  <si>
    <t>Aspermont Limited Ordinary</t>
  </si>
  <si>
    <t>Consumer Publishing</t>
  </si>
  <si>
    <t>ASQ</t>
  </si>
  <si>
    <t>Australian Silica Quartz Group Ltd Ordinary</t>
  </si>
  <si>
    <t>ASV</t>
  </si>
  <si>
    <t>Asset Vision Co Ltd Ordinary</t>
  </si>
  <si>
    <t>ASX</t>
  </si>
  <si>
    <t>ASX Limited Ordinary</t>
  </si>
  <si>
    <t>Financial, Commodity Market Ops &amp; Svc</t>
  </si>
  <si>
    <t>AT1</t>
  </si>
  <si>
    <t>Atomo Diagnostics Limited Ordinary</t>
  </si>
  <si>
    <t>AT4</t>
  </si>
  <si>
    <t>American Tungsten &amp; Antimony Ltd Ordinary</t>
  </si>
  <si>
    <t>ATA</t>
  </si>
  <si>
    <t>Atturra Limited Ordinary</t>
  </si>
  <si>
    <t>ATC</t>
  </si>
  <si>
    <t>Altech Batteries Ltd Ordinary</t>
  </si>
  <si>
    <t>ATEC</t>
  </si>
  <si>
    <t>BetaShares S&amp;P/ASX Australian Technology ETF</t>
  </si>
  <si>
    <t>ATG</t>
  </si>
  <si>
    <t>Articore Group Limited Ordinary</t>
  </si>
  <si>
    <t>ATH</t>
  </si>
  <si>
    <t>Alterity Therapeutics Limited Ordinary</t>
  </si>
  <si>
    <t>ATM</t>
  </si>
  <si>
    <t>Aneka Tambang (Persero) TBK (PT) CDI 1:5</t>
  </si>
  <si>
    <t>ATOM</t>
  </si>
  <si>
    <t>Global X Uranium ETF</t>
  </si>
  <si>
    <t>ATP</t>
  </si>
  <si>
    <t>Atlas Pearls Ltd Ordinary</t>
  </si>
  <si>
    <t>Apparel &amp; Accessories</t>
  </si>
  <si>
    <t>ATR</t>
  </si>
  <si>
    <t>Astron Limited Ordinary</t>
  </si>
  <si>
    <t>ATS</t>
  </si>
  <si>
    <t>Australis Oil &amp; Gas Limited Ordinary</t>
  </si>
  <si>
    <t>ATT</t>
  </si>
  <si>
    <t>Altitude Minerals Ltd Ordinary</t>
  </si>
  <si>
    <t>ATV</t>
  </si>
  <si>
    <t>Activeport Group Ltd Ordinary</t>
  </si>
  <si>
    <t>ATX</t>
  </si>
  <si>
    <t>Amplia Therapeutics Limited Ordinary</t>
  </si>
  <si>
    <t>AU1</t>
  </si>
  <si>
    <t>The Agency Group Australia Ltd Ordinary</t>
  </si>
  <si>
    <t>AUA</t>
  </si>
  <si>
    <t>Audeara Limited Ordinary</t>
  </si>
  <si>
    <t>AUB</t>
  </si>
  <si>
    <t>AUB Group Limited Ordinary</t>
  </si>
  <si>
    <t>Multiline Insurance &amp; Brokers</t>
  </si>
  <si>
    <t>AUC</t>
  </si>
  <si>
    <t>Ausgold Limited Ordinary</t>
  </si>
  <si>
    <t>AUDS</t>
  </si>
  <si>
    <t>BetaShares Strong Australian Dollar Complex ETF</t>
  </si>
  <si>
    <t>AUE</t>
  </si>
  <si>
    <t>Aurum Resources Limited Ordinary</t>
  </si>
  <si>
    <t>AUG</t>
  </si>
  <si>
    <t>Augustus Minerals Limited Ordinary</t>
  </si>
  <si>
    <t>AUI</t>
  </si>
  <si>
    <t>Australian United Investment Company Limited Ordinary</t>
  </si>
  <si>
    <t>AUK</t>
  </si>
  <si>
    <t>Aumake Limited Ordinary</t>
  </si>
  <si>
    <t>Food Retail &amp; Distribution</t>
  </si>
  <si>
    <t>AUMF</t>
  </si>
  <si>
    <t>iShares Edge MSCI Australia Multifactor ETF</t>
  </si>
  <si>
    <t>AUQ</t>
  </si>
  <si>
    <t>Alara Resources Limited Ordinary</t>
  </si>
  <si>
    <t>AUR</t>
  </si>
  <si>
    <t>Auris Minerals Limited Ordinary</t>
  </si>
  <si>
    <t>AUST</t>
  </si>
  <si>
    <t>BetaShares Managed Risk Australian Shares Complex ETF</t>
  </si>
  <si>
    <t>AUV</t>
  </si>
  <si>
    <t>Auravelle Metals Limited Ordinary</t>
  </si>
  <si>
    <t>AUZ</t>
  </si>
  <si>
    <t>Australian Mines Limited Ordinary</t>
  </si>
  <si>
    <t>AV1</t>
  </si>
  <si>
    <t>Adveritas Limited Ordinary</t>
  </si>
  <si>
    <t>AVA</t>
  </si>
  <si>
    <t>AVA Risk Group Limited Ordinary</t>
  </si>
  <si>
    <t>AVD</t>
  </si>
  <si>
    <t>Avada Group Limited Ordinary</t>
  </si>
  <si>
    <t>AVE</t>
  </si>
  <si>
    <t>Avecho Biotechnology Limited Ordinary</t>
  </si>
  <si>
    <t>AVG</t>
  </si>
  <si>
    <t>Australian Vintage Ltd Ordinary</t>
  </si>
  <si>
    <t>Distillers &amp; Wineries</t>
  </si>
  <si>
    <t>AVH</t>
  </si>
  <si>
    <t>Avita Medical Inc. CDI 5:1</t>
  </si>
  <si>
    <t>AVL</t>
  </si>
  <si>
    <t>Australian Vanadium Limited Ordinary</t>
  </si>
  <si>
    <t>AVM</t>
  </si>
  <si>
    <t>Advance Metals Limited Ordinary</t>
  </si>
  <si>
    <t>AVR</t>
  </si>
  <si>
    <t>Anteris Technologies Global Corp. CDI 1:1 US Prohibited</t>
  </si>
  <si>
    <t>AVW</t>
  </si>
  <si>
    <t>Avira Resources Ltd Ordinary</t>
  </si>
  <si>
    <t>AW1</t>
  </si>
  <si>
    <t>American West Metals Limited Ordinary</t>
  </si>
  <si>
    <t>AWJ</t>
  </si>
  <si>
    <t>Auric Mining Limited Ordinary</t>
  </si>
  <si>
    <t>AX1</t>
  </si>
  <si>
    <t>Accent Group Limited Ordinary</t>
  </si>
  <si>
    <t>Apparel &amp; Accessories Retailers</t>
  </si>
  <si>
    <t>AX8</t>
  </si>
  <si>
    <t>Accelerate Resources Limited Ordinary</t>
  </si>
  <si>
    <t>AXE</t>
  </si>
  <si>
    <t>Archer Materials Limited Ordinary</t>
  </si>
  <si>
    <t>AXI</t>
  </si>
  <si>
    <t>Axtec Limited Ordinary</t>
  </si>
  <si>
    <t>AXL</t>
  </si>
  <si>
    <t>Axel REE Limited Ordinary</t>
  </si>
  <si>
    <t>AXN</t>
  </si>
  <si>
    <t>Alliance Nickel Limited Ordinary</t>
  </si>
  <si>
    <t>AXP</t>
  </si>
  <si>
    <t>AXP Energy Limited Ordinary</t>
  </si>
  <si>
    <t>AYA</t>
  </si>
  <si>
    <t>Artrya Limited Ordinary</t>
  </si>
  <si>
    <t>AYLD</t>
  </si>
  <si>
    <t>Global X S&amp;P/ASX 200 Covered Call Complex ETF</t>
  </si>
  <si>
    <t>AYM</t>
  </si>
  <si>
    <t>Australia United Mining Limited Ordinary</t>
  </si>
  <si>
    <t>AYT</t>
  </si>
  <si>
    <t>Austin Metals Limited Ordinary</t>
  </si>
  <si>
    <t>AZ9</t>
  </si>
  <si>
    <t>Asian Battery Metals PLC CDI 1:1</t>
  </si>
  <si>
    <t>AZI</t>
  </si>
  <si>
    <t>Altamin Limited Ordinary</t>
  </si>
  <si>
    <t>AZJ</t>
  </si>
  <si>
    <t>Aurizon Holdings Limited Ordinary</t>
  </si>
  <si>
    <t>Ground Freight &amp; Logistics</t>
  </si>
  <si>
    <t>AZY</t>
  </si>
  <si>
    <t>Antipa Minerals Limited Ordinary</t>
  </si>
  <si>
    <t>B4P</t>
  </si>
  <si>
    <t>Beforepay Group Limited Ordinary</t>
  </si>
  <si>
    <t>BANK</t>
  </si>
  <si>
    <t>Global X Australian Bank Credit ETF</t>
  </si>
  <si>
    <t>BAOR</t>
  </si>
  <si>
    <t>Aoris INT Fund (Class B) (Unhedged) Active ETF</t>
  </si>
  <si>
    <t>BAP</t>
  </si>
  <si>
    <t>Bapcor Limited Ordinary</t>
  </si>
  <si>
    <t>BAS</t>
  </si>
  <si>
    <t>Bass Oil Limited Ordinary</t>
  </si>
  <si>
    <t>BB1</t>
  </si>
  <si>
    <t>Blinklab Limited Ordinary</t>
  </si>
  <si>
    <t>BBAB</t>
  </si>
  <si>
    <t>BetaShares Geared Short AUS GOV Bond Complex ETF</t>
  </si>
  <si>
    <t>BBC</t>
  </si>
  <si>
    <t>Bank Banking Corporation Limited Ordinary</t>
  </si>
  <si>
    <t>BBFD</t>
  </si>
  <si>
    <t>BetaShares Geared Short US TR Bond CH Complex ETF</t>
  </si>
  <si>
    <t>BBL</t>
  </si>
  <si>
    <t>Brisbane Broncos Limited Ordinary</t>
  </si>
  <si>
    <t>Leisure &amp; Recreation</t>
  </si>
  <si>
    <t>BBN</t>
  </si>
  <si>
    <t>Baby Bunting Group Limited Ordinary</t>
  </si>
  <si>
    <t>BBOZ</t>
  </si>
  <si>
    <t>BetaShares Australian Equities Strong Bear Complex ETF</t>
  </si>
  <si>
    <t>BBT</t>
  </si>
  <si>
    <t>Betr Entertainment Limited Ordinary</t>
  </si>
  <si>
    <t>BBUS</t>
  </si>
  <si>
    <t>BetaShares US EQY Strong Bear CCY H Complex ETF</t>
  </si>
  <si>
    <t>BC8</t>
  </si>
  <si>
    <t>Black Cat Syndicate Limited Ordinary</t>
  </si>
  <si>
    <t>BCA</t>
  </si>
  <si>
    <t>Black Canyon Limited Ordinary</t>
  </si>
  <si>
    <t>BCB</t>
  </si>
  <si>
    <t>Bowen Coking Coal Limited Ordinary</t>
  </si>
  <si>
    <t>BCC</t>
  </si>
  <si>
    <t>Beam Communications Holdings Limited Ordinary</t>
  </si>
  <si>
    <t>BCI</t>
  </si>
  <si>
    <t>BCI Minerals Limited Ordinary</t>
  </si>
  <si>
    <t>BCK</t>
  </si>
  <si>
    <t>Brockman Mining Limited Ordinary</t>
  </si>
  <si>
    <t>BCM</t>
  </si>
  <si>
    <t>Brazilian Critical Minerals Limited Ordinary</t>
  </si>
  <si>
    <t>BCN</t>
  </si>
  <si>
    <t>Beacon Minerals Limited Ordinary</t>
  </si>
  <si>
    <t>BCOM</t>
  </si>
  <si>
    <t>Global X Bloomberg Commodity Complex ETF</t>
  </si>
  <si>
    <t>BDM</t>
  </si>
  <si>
    <t>Burgundy Diamond Mines Limited Ordinary</t>
  </si>
  <si>
    <t>BDX</t>
  </si>
  <si>
    <t>Bcal Diagnostics Limited Ordinary</t>
  </si>
  <si>
    <t>BEAR</t>
  </si>
  <si>
    <t>BetaShares Australian Equities Bear Complex ETF</t>
  </si>
  <si>
    <t>BEL</t>
  </si>
  <si>
    <t>Bentley Capital Limited Ordinary</t>
  </si>
  <si>
    <t>BEMG</t>
  </si>
  <si>
    <t>BetaShares MSCI Emerging Markets Complex ETF</t>
  </si>
  <si>
    <t>BEN</t>
  </si>
  <si>
    <t>Bendigo and Adelaide Bank Limited Ordinary</t>
  </si>
  <si>
    <t>BEO</t>
  </si>
  <si>
    <t>Beonic Ltd Ordinary</t>
  </si>
  <si>
    <t>BEST</t>
  </si>
  <si>
    <t>ETFS US Quality ETF</t>
  </si>
  <si>
    <t>BET</t>
  </si>
  <si>
    <t>Betmakers Technology Group Ltd Ordinary</t>
  </si>
  <si>
    <t>BEZ</t>
  </si>
  <si>
    <t>Besra Gold Inc. CDI 1:1</t>
  </si>
  <si>
    <t>BFG</t>
  </si>
  <si>
    <t>Bell Financial Group Limited Ordinary</t>
  </si>
  <si>
    <t>BFL</t>
  </si>
  <si>
    <t>BSP Financial Group Limited Ordinary</t>
  </si>
  <si>
    <t>BGA</t>
  </si>
  <si>
    <t>Bega Cheese Limited Ordinary</t>
  </si>
  <si>
    <t>BGBL</t>
  </si>
  <si>
    <t>BetaShares Global Shares ETF</t>
  </si>
  <si>
    <t>BGD</t>
  </si>
  <si>
    <t>Barton Gold Holdings Limited Ordinary</t>
  </si>
  <si>
    <t>BGE</t>
  </si>
  <si>
    <t>Bridge Saas Limited Ordinary</t>
  </si>
  <si>
    <t>BGL</t>
  </si>
  <si>
    <t>Bellevue Gold Limited Ordinary</t>
  </si>
  <si>
    <t>BGP</t>
  </si>
  <si>
    <t>Briscoe Group Australasia Limited Ordinary Foreign Exempt NZX</t>
  </si>
  <si>
    <t>BGT</t>
  </si>
  <si>
    <t>Bio-Gene Technology Ltd Ordinary</t>
  </si>
  <si>
    <t>BHD</t>
  </si>
  <si>
    <t>Benjamin Hornigold Limited Ordinary</t>
  </si>
  <si>
    <t>BHL</t>
  </si>
  <si>
    <t>Black Horse Mining Limited Ordinary</t>
  </si>
  <si>
    <t>BHM</t>
  </si>
  <si>
    <t>Broken Hill Mines Limited Ordinary</t>
  </si>
  <si>
    <t>BHP</t>
  </si>
  <si>
    <t>BHP Group Limited Ordinary</t>
  </si>
  <si>
    <t>BHYB</t>
  </si>
  <si>
    <t>BetaShares Australian Major Bank Hybrids Index ETF</t>
  </si>
  <si>
    <t>BILL</t>
  </si>
  <si>
    <t>iShares Core Cash ETF</t>
  </si>
  <si>
    <t>BIM</t>
  </si>
  <si>
    <t>Bindi Metals Limited Ordinary</t>
  </si>
  <si>
    <t>BIO</t>
  </si>
  <si>
    <t>Biome Australia Limited Ordinary</t>
  </si>
  <si>
    <t>BIS</t>
  </si>
  <si>
    <t>Bisalloy Steel Group Limited Ordinary</t>
  </si>
  <si>
    <t>BIT</t>
  </si>
  <si>
    <t>Biotron Limited Ordinary</t>
  </si>
  <si>
    <t>BKB</t>
  </si>
  <si>
    <t>Black Bear Minerals Limited Ordinary</t>
  </si>
  <si>
    <t>BKI</t>
  </si>
  <si>
    <t>BKI Investment Company Limited Ordinary</t>
  </si>
  <si>
    <t>BKT</t>
  </si>
  <si>
    <t>Black Rock Mining Limited Ordinary</t>
  </si>
  <si>
    <t>BKY</t>
  </si>
  <si>
    <t>Berkeley Energia Limited Ordinary</t>
  </si>
  <si>
    <t>BLG</t>
  </si>
  <si>
    <t>Bluglass Limited Ordinary</t>
  </si>
  <si>
    <t>BLU</t>
  </si>
  <si>
    <t>Blue Energy Limited Ordinary</t>
  </si>
  <si>
    <t>BLX</t>
  </si>
  <si>
    <t>Beacon Lighting Group Limited Ordinary</t>
  </si>
  <si>
    <t>Home Improvement Prod&amp;Svcs Retailers</t>
  </si>
  <si>
    <t>BLZ</t>
  </si>
  <si>
    <t>Blaze Minerals Limited Ordinary</t>
  </si>
  <si>
    <t>BM1</t>
  </si>
  <si>
    <t>Ballard Mining Limited Ordinary</t>
  </si>
  <si>
    <t>BM8</t>
  </si>
  <si>
    <t>Battery AGE Minerals Ltd Ordinary</t>
  </si>
  <si>
    <t>BMC</t>
  </si>
  <si>
    <t>BMC Minerals Ltd. CDI 1:1</t>
  </si>
  <si>
    <t>Materials (Base Metals)</t>
  </si>
  <si>
    <t>BMG</t>
  </si>
  <si>
    <t>BMG Resources Limited Ordinary</t>
  </si>
  <si>
    <t>BMH</t>
  </si>
  <si>
    <t>Baumart Holdings Limited Ordinary</t>
  </si>
  <si>
    <t>Courier, Postal, Air Freight&amp;Land Log</t>
  </si>
  <si>
    <t>BML</t>
  </si>
  <si>
    <t>Boab Metals Limited Ordinary</t>
  </si>
  <si>
    <t>BMM</t>
  </si>
  <si>
    <t>Bayan Mining and Minerals Limited Ordinary</t>
  </si>
  <si>
    <t>BMN</t>
  </si>
  <si>
    <t>Bannerman Energy Ltd Ordinary</t>
  </si>
  <si>
    <t>BMO</t>
  </si>
  <si>
    <t>Bastion Minerals Limited Ordinary</t>
  </si>
  <si>
    <t>BMR</t>
  </si>
  <si>
    <t>Ballymore Resources Limited Ordinary</t>
  </si>
  <si>
    <t>BMT</t>
  </si>
  <si>
    <t>Beamtree Holdings Limited Ordinary</t>
  </si>
  <si>
    <t>BNDS</t>
  </si>
  <si>
    <t>BetaShares Western Asset AUS Bond Active ETF</t>
  </si>
  <si>
    <t>BNKS</t>
  </si>
  <si>
    <t>BetaShares Global Banks Currency Hedged ETF</t>
  </si>
  <si>
    <t>BNL</t>
  </si>
  <si>
    <t>Blue Star Helium Limited Ordinary</t>
  </si>
  <si>
    <t>BNR</t>
  </si>
  <si>
    <t>Bulletin Resources Limited Ordinary</t>
  </si>
  <si>
    <t>BNZ</t>
  </si>
  <si>
    <t>Benz Mining Corp. CDI 1:1</t>
  </si>
  <si>
    <t>BOA</t>
  </si>
  <si>
    <t>BOA Resources Ltd Ordinary</t>
  </si>
  <si>
    <t>BOC</t>
  </si>
  <si>
    <t>Bougainville Copper Limited 1 Kina Ordinary</t>
  </si>
  <si>
    <t>BOE</t>
  </si>
  <si>
    <t>Boss Energy Ltd Ordinary</t>
  </si>
  <si>
    <t>BOL</t>
  </si>
  <si>
    <t>Boom Logistics Limited Ordinary</t>
  </si>
  <si>
    <t>BOND</t>
  </si>
  <si>
    <t>State Street SPDR S&amp;P/ASX iBoxx Australian Bond ETF</t>
  </si>
  <si>
    <t>BOQ</t>
  </si>
  <si>
    <t>Bank of Queensland Limited Ordinary</t>
  </si>
  <si>
    <t>BOT</t>
  </si>
  <si>
    <t>Botanix Pharmaceuticals Ltd Ordinary</t>
  </si>
  <si>
    <t>BP8</t>
  </si>
  <si>
    <t>BPH Global Ltd Ordinary</t>
  </si>
  <si>
    <t>BPG</t>
  </si>
  <si>
    <t>Black Pearl Group Limited Ordinary Foreign Exempt NZX</t>
  </si>
  <si>
    <t>Information Technology (Cloud/SaaS)</t>
  </si>
  <si>
    <t>BPH</t>
  </si>
  <si>
    <t>BPH Energy Ltd Ordinary</t>
  </si>
  <si>
    <t>BPM</t>
  </si>
  <si>
    <t>BPM Minerals Limited Ordinary</t>
  </si>
  <si>
    <t>BPP</t>
  </si>
  <si>
    <t>Babylon Pump &amp; Power Limited Ordinary</t>
  </si>
  <si>
    <t>BPT</t>
  </si>
  <si>
    <t>Beach Energy Limited Ordinary</t>
  </si>
  <si>
    <t>BRE</t>
  </si>
  <si>
    <t>Brazilian Rare Earths Limited Ordinary</t>
  </si>
  <si>
    <t>BRG</t>
  </si>
  <si>
    <t>Breville Group Limited Ordinary</t>
  </si>
  <si>
    <t>Appliances, Tools &amp; Housewares</t>
  </si>
  <si>
    <t>BRI</t>
  </si>
  <si>
    <t>Big River Industries Limited Ordinary</t>
  </si>
  <si>
    <t>Forest &amp; Wood Products</t>
  </si>
  <si>
    <t>BRK</t>
  </si>
  <si>
    <t>Brookside Energy Limited Ordinary</t>
  </si>
  <si>
    <t>BRL</t>
  </si>
  <si>
    <t>Bathurst Resources Limited Ordinary</t>
  </si>
  <si>
    <t>BRN</t>
  </si>
  <si>
    <t>Brainchip Holdings Ltd Ordinary</t>
  </si>
  <si>
    <t>BRU</t>
  </si>
  <si>
    <t>Buru Energy Limited Ordinary</t>
  </si>
  <si>
    <t>BRX</t>
  </si>
  <si>
    <t>Belararox Limited Ordinary</t>
  </si>
  <si>
    <t>BSA</t>
  </si>
  <si>
    <t>BSA Limited Ordinary</t>
  </si>
  <si>
    <t>BSL</t>
  </si>
  <si>
    <t>Bluescope Steel Limited Ordinary</t>
  </si>
  <si>
    <t>BSN</t>
  </si>
  <si>
    <t>Basin Energy Limited Ordinary</t>
  </si>
  <si>
    <t>BSUB</t>
  </si>
  <si>
    <t>BetaShares Australian Major Bank Subordinated Debt ETF</t>
  </si>
  <si>
    <t>BSX</t>
  </si>
  <si>
    <t>Blackstone Minerals Limited Ordinary</t>
  </si>
  <si>
    <t>BTC</t>
  </si>
  <si>
    <t>BTC Health Ltd Ordinary</t>
  </si>
  <si>
    <t>BTE</t>
  </si>
  <si>
    <t>Botala Energy Ltd Ordinary</t>
  </si>
  <si>
    <t>BTI</t>
  </si>
  <si>
    <t>Bailador Technology Investments Limited Ordinary</t>
  </si>
  <si>
    <t>BTL</t>
  </si>
  <si>
    <t>Beetaloo Energy Australia Limited Ordinary</t>
  </si>
  <si>
    <t>BTM</t>
  </si>
  <si>
    <t>Breakthrough Minerals Limited Ordinary</t>
  </si>
  <si>
    <t>BTN</t>
  </si>
  <si>
    <t>Butn Limited Ordinary</t>
  </si>
  <si>
    <t>Corporate Financial Services</t>
  </si>
  <si>
    <t>BTR</t>
  </si>
  <si>
    <t>Brightstar Resources Limited Ordinary</t>
  </si>
  <si>
    <t>BTXX</t>
  </si>
  <si>
    <t>Digitalx Bitcoin ETF</t>
  </si>
  <si>
    <t>BUB</t>
  </si>
  <si>
    <t>Bubs Australia Limited Ordinary</t>
  </si>
  <si>
    <t>BUGG</t>
  </si>
  <si>
    <t>Global X Cybersecurity ETF</t>
  </si>
  <si>
    <t>BUR</t>
  </si>
  <si>
    <t>Burley Minerals Ltd Ordinary</t>
  </si>
  <si>
    <t>BUS</t>
  </si>
  <si>
    <t>Bubalus Resources Limited Ordinary</t>
  </si>
  <si>
    <t>BUX</t>
  </si>
  <si>
    <t>Buxton Resources Limited Ordinary</t>
  </si>
  <si>
    <t>BUY</t>
  </si>
  <si>
    <t>Bounty Oil &amp; Gas NL Ordinary</t>
  </si>
  <si>
    <t>BVR</t>
  </si>
  <si>
    <t>Bellavista Resources Ltd Ordinary</t>
  </si>
  <si>
    <t>BVS</t>
  </si>
  <si>
    <t>Bravura Solutions Limited Ordinary</t>
  </si>
  <si>
    <t>BWF</t>
  </si>
  <si>
    <t>Blackwall Limited Ordinary</t>
  </si>
  <si>
    <t>BWN</t>
  </si>
  <si>
    <t>Bhagwan Marine Limited Ordinary</t>
  </si>
  <si>
    <t>Marine Port Services</t>
  </si>
  <si>
    <t>BWP</t>
  </si>
  <si>
    <t>BWP Group Ordinary/Units Stapled Securities</t>
  </si>
  <si>
    <t>BXB</t>
  </si>
  <si>
    <t>Brambles Limited Ordinary</t>
  </si>
  <si>
    <t>BXN</t>
  </si>
  <si>
    <t>Bioxyne Limited Ordinary</t>
  </si>
  <si>
    <t>C1X</t>
  </si>
  <si>
    <t>Cosmos Exploration Limited Ordinary</t>
  </si>
  <si>
    <t>C29</t>
  </si>
  <si>
    <t>C29 Metals Limited Ordinary</t>
  </si>
  <si>
    <t>C79</t>
  </si>
  <si>
    <t>Chrysos Corporation Limited Ordinary</t>
  </si>
  <si>
    <t>C7A</t>
  </si>
  <si>
    <t>Clara Resources Australia Ltd Ordinary</t>
  </si>
  <si>
    <t>CAA</t>
  </si>
  <si>
    <t>Capral Limited Ordinary</t>
  </si>
  <si>
    <t>CAE</t>
  </si>
  <si>
    <t>Cannindah Resources Limited Ordinary</t>
  </si>
  <si>
    <t>CAF</t>
  </si>
  <si>
    <t>Centrepoint Alliance Limited Ordinary</t>
  </si>
  <si>
    <t>CAM</t>
  </si>
  <si>
    <t>Clime Capital Limited Ordinary</t>
  </si>
  <si>
    <t>CAN</t>
  </si>
  <si>
    <t>Cann Group Limited Ordinary</t>
  </si>
  <si>
    <t>CAQ</t>
  </si>
  <si>
    <t>CAQ Holdings Limited Ordinary</t>
  </si>
  <si>
    <t>CAR</t>
  </si>
  <si>
    <t>Car Group Limited Ordinary</t>
  </si>
  <si>
    <t>CAT</t>
  </si>
  <si>
    <t>Catapult Sports Ltd Ordinary</t>
  </si>
  <si>
    <t>CAV</t>
  </si>
  <si>
    <t>Carnavale Resources Limited Ordinary</t>
  </si>
  <si>
    <t>CAY</t>
  </si>
  <si>
    <t>Canyon Resources Limited Ordinary</t>
  </si>
  <si>
    <t>CAZ</t>
  </si>
  <si>
    <t>Cazaly Resources Limited Ordinary</t>
  </si>
  <si>
    <t>CBA</t>
  </si>
  <si>
    <t>Commonwealth Bank of Australia. Ordinary</t>
  </si>
  <si>
    <t>CBE</t>
  </si>
  <si>
    <t>Cobre Limited Ordinary</t>
  </si>
  <si>
    <t>CBL</t>
  </si>
  <si>
    <t>Control Bionics Limited Ordinary</t>
  </si>
  <si>
    <t>CBO</t>
  </si>
  <si>
    <t>Cobram Estate Olives Limited Ordinary</t>
  </si>
  <si>
    <t>CBY</t>
  </si>
  <si>
    <t>Canterbury Resources Limited Ordinary</t>
  </si>
  <si>
    <t>CC5</t>
  </si>
  <si>
    <t>Clever Culture Systems Limited Ordinary</t>
  </si>
  <si>
    <t>CC9</t>
  </si>
  <si>
    <t>Chariot Resources Ltd Ordinary</t>
  </si>
  <si>
    <t>CCA</t>
  </si>
  <si>
    <t>Change Financial Limited Ordinary</t>
  </si>
  <si>
    <t>Miscellaneous Fintech Infrastructure</t>
  </si>
  <si>
    <t>CCE</t>
  </si>
  <si>
    <t>Carnegie Clean Energy Limited Ordinary</t>
  </si>
  <si>
    <t>Electric Utilities</t>
  </si>
  <si>
    <t>CCG</t>
  </si>
  <si>
    <t>Comms Group Ltd Ordinary</t>
  </si>
  <si>
    <t>CCL</t>
  </si>
  <si>
    <t>Cuscal Limited Ordinary</t>
  </si>
  <si>
    <t>CCM</t>
  </si>
  <si>
    <t>Cadoux Limited Ordinary</t>
  </si>
  <si>
    <t>Construction Materials</t>
  </si>
  <si>
    <t>CCO</t>
  </si>
  <si>
    <t>The Calmer Co International Limited Ordinary</t>
  </si>
  <si>
    <t>CCP</t>
  </si>
  <si>
    <t>Credit Corp Group Limited Ordinary</t>
  </si>
  <si>
    <t>CCR</t>
  </si>
  <si>
    <t>Credit Clear Limited Ordinary</t>
  </si>
  <si>
    <t>CCV</t>
  </si>
  <si>
    <t>Cash Converters International Ordinary</t>
  </si>
  <si>
    <t>CCX</t>
  </si>
  <si>
    <t>City Chic Collective Limited Ordinary</t>
  </si>
  <si>
    <t>CD1</t>
  </si>
  <si>
    <t>CD Private Equity Fund I Ordinary Units</t>
  </si>
  <si>
    <t>CD2</t>
  </si>
  <si>
    <t>CD Private Equity Fund II Ordinary Units</t>
  </si>
  <si>
    <t>CD3</t>
  </si>
  <si>
    <t>CD Private Equity Fund III Ordinary Units</t>
  </si>
  <si>
    <t>CDA</t>
  </si>
  <si>
    <t>Codan Limited Ordinary</t>
  </si>
  <si>
    <t>CDE</t>
  </si>
  <si>
    <t>Codeifai Limited Ordinary</t>
  </si>
  <si>
    <t>CDM</t>
  </si>
  <si>
    <t>Cadence Capital Limited Ordinary</t>
  </si>
  <si>
    <t>CDO</t>
  </si>
  <si>
    <t>Cadence Opportunities Fund Limited Ordinary</t>
  </si>
  <si>
    <t>CDP</t>
  </si>
  <si>
    <t>Carindale Property Trust Ordinary Units</t>
  </si>
  <si>
    <t>CDR</t>
  </si>
  <si>
    <t>Codrus Minerals Limited Ordinary</t>
  </si>
  <si>
    <t>CDT</t>
  </si>
  <si>
    <t>Castle Minerals Limited Ordinary</t>
  </si>
  <si>
    <t>CEH</t>
  </si>
  <si>
    <t>Coast Entertainment Holdings Limited Ordinary</t>
  </si>
  <si>
    <t>CEL</t>
  </si>
  <si>
    <t>Challenger Gold Limited Ordinary</t>
  </si>
  <si>
    <t>CEN</t>
  </si>
  <si>
    <t>Contact Energy Limited Ordinary Foreign Exempt NZX</t>
  </si>
  <si>
    <t>CETF</t>
  </si>
  <si>
    <t>Vaneck FTSE China A50 ETF</t>
  </si>
  <si>
    <t>CF1</t>
  </si>
  <si>
    <t>Complii Fintech Solutions Ltd Ordinary</t>
  </si>
  <si>
    <t>CFLO</t>
  </si>
  <si>
    <t>BetaShares Global Cash Flow Kings ETF</t>
  </si>
  <si>
    <t>CG1</t>
  </si>
  <si>
    <t>Carbonxt Group Limited Ordinary</t>
  </si>
  <si>
    <t>CGF</t>
  </si>
  <si>
    <t>Challenger Limited Ordinary</t>
  </si>
  <si>
    <t>Life &amp; Health Insurance</t>
  </si>
  <si>
    <t>CGHE</t>
  </si>
  <si>
    <t>Claremont Global Fund (Hedged) Active ETF</t>
  </si>
  <si>
    <t>CGO</t>
  </si>
  <si>
    <t>CPT Global Limited Ordinary</t>
  </si>
  <si>
    <t>CGR</t>
  </si>
  <si>
    <t>CGN Resources Limited Ordinary</t>
  </si>
  <si>
    <t>CGS</t>
  </si>
  <si>
    <t>Cogstate Ltd Ordinary</t>
  </si>
  <si>
    <t>CGUN</t>
  </si>
  <si>
    <t>Claremont Global Fund Active ETF</t>
  </si>
  <si>
    <t>CHC</t>
  </si>
  <si>
    <t>Charter Hall Group Stapled Securities US Prohibited</t>
  </si>
  <si>
    <t>CHL</t>
  </si>
  <si>
    <t>Camplify Holdings Limited Ordinary</t>
  </si>
  <si>
    <t>CHM</t>
  </si>
  <si>
    <t>Chimeric Therapeutics Limited Ordinary</t>
  </si>
  <si>
    <t>CHN</t>
  </si>
  <si>
    <t>Chalice Mining Limited Ordinary</t>
  </si>
  <si>
    <t>CHR</t>
  </si>
  <si>
    <t>Charger Metals NL Ordinary</t>
  </si>
  <si>
    <t>CHW</t>
  </si>
  <si>
    <t>Chilwa Minerals Ltd Ordinary</t>
  </si>
  <si>
    <t>CI1</t>
  </si>
  <si>
    <t>Credit Intelligence Ltd Ordinary</t>
  </si>
  <si>
    <t>CIA</t>
  </si>
  <si>
    <t>Champion Iron Limited Ordinary</t>
  </si>
  <si>
    <t>CIIH</t>
  </si>
  <si>
    <t>CB Glbl Infrastructure Income (Hedged) Active ETF</t>
  </si>
  <si>
    <t>CIN</t>
  </si>
  <si>
    <t>Carlton Investments Limited Ordinary</t>
  </si>
  <si>
    <t>CIP</t>
  </si>
  <si>
    <t>Centuria Industrial Reit Ordinary Units</t>
  </si>
  <si>
    <t>CIVH</t>
  </si>
  <si>
    <t>CB Glbl Infrastructure Value (Hedged) Active ETF</t>
  </si>
  <si>
    <t>CIW</t>
  </si>
  <si>
    <t>Clime Investment Management Ltd Ordinary</t>
  </si>
  <si>
    <t>CKA</t>
  </si>
  <si>
    <t>Cokal Limited Ordinary</t>
  </si>
  <si>
    <t>CKF</t>
  </si>
  <si>
    <t>Collins Foods Limited Ordinary</t>
  </si>
  <si>
    <t>Restaurants &amp; Bars</t>
  </si>
  <si>
    <t>CL8</t>
  </si>
  <si>
    <t>CL8 Holdings Limited Ordinary</t>
  </si>
  <si>
    <t>Passenger Transportation, Ground &amp; Sea</t>
  </si>
  <si>
    <t>CLA</t>
  </si>
  <si>
    <t>Celsius Resources Limited Ordinary</t>
  </si>
  <si>
    <t>CLDD</t>
  </si>
  <si>
    <t>BetaShares Cloud Computing ETF</t>
  </si>
  <si>
    <t>CLE</t>
  </si>
  <si>
    <t>Cyclone Metals Limited Ordinary</t>
  </si>
  <si>
    <t>CLG</t>
  </si>
  <si>
    <t>Close The Loop Ltd. Ordinary</t>
  </si>
  <si>
    <t>CLNE</t>
  </si>
  <si>
    <t>Vaneck Global Clean Energy ETF</t>
  </si>
  <si>
    <t>CLU</t>
  </si>
  <si>
    <t>Cluey Ltd Ordinary</t>
  </si>
  <si>
    <t>CLV</t>
  </si>
  <si>
    <t>Clover Corporation Limited Ordinary</t>
  </si>
  <si>
    <t>CLW</t>
  </si>
  <si>
    <t>Charter Hall Long Wale Reit Units Stapled Securities</t>
  </si>
  <si>
    <t>CLX</t>
  </si>
  <si>
    <t>CTI Logistics Limited Ordinary</t>
  </si>
  <si>
    <t>CLZ</t>
  </si>
  <si>
    <t>Classic Minerals Ltd Ordinary</t>
  </si>
  <si>
    <t>CMA</t>
  </si>
  <si>
    <t>Carma Limited Ordinary</t>
  </si>
  <si>
    <t>CMB</t>
  </si>
  <si>
    <t>Cambium BIO Limited Ordinary</t>
  </si>
  <si>
    <t>CMD</t>
  </si>
  <si>
    <t>Cassius Mining Limited Ordinary</t>
  </si>
  <si>
    <t>CMG</t>
  </si>
  <si>
    <t>Critical Minerals Group Limited Ordinary</t>
  </si>
  <si>
    <t>CML</t>
  </si>
  <si>
    <t>Connected Minerals Limited Ordinary</t>
  </si>
  <si>
    <t>CMM</t>
  </si>
  <si>
    <t>Capricorn Metals Ltd Ordinary</t>
  </si>
  <si>
    <t>CMO</t>
  </si>
  <si>
    <t>Cosmo Metals Limited Ordinary</t>
  </si>
  <si>
    <t>CMP</t>
  </si>
  <si>
    <t>Compumedics Limited Ordinary</t>
  </si>
  <si>
    <t>CMW</t>
  </si>
  <si>
    <t>Cromwell Property Group Ordinary/Units Stapled Securities</t>
  </si>
  <si>
    <t>CMX</t>
  </si>
  <si>
    <t>Chemx Materials Limited Ordinary</t>
  </si>
  <si>
    <t>CNB</t>
  </si>
  <si>
    <t>Carnaby Resources Limited Ordinary</t>
  </si>
  <si>
    <t>CND</t>
  </si>
  <si>
    <t>Condor Energy Limited Ordinary</t>
  </si>
  <si>
    <t>CNEW</t>
  </si>
  <si>
    <t>Vaneck China New Economy ETF</t>
  </si>
  <si>
    <t>CNI</t>
  </si>
  <si>
    <t>Centuria Capital Group Ordinary/Units Stapled Securities</t>
  </si>
  <si>
    <t>CNJ</t>
  </si>
  <si>
    <t>Conico Ltd Ordinary</t>
  </si>
  <si>
    <t>CNQ</t>
  </si>
  <si>
    <t>Clean TEQ Water Limited Ordinary</t>
  </si>
  <si>
    <t>CNU</t>
  </si>
  <si>
    <t>Chorus Limited Ordinary Foreign Exempt NZX</t>
  </si>
  <si>
    <t>COB</t>
  </si>
  <si>
    <t>Cobalt Blue Holdings Limited Ordinary</t>
  </si>
  <si>
    <t>COD</t>
  </si>
  <si>
    <t>Coda Minerals Ltd Ordinary</t>
  </si>
  <si>
    <t>COF</t>
  </si>
  <si>
    <t>Centuria Office Reit Ordinary Units</t>
  </si>
  <si>
    <t>COG</t>
  </si>
  <si>
    <t>COG Financial Services Limited Ordinary</t>
  </si>
  <si>
    <t>COH</t>
  </si>
  <si>
    <t>Cochlear Limited Ordinary</t>
  </si>
  <si>
    <t>COI</t>
  </si>
  <si>
    <t>Comet Ridge Limited Ordinary</t>
  </si>
  <si>
    <t>COL</t>
  </si>
  <si>
    <t>Coles Group Limited Ordinary</t>
  </si>
  <si>
    <t>CORE</t>
  </si>
  <si>
    <t>Schroder Global Core Fund - Active ETF</t>
  </si>
  <si>
    <t>COS</t>
  </si>
  <si>
    <t>Cosol Limited Ordinary</t>
  </si>
  <si>
    <t>Professional Information Services</t>
  </si>
  <si>
    <t>COV</t>
  </si>
  <si>
    <t>Cleo Diagnostics Ltd Ordinary</t>
  </si>
  <si>
    <t>COY</t>
  </si>
  <si>
    <t>Coppermoly Limited Ordinary</t>
  </si>
  <si>
    <t>CP8</t>
  </si>
  <si>
    <t>Canadian Phosphate Limited Ordinary</t>
  </si>
  <si>
    <t>CPM</t>
  </si>
  <si>
    <t>Cooper Metals Limited Ordinary</t>
  </si>
  <si>
    <t>CPN</t>
  </si>
  <si>
    <t>Caspin Resources Limited Ordinary</t>
  </si>
  <si>
    <t>CPO</t>
  </si>
  <si>
    <t>Culpeo Minerals Limited Ordinary</t>
  </si>
  <si>
    <t>CPU</t>
  </si>
  <si>
    <t>Computershare Limited Ordinary</t>
  </si>
  <si>
    <t>CPV</t>
  </si>
  <si>
    <t>Clearvue Technologies Limited Ordinary</t>
  </si>
  <si>
    <t>Renewable Energy Equipment &amp; Services</t>
  </si>
  <si>
    <t>CQE</t>
  </si>
  <si>
    <t>Charter Hall Social Infrastructure Reit Ordinary Units</t>
  </si>
  <si>
    <t>CQR</t>
  </si>
  <si>
    <t>Charter Hall Retail Reit Ordinary Units</t>
  </si>
  <si>
    <t>CQT</t>
  </si>
  <si>
    <t>Conneqt Health Limited Ordinary</t>
  </si>
  <si>
    <t>CR1</t>
  </si>
  <si>
    <t>Constellation Resources Limited Ordinary</t>
  </si>
  <si>
    <t>CR3</t>
  </si>
  <si>
    <t>Core Energy Minerals Ltd Ordinary</t>
  </si>
  <si>
    <t>CR9</t>
  </si>
  <si>
    <t>Corella Resources Ltd Ordinary</t>
  </si>
  <si>
    <t>CRB</t>
  </si>
  <si>
    <t>Carbine Resources Limited Ordinary</t>
  </si>
  <si>
    <t>CRD</t>
  </si>
  <si>
    <t>Conrad Asia Energy Ltd. CDI 1:1</t>
  </si>
  <si>
    <t>CRED</t>
  </si>
  <si>
    <t>BetaShares Australian Investment Grade Corporate Bond ETF</t>
  </si>
  <si>
    <t>CRI</t>
  </si>
  <si>
    <t>Critica Limited Ordinary</t>
  </si>
  <si>
    <t>CRN</t>
  </si>
  <si>
    <t>Coronado Global Resources Inc. CDI 10:1</t>
  </si>
  <si>
    <t>CRR</t>
  </si>
  <si>
    <t>Critical Resources Limited Ordinary</t>
  </si>
  <si>
    <t>CRS</t>
  </si>
  <si>
    <t>Caprice Resources Ltd Ordinary</t>
  </si>
  <si>
    <t>CRYP</t>
  </si>
  <si>
    <t>BetaShares Crypto Innovators ETF</t>
  </si>
  <si>
    <t>CSC</t>
  </si>
  <si>
    <t>Capstone Copper Corp. CDI 1:1 Foreign Exempt TSX</t>
  </si>
  <si>
    <t>CSL</t>
  </si>
  <si>
    <t>CSL Limited Ordinary</t>
  </si>
  <si>
    <t>CST</t>
  </si>
  <si>
    <t>Castile Resources Ltd Ordinary</t>
  </si>
  <si>
    <t>CSX</t>
  </si>
  <si>
    <t>Cleanspace Holdings Limited Ordinary</t>
  </si>
  <si>
    <t>CT1</t>
  </si>
  <si>
    <t>Constellation Technologies Limited Ordinary</t>
  </si>
  <si>
    <t>CTD</t>
  </si>
  <si>
    <t>Corporate Travel Management Limited Ordinary</t>
  </si>
  <si>
    <t>CTE</t>
  </si>
  <si>
    <t>Cryosite Limited Ordinary</t>
  </si>
  <si>
    <t>CTM</t>
  </si>
  <si>
    <t>Centaurus Metals Limited Ordinary</t>
  </si>
  <si>
    <t>CTO</t>
  </si>
  <si>
    <t>Citigold Corporation Limited Ordinary</t>
  </si>
  <si>
    <t>CTP</t>
  </si>
  <si>
    <t>Central Petroleum Limited Ordinary</t>
  </si>
  <si>
    <t>CTQ</t>
  </si>
  <si>
    <t>Careteq Limited Ordinary</t>
  </si>
  <si>
    <t>CTT</t>
  </si>
  <si>
    <t>Cettire Limited Ordinary</t>
  </si>
  <si>
    <t>CU6</t>
  </si>
  <si>
    <t>Clarity Pharmaceuticals Ltd Ordinary</t>
  </si>
  <si>
    <t>CUE</t>
  </si>
  <si>
    <t>Cue Energy Resources Limited Ordinary</t>
  </si>
  <si>
    <t>CUF</t>
  </si>
  <si>
    <t>Cufe Ltd Ordinary</t>
  </si>
  <si>
    <t>CUIV</t>
  </si>
  <si>
    <t>CB Glbl Infrastructure Value Active ETF</t>
  </si>
  <si>
    <t>CUL</t>
  </si>
  <si>
    <t>Cullen Resources Limited Ordinary</t>
  </si>
  <si>
    <t>CUP</t>
  </si>
  <si>
    <t>Count Limited Ordinary</t>
  </si>
  <si>
    <t>CURE</t>
  </si>
  <si>
    <t>Global X S&amp;P Biotech ETF</t>
  </si>
  <si>
    <t>CUV</t>
  </si>
  <si>
    <t>Clinuvel Pharmaceuticals Limited Ordinary</t>
  </si>
  <si>
    <t>CVB</t>
  </si>
  <si>
    <t>Curvebeam AI Limited Ordinary</t>
  </si>
  <si>
    <t>CVC</t>
  </si>
  <si>
    <t>CVC Limited Ordinary</t>
  </si>
  <si>
    <t>CVL</t>
  </si>
  <si>
    <t>Civmec Limited Ordinary</t>
  </si>
  <si>
    <t>CVN</t>
  </si>
  <si>
    <t>Carnarvon Energy Limited Ordinary</t>
  </si>
  <si>
    <t>CVR</t>
  </si>
  <si>
    <t>Cavalier Resources Limited Ordinary</t>
  </si>
  <si>
    <t>CVV</t>
  </si>
  <si>
    <t>Caravel Minerals Limited Ordinary</t>
  </si>
  <si>
    <t>CVW</t>
  </si>
  <si>
    <t>Clearview Wealth Limited Ordinary</t>
  </si>
  <si>
    <t>CWP</t>
  </si>
  <si>
    <t>Cedar Woods Properties Limited Ordinary</t>
  </si>
  <si>
    <t>CWY</t>
  </si>
  <si>
    <t>Cleanaway Waste Management Limited Ordinary</t>
  </si>
  <si>
    <t>CXL</t>
  </si>
  <si>
    <t>Calix Limited Ordinary</t>
  </si>
  <si>
    <t>CXO</t>
  </si>
  <si>
    <t>Core Lithium Ltd Ordinary</t>
  </si>
  <si>
    <t>CXU</t>
  </si>
  <si>
    <t>Cauldron Energy Limited Ordinary</t>
  </si>
  <si>
    <t>CXZ</t>
  </si>
  <si>
    <t>Connexion Mobility Ltd Ordinary</t>
  </si>
  <si>
    <t>CY5</t>
  </si>
  <si>
    <t>Cygnus Metals Limited Ordinary</t>
  </si>
  <si>
    <t>CYB</t>
  </si>
  <si>
    <t>Aucyber Limited Ordinary</t>
  </si>
  <si>
    <t>CYC</t>
  </si>
  <si>
    <t>Cyclopharm Limited Ordinary</t>
  </si>
  <si>
    <t>CYG</t>
  </si>
  <si>
    <t>Coventry Group Limited Ordinary</t>
  </si>
  <si>
    <t>CYL</t>
  </si>
  <si>
    <t>Catalyst Metals Limited Ordinary</t>
  </si>
  <si>
    <t>CYM</t>
  </si>
  <si>
    <t>Cyprium Metals Limited Ordinary</t>
  </si>
  <si>
    <t>CYP</t>
  </si>
  <si>
    <t>Cynata Therapeutics Limited Ordinary</t>
  </si>
  <si>
    <t>CYQ</t>
  </si>
  <si>
    <t>Cycliq Group Ltd Ordinary</t>
  </si>
  <si>
    <t>CZN</t>
  </si>
  <si>
    <t>Corazon Mining Limited Ordinary</t>
  </si>
  <si>
    <t>CZR</t>
  </si>
  <si>
    <t>CZR Resources Ltd Ordinary</t>
  </si>
  <si>
    <t>D3E</t>
  </si>
  <si>
    <t>D3 Energy Limited Ordinary</t>
  </si>
  <si>
    <t>DACE</t>
  </si>
  <si>
    <t>Dimensional Australian Core Equity Trust - Active ETF</t>
  </si>
  <si>
    <t>DAF</t>
  </si>
  <si>
    <t>Discovery Alaska Limited Ordinary</t>
  </si>
  <si>
    <t>DAI</t>
  </si>
  <si>
    <t>Decidr AI Industries Ltd Ordinary</t>
  </si>
  <si>
    <t>DAL</t>
  </si>
  <si>
    <t>Dalaroo Metals Ltd Ordinary</t>
  </si>
  <si>
    <t>DAOR</t>
  </si>
  <si>
    <t>Aoris INT Fund (Class D) (Hedged) Active ETF</t>
  </si>
  <si>
    <t>DAVA</t>
  </si>
  <si>
    <t>Dimensional Australian Value Trust - Active ETF</t>
  </si>
  <si>
    <t>DBBF</t>
  </si>
  <si>
    <t>BetaShares Ethical Diversified Balanced ETF</t>
  </si>
  <si>
    <t>DBF</t>
  </si>
  <si>
    <t>Duxton Farms Ltd Ordinary</t>
  </si>
  <si>
    <t>DBI</t>
  </si>
  <si>
    <t>Dalrymple Bay Infrastructure Limited Ordinary/Notes Stapled Securities</t>
  </si>
  <si>
    <t>DBO</t>
  </si>
  <si>
    <t>Diablo Resources Limited Ordinary</t>
  </si>
  <si>
    <t>DCC</t>
  </si>
  <si>
    <t>Digitalx Limited Ordinary</t>
  </si>
  <si>
    <t>DCOR</t>
  </si>
  <si>
    <t>Daintree Core Income Active ETF</t>
  </si>
  <si>
    <t>DDR</t>
  </si>
  <si>
    <t>Dicker Data Limited Ordinary</t>
  </si>
  <si>
    <t>DDT</t>
  </si>
  <si>
    <t>Datadot Technology Limited Ordinary</t>
  </si>
  <si>
    <t>DEL</t>
  </si>
  <si>
    <t>Delorean Corporation Limited Ordinary</t>
  </si>
  <si>
    <t>DEM</t>
  </si>
  <si>
    <t>De.MEM Limited Ordinary</t>
  </si>
  <si>
    <t>Water &amp; Related Utilities</t>
  </si>
  <si>
    <t>DES</t>
  </si>
  <si>
    <t>Desoto Resources Limited Ordinary</t>
  </si>
  <si>
    <t>DEV</t>
  </si>
  <si>
    <t>Devex Resources Limited Ordinary</t>
  </si>
  <si>
    <t>DFGH</t>
  </si>
  <si>
    <t>Dimensional Global Core Equity Trust AUD Hedged - Active ETF</t>
  </si>
  <si>
    <t>DFND</t>
  </si>
  <si>
    <t>Vaneck Global Defence ETF</t>
  </si>
  <si>
    <t>DGCE</t>
  </si>
  <si>
    <t>Dimensional Global Core Equity Trust Unhedged - Active ETF</t>
  </si>
  <si>
    <t>DGGF</t>
  </si>
  <si>
    <t>BetaShares Ethical Diversified Growth ETF</t>
  </si>
  <si>
    <t>DGH</t>
  </si>
  <si>
    <t>Desane Group Holdings Limited Ordinary</t>
  </si>
  <si>
    <t>DGL</t>
  </si>
  <si>
    <t>DGL Group Limited Ordinary</t>
  </si>
  <si>
    <t>DGR</t>
  </si>
  <si>
    <t>DGR Global Limited Ordinary</t>
  </si>
  <si>
    <t>DGSM</t>
  </si>
  <si>
    <t>Dimensional Global Small Company - Active ETF</t>
  </si>
  <si>
    <t>DGT</t>
  </si>
  <si>
    <t>Digico Infrastructure Reit Ordinary/Units Stapled Securities</t>
  </si>
  <si>
    <t>DGVA</t>
  </si>
  <si>
    <t>Dimensional Global Value Trust - Active ETF</t>
  </si>
  <si>
    <t>DHHF</t>
  </si>
  <si>
    <t>BetaShares Diversified ALL Growth ETF</t>
  </si>
  <si>
    <t>DHOF</t>
  </si>
  <si>
    <t>Daintree Hybrid Opportunities Active ETF</t>
  </si>
  <si>
    <t>DIFF</t>
  </si>
  <si>
    <t>Perpetual Diversified Income Active ETF</t>
  </si>
  <si>
    <t>DIVI</t>
  </si>
  <si>
    <t>Ausbil Active Dividend Income Fund - Active ETF</t>
  </si>
  <si>
    <t>DJRE</t>
  </si>
  <si>
    <t>State Street SPDR DJ Global Real Estate ESG Tilted ETF</t>
  </si>
  <si>
    <t>DJW</t>
  </si>
  <si>
    <t>Djerriwarrh Investments Limited Ordinary</t>
  </si>
  <si>
    <t>DKM</t>
  </si>
  <si>
    <t>Duketon Mining Limited Ordinary</t>
  </si>
  <si>
    <t>DLI</t>
  </si>
  <si>
    <t>Delta Lithium Limited Ordinary</t>
  </si>
  <si>
    <t>DM1</t>
  </si>
  <si>
    <t>Desert Metals Limited Ordinary</t>
  </si>
  <si>
    <t>DME</t>
  </si>
  <si>
    <t>Dome Gold Mines Limited Ordinary</t>
  </si>
  <si>
    <t>DMG</t>
  </si>
  <si>
    <t>Dragon Mountain Gold Limited Ordinary</t>
  </si>
  <si>
    <t>DMM</t>
  </si>
  <si>
    <t>DMC Mining Limited Ordinary</t>
  </si>
  <si>
    <t>DMP</t>
  </si>
  <si>
    <t>Domino's Pizza Enterprises Limited Ordinary</t>
  </si>
  <si>
    <t>DN1</t>
  </si>
  <si>
    <t>Dominion Income Trust 1 Ordinary Units</t>
  </si>
  <si>
    <t>Mutual Funds</t>
  </si>
  <si>
    <t>DNL</t>
  </si>
  <si>
    <t>Dyno Nobel Limited Ordinary</t>
  </si>
  <si>
    <t>DOC</t>
  </si>
  <si>
    <t>Doctor Care Anywhere Group PLC CDI 1:1</t>
  </si>
  <si>
    <t>DOW</t>
  </si>
  <si>
    <t>Downer EDI Limited Ordinary</t>
  </si>
  <si>
    <t>DPM</t>
  </si>
  <si>
    <t>DPM Metals Inc. CDI 1:1 Foreign Exempt TSX</t>
  </si>
  <si>
    <t>Materials (Gold/Multi-Metals)</t>
  </si>
  <si>
    <t>DRE</t>
  </si>
  <si>
    <t>Dreadnought Resources Ltd Ordinary</t>
  </si>
  <si>
    <t>DRGN</t>
  </si>
  <si>
    <t>Global X China Tech ETF</t>
  </si>
  <si>
    <t>DRIV</t>
  </si>
  <si>
    <t>BetaShares Electric Vehicles and FTR Mobility ETF</t>
  </si>
  <si>
    <t>DRO</t>
  </si>
  <si>
    <t>Droneshield Limited Ordinary</t>
  </si>
  <si>
    <t>DRR</t>
  </si>
  <si>
    <t>Deterra Royalties Limited Ordinary</t>
  </si>
  <si>
    <t>DRUG</t>
  </si>
  <si>
    <t>BetaShares Global Healthcare Currency Hedged ETF</t>
  </si>
  <si>
    <t>DRX</t>
  </si>
  <si>
    <t>Diatreme Resources Limited Ordinary</t>
  </si>
  <si>
    <t>DSK</t>
  </si>
  <si>
    <t>Dusk Group Limited Ordinary</t>
  </si>
  <si>
    <t>Household Products</t>
  </si>
  <si>
    <t>DSM</t>
  </si>
  <si>
    <t>Desert Minerals Ltd Ordinary</t>
  </si>
  <si>
    <t>DTEC</t>
  </si>
  <si>
    <t>Global X Defence Tech ETF</t>
  </si>
  <si>
    <t>DTI</t>
  </si>
  <si>
    <t>DTI Group Ltd Ordinary</t>
  </si>
  <si>
    <t>DTL</t>
  </si>
  <si>
    <t>Data#3 Limited Ordinary</t>
  </si>
  <si>
    <t>DTM</t>
  </si>
  <si>
    <t>Dart Mining NL Ordinary</t>
  </si>
  <si>
    <t>DTR</t>
  </si>
  <si>
    <t>Dateline Resources Limited Ordinary</t>
  </si>
  <si>
    <t>DTZ</t>
  </si>
  <si>
    <t>Dotz Nano Limited Ordinary</t>
  </si>
  <si>
    <t>DUB</t>
  </si>
  <si>
    <t>Dubber Corporation Limited Ordinary</t>
  </si>
  <si>
    <t>DUG</t>
  </si>
  <si>
    <t>DUG Technology Ltd Ordinary</t>
  </si>
  <si>
    <t>DUI</t>
  </si>
  <si>
    <t>Diversified United Investment Limited Ordinary</t>
  </si>
  <si>
    <t>DUN</t>
  </si>
  <si>
    <t>Dundas Minerals Limited Ordinary</t>
  </si>
  <si>
    <t>DUR</t>
  </si>
  <si>
    <t>Duratec Limited Ordinary</t>
  </si>
  <si>
    <t>DVDY</t>
  </si>
  <si>
    <t>Vaneck Morningstar Australian Moat Income ETF</t>
  </si>
  <si>
    <t>DVL</t>
  </si>
  <si>
    <t>Dorsavi Ltd Ordinary</t>
  </si>
  <si>
    <t>DVP</t>
  </si>
  <si>
    <t>Develop Global Limited Ordinary</t>
  </si>
  <si>
    <t>DWG</t>
  </si>
  <si>
    <t>Dataworks Group Limited Ordinary</t>
  </si>
  <si>
    <t>DXB</t>
  </si>
  <si>
    <t>Dimerix Limited Ordinary</t>
  </si>
  <si>
    <t>DXC</t>
  </si>
  <si>
    <t>Dexus Convenience Retail Reit Units Stapled Securities</t>
  </si>
  <si>
    <t>DXI</t>
  </si>
  <si>
    <t>Dexus Industria Reit. Ordinary/Units Stapled Securities</t>
  </si>
  <si>
    <t>DXN</t>
  </si>
  <si>
    <t>DXN Limited Ordinary</t>
  </si>
  <si>
    <t>DXS</t>
  </si>
  <si>
    <t>Dexus Units Stapled Securities</t>
  </si>
  <si>
    <t>DYL</t>
  </si>
  <si>
    <t>Deep Yellow Limited Ordinary</t>
  </si>
  <si>
    <t>DYM</t>
  </si>
  <si>
    <t>Dynamic Metals Limited Ordinary</t>
  </si>
  <si>
    <t>DZZF</t>
  </si>
  <si>
    <t>BetaShares Ethical Diversified High Growth ETF</t>
  </si>
  <si>
    <t>E200</t>
  </si>
  <si>
    <t>State Street SPDR S&amp;P/ASX 200 ESG ETF</t>
  </si>
  <si>
    <t>E25</t>
  </si>
  <si>
    <t>Element 25 Limited Ordinary</t>
  </si>
  <si>
    <t>E79</t>
  </si>
  <si>
    <t>E79 Gold Mines Limited Ordinary</t>
  </si>
  <si>
    <t>EAFZ</t>
  </si>
  <si>
    <t>Ellerston Asia Growth Fund Complex ETF</t>
  </si>
  <si>
    <t>EARN</t>
  </si>
  <si>
    <t>PIMCO Short Term Active Yield Active ETF</t>
  </si>
  <si>
    <t>EAT</t>
  </si>
  <si>
    <t>Entertainment Rewards Ltd Ordinary</t>
  </si>
  <si>
    <t>EAX</t>
  </si>
  <si>
    <t>Energy Action Limited Ordinary</t>
  </si>
  <si>
    <t>EBND</t>
  </si>
  <si>
    <t>Vaneck Emerging Income Opportunities Active ETF</t>
  </si>
  <si>
    <t>EBO</t>
  </si>
  <si>
    <t>Ebos Group Limited Ordinary</t>
  </si>
  <si>
    <t>EBR</t>
  </si>
  <si>
    <t>EBR Systems Inc. CDI 1:1 US Person Prohibited Excluding QIB</t>
  </si>
  <si>
    <t>ECF</t>
  </si>
  <si>
    <t>Elanor Commercial Property Fund Units Stapled Securities</t>
  </si>
  <si>
    <t>ECH</t>
  </si>
  <si>
    <t>Echelon Resources Limited Ordinary</t>
  </si>
  <si>
    <t>ECL</t>
  </si>
  <si>
    <t>Excelsior Capital Ltd Ordinary</t>
  </si>
  <si>
    <t>ECP</t>
  </si>
  <si>
    <t>ECP Emerging Growth Limited Ordinary</t>
  </si>
  <si>
    <t>ECRD</t>
  </si>
  <si>
    <t>BetaShares Australian Enhanced Credit Income Complex ETF</t>
  </si>
  <si>
    <t>ECS</t>
  </si>
  <si>
    <t>ECS Botanics Holdings Ltd Ordinary</t>
  </si>
  <si>
    <t>ECT</t>
  </si>
  <si>
    <t>Environmental Clean Technologies Limited Ordinary</t>
  </si>
  <si>
    <t>EDE</t>
  </si>
  <si>
    <t>Eden Innovations Ltd Ordinary</t>
  </si>
  <si>
    <t>EDU</t>
  </si>
  <si>
    <t>EDU Holdings Limited Ordinary</t>
  </si>
  <si>
    <t>Professional &amp; Business Education</t>
  </si>
  <si>
    <t>EDV</t>
  </si>
  <si>
    <t>Endeavour Group Limited Ordinary</t>
  </si>
  <si>
    <t>EE1</t>
  </si>
  <si>
    <t>Earths Energy Limited Ordinary</t>
  </si>
  <si>
    <t>EEL</t>
  </si>
  <si>
    <t>Enrg Elements Ltd Ordinary</t>
  </si>
  <si>
    <t>EFE</t>
  </si>
  <si>
    <t>Eastern Resources Limited Ordinary</t>
  </si>
  <si>
    <t>EG1</t>
  </si>
  <si>
    <t>Evergold Minerals Limited Ordinary</t>
  </si>
  <si>
    <t>EGG</t>
  </si>
  <si>
    <t>Enero Group Limited Ordinary</t>
  </si>
  <si>
    <t>Advertising &amp; Marketing</t>
  </si>
  <si>
    <t>EGH</t>
  </si>
  <si>
    <t>Eureka Group Holdings Limited Ordinary</t>
  </si>
  <si>
    <t>EGL</t>
  </si>
  <si>
    <t>Environmental Group Limited (The) Ordinary</t>
  </si>
  <si>
    <t>EGR</t>
  </si>
  <si>
    <t>Ecograf Limited Ordinary</t>
  </si>
  <si>
    <t>EGY</t>
  </si>
  <si>
    <t>Energy Technologies Limited Ordinary</t>
  </si>
  <si>
    <t>EHL</t>
  </si>
  <si>
    <t>Emeco Holdings Limited Ordinary</t>
  </si>
  <si>
    <t>EIGA</t>
  </si>
  <si>
    <t>Perennial Income Generator Active ETF</t>
  </si>
  <si>
    <t>EIQ</t>
  </si>
  <si>
    <t>Echoiq Limited Ordinary</t>
  </si>
  <si>
    <t>EL8</t>
  </si>
  <si>
    <t>Elevate Uranium Ltd Ordinary</t>
  </si>
  <si>
    <t>ELD</t>
  </si>
  <si>
    <t>Elders Limited Ordinary</t>
  </si>
  <si>
    <t>ELS</t>
  </si>
  <si>
    <t>Elsight Limited Ordinary</t>
  </si>
  <si>
    <t>ELT</t>
  </si>
  <si>
    <t>Elementos Limited Ordinary</t>
  </si>
  <si>
    <t>ELV</t>
  </si>
  <si>
    <t>Elevra Lithium Limited Ordinary</t>
  </si>
  <si>
    <t>EM2</t>
  </si>
  <si>
    <t>Eagle Mountain Mining Limited Ordinary</t>
  </si>
  <si>
    <t>EM3</t>
  </si>
  <si>
    <t>EMC Gold Corporation CDI 1:1</t>
  </si>
  <si>
    <t>EMA</t>
  </si>
  <si>
    <t>Eminence Minerals Limited Ordinary</t>
  </si>
  <si>
    <t>EMB</t>
  </si>
  <si>
    <t>Embelton Limited Ordinary</t>
  </si>
  <si>
    <t>EMC</t>
  </si>
  <si>
    <t>Everest Metals Corporation Ltd Ordinary</t>
  </si>
  <si>
    <t>EMD</t>
  </si>
  <si>
    <t>Emyria Limited Ordinary</t>
  </si>
  <si>
    <t>EME</t>
  </si>
  <si>
    <t>Energy Metals Ltd Ordinary</t>
  </si>
  <si>
    <t>EMH</t>
  </si>
  <si>
    <t>European Metals Holdings Limited Ordinary</t>
  </si>
  <si>
    <t>EMKT</t>
  </si>
  <si>
    <t>Vaneck MSCI Multifactor EM Markets Equity ETF</t>
  </si>
  <si>
    <t>EML</t>
  </si>
  <si>
    <t>EML Payments Limited Ordinary</t>
  </si>
  <si>
    <t>EMN</t>
  </si>
  <si>
    <t>Euro Manganese Inc CDI 1:1</t>
  </si>
  <si>
    <t>EMP</t>
  </si>
  <si>
    <t>Emperor Energy Limited Ordinary</t>
  </si>
  <si>
    <t>EMR</t>
  </si>
  <si>
    <t>Emerald Resources NL Ordinary</t>
  </si>
  <si>
    <t>EMS</t>
  </si>
  <si>
    <t>Eastern Metals Limited Ordinary</t>
  </si>
  <si>
    <t>EMT</t>
  </si>
  <si>
    <t>Emetals Limited Ordinary</t>
  </si>
  <si>
    <t>EMU</t>
  </si>
  <si>
    <t>Emu NL Ordinary</t>
  </si>
  <si>
    <t>EMV</t>
  </si>
  <si>
    <t>Emvision Medical Devices Ltd Ordinary</t>
  </si>
  <si>
    <t>EMXC</t>
  </si>
  <si>
    <t>iShares MSCI Emerging Markets EX China ETF</t>
  </si>
  <si>
    <t>ENL</t>
  </si>
  <si>
    <t>Enlitic Inc. CDI 1:1 US Prohibited</t>
  </si>
  <si>
    <t>ENN</t>
  </si>
  <si>
    <t>Elanor Investors Group Ordinary/Units Stapled Securities</t>
  </si>
  <si>
    <t>Hotels, Motels &amp; Cruise Lines</t>
  </si>
  <si>
    <t>ENP</t>
  </si>
  <si>
    <t>Entropy Neurodynamics Limited Ordinary</t>
  </si>
  <si>
    <t>ENR</t>
  </si>
  <si>
    <t>Encounter Resources Limited Ordinary</t>
  </si>
  <si>
    <t>ENT</t>
  </si>
  <si>
    <t>Enterprise Metals Limited Ordinary</t>
  </si>
  <si>
    <t>ENV</t>
  </si>
  <si>
    <t>Enova Mining Limited Ordinary</t>
  </si>
  <si>
    <t>ENX</t>
  </si>
  <si>
    <t>Enegex Limited Ordinary</t>
  </si>
  <si>
    <t>EOL</t>
  </si>
  <si>
    <t>Energy One Limited Ordinary</t>
  </si>
  <si>
    <t>EOS</t>
  </si>
  <si>
    <t>Electro Optic Systems Holdings Limited Ordinary</t>
  </si>
  <si>
    <t>EPI</t>
  </si>
  <si>
    <t>Epiminder Limited Ordinary</t>
  </si>
  <si>
    <t>EPM</t>
  </si>
  <si>
    <t>Eclipse Metals Limited Ordinary</t>
  </si>
  <si>
    <t>EPN</t>
  </si>
  <si>
    <t>Epsilon Healthcare Limited Ordinary</t>
  </si>
  <si>
    <t>EPX</t>
  </si>
  <si>
    <t>EPX Limited Ordinary</t>
  </si>
  <si>
    <t>EPY</t>
  </si>
  <si>
    <t>Earlypay Ltd Ordinary</t>
  </si>
  <si>
    <t>EQIN</t>
  </si>
  <si>
    <t>Investors Mutual Equity Income Fund - Complex ETF</t>
  </si>
  <si>
    <t>EQR</t>
  </si>
  <si>
    <t>EQ Resources Limited Ordinary</t>
  </si>
  <si>
    <t>EQT</t>
  </si>
  <si>
    <t>EQT Holdings Limited Ordinary</t>
  </si>
  <si>
    <t>EQU</t>
  </si>
  <si>
    <t>Equus Energy Limited Ordinary</t>
  </si>
  <si>
    <t>EQX</t>
  </si>
  <si>
    <t>Equatorial Resources Limited Ordinary</t>
  </si>
  <si>
    <t>ERA</t>
  </si>
  <si>
    <t>Energy Resources of Australia Limited Ordinary 'A'</t>
  </si>
  <si>
    <t>ERD</t>
  </si>
  <si>
    <t>Eroad Limited Ordinary Foreign Exempt NZX</t>
  </si>
  <si>
    <t>ERE</t>
  </si>
  <si>
    <t>European Resources Limited Ordinary Fully Paid</t>
  </si>
  <si>
    <t>ERG</t>
  </si>
  <si>
    <t>Eneco Refresh Ltd Ordinary</t>
  </si>
  <si>
    <t>Non-Alcoholic Beverages</t>
  </si>
  <si>
    <t>ERL</t>
  </si>
  <si>
    <t>Empire Resources Limited Ordinary</t>
  </si>
  <si>
    <t>ERM</t>
  </si>
  <si>
    <t>Emmerson Resources Limited Ordinary</t>
  </si>
  <si>
    <t>ERTH</t>
  </si>
  <si>
    <t>BetaShares Climate Change Innovation ETF</t>
  </si>
  <si>
    <t>ESGI</t>
  </si>
  <si>
    <t>Vaneck MSCI International Sustainable Equity ETF</t>
  </si>
  <si>
    <t>ESK</t>
  </si>
  <si>
    <t>Etherstack PLC CDI 1:1</t>
  </si>
  <si>
    <t>ESPO</t>
  </si>
  <si>
    <t>Vaneck Video Gaming and Esports ETF</t>
  </si>
  <si>
    <t>ESR</t>
  </si>
  <si>
    <t>Estrella Resources Limited Ordinary</t>
  </si>
  <si>
    <t>ESTX</t>
  </si>
  <si>
    <t>Global X Euro Stoxx 50 ETF</t>
  </si>
  <si>
    <t>ETHI</t>
  </si>
  <si>
    <t>BetaShares Global Sustainability Leaders ETF</t>
  </si>
  <si>
    <t>ETM</t>
  </si>
  <si>
    <t>Energy Transition Minerals Ltd Ordinary</t>
  </si>
  <si>
    <t>ETPMAG</t>
  </si>
  <si>
    <t>Global X Physical Silver</t>
  </si>
  <si>
    <t>Commodities (Exchange Traded Product)</t>
  </si>
  <si>
    <t>ETPMPD</t>
  </si>
  <si>
    <t>Global X Physical Palladium</t>
  </si>
  <si>
    <t>ETPMPM</t>
  </si>
  <si>
    <t>Global X Physical Precious Metal Basket</t>
  </si>
  <si>
    <t>ETPMPT</t>
  </si>
  <si>
    <t>Global X Physical Platinum</t>
  </si>
  <si>
    <t>EUR</t>
  </si>
  <si>
    <t>European Lithium Limited Ordinary</t>
  </si>
  <si>
    <t>EV1</t>
  </si>
  <si>
    <t>Evolution Energy Minerals Limited Ordinary</t>
  </si>
  <si>
    <t>EV8</t>
  </si>
  <si>
    <t>Everlast Minerals Ltd. Ordinary</t>
  </si>
  <si>
    <t>EVE</t>
  </si>
  <si>
    <t>EVE Health Group Limited Ordinary</t>
  </si>
  <si>
    <t>EVG</t>
  </si>
  <si>
    <t>Evion Group NL Ordinary</t>
  </si>
  <si>
    <t>EVN</t>
  </si>
  <si>
    <t>Evolution Mining Limited Ordinary</t>
  </si>
  <si>
    <t>EVO</t>
  </si>
  <si>
    <t>Embark Early Education Limited Ordinary</t>
  </si>
  <si>
    <t>EVR</t>
  </si>
  <si>
    <t>EV Resources Ltd Ordinary</t>
  </si>
  <si>
    <t>EVT</t>
  </si>
  <si>
    <t>EVT Limited Ordinary</t>
  </si>
  <si>
    <t>EVZ</t>
  </si>
  <si>
    <t>EVZ Limited Ordinary</t>
  </si>
  <si>
    <t>EWC</t>
  </si>
  <si>
    <t>Energy World Corporation Ltd Ordinary</t>
  </si>
  <si>
    <t>EX20</t>
  </si>
  <si>
    <t>BetaShares Australian Ex-20 Portfolio Diversifier ETF</t>
  </si>
  <si>
    <t>EXL</t>
  </si>
  <si>
    <t>Elixinol Wellness Limited Ordinary</t>
  </si>
  <si>
    <t>EXP</t>
  </si>
  <si>
    <t>Experience Co Limited Ordinary</t>
  </si>
  <si>
    <t>EXR</t>
  </si>
  <si>
    <t>Elixir Energy Limited Ordinary</t>
  </si>
  <si>
    <t>EXT</t>
  </si>
  <si>
    <t>Excite Technology Services Ltd Ordinary</t>
  </si>
  <si>
    <t>EXUS</t>
  </si>
  <si>
    <t>BetaShares Global Shares EX US ETF</t>
  </si>
  <si>
    <t>EYE</t>
  </si>
  <si>
    <t>Nova Eye Medical Limited Ordinary</t>
  </si>
  <si>
    <t>EZL</t>
  </si>
  <si>
    <t>Euroz Hartleys Group Limited Ordinary</t>
  </si>
  <si>
    <t>EZZ</t>
  </si>
  <si>
    <t>EZZ Life Science Holdings Limited Ordinary</t>
  </si>
  <si>
    <t>F100</t>
  </si>
  <si>
    <t>BetaShares FTSE 100 ETF</t>
  </si>
  <si>
    <t>FAIR</t>
  </si>
  <si>
    <t>BetaShares Australian Sustainability Leaders ETF</t>
  </si>
  <si>
    <t>FAL</t>
  </si>
  <si>
    <t>Falcon Metals Ltd Ordinary</t>
  </si>
  <si>
    <t>FANG</t>
  </si>
  <si>
    <t>Global X Fang+ ETF</t>
  </si>
  <si>
    <t>FAR</t>
  </si>
  <si>
    <t>Far Limited Ordinary</t>
  </si>
  <si>
    <t>FASI</t>
  </si>
  <si>
    <t>Fidelity Asia Active ETF</t>
  </si>
  <si>
    <t>FAU</t>
  </si>
  <si>
    <t>First AU Limited Ordinary</t>
  </si>
  <si>
    <t>FBR</t>
  </si>
  <si>
    <t>FBR Ltd Ordinary</t>
  </si>
  <si>
    <t>FBU</t>
  </si>
  <si>
    <t>Fletcher Building Limited Ordinary Foreign Exempt NZX</t>
  </si>
  <si>
    <t>Construction Supplies &amp; Fixtures</t>
  </si>
  <si>
    <t>FCAP</t>
  </si>
  <si>
    <t>Fidelity Global Future Leaders Active ETF</t>
  </si>
  <si>
    <t>FCG</t>
  </si>
  <si>
    <t>Freedom Care Group Holdings Limited Ordinary</t>
  </si>
  <si>
    <t>FCL</t>
  </si>
  <si>
    <t>Fineos Corporation Holdings PLC CDI 1:1</t>
  </si>
  <si>
    <t>FCT</t>
  </si>
  <si>
    <t>Firstwave Cloud Technology Limited Ordinary</t>
  </si>
  <si>
    <t>FDR</t>
  </si>
  <si>
    <t>Finder Energy Holdings Limited Ordinary</t>
  </si>
  <si>
    <t>FDV</t>
  </si>
  <si>
    <t>Frontier Digital Ventures Limited Ordinary</t>
  </si>
  <si>
    <t>FEG</t>
  </si>
  <si>
    <t>Far East Gold Ltd Ordinary</t>
  </si>
  <si>
    <t>FEMX</t>
  </si>
  <si>
    <t>Fidelity Global Emerging Markets Active ETF</t>
  </si>
  <si>
    <t>FEX</t>
  </si>
  <si>
    <t>Fenix Resources Ltd Ordinary</t>
  </si>
  <si>
    <t>FFG</t>
  </si>
  <si>
    <t>Fatfish Group Limited Ordinary</t>
  </si>
  <si>
    <t>FFI</t>
  </si>
  <si>
    <t>FFI Holdings Limited Ordinary</t>
  </si>
  <si>
    <t>FFM</t>
  </si>
  <si>
    <t>Firefly Metals Ltd Ordinary</t>
  </si>
  <si>
    <t>FG1</t>
  </si>
  <si>
    <t>Flynn Gold Limited Ordinary</t>
  </si>
  <si>
    <t>FGG</t>
  </si>
  <si>
    <t>Future Generation Global Limited Ordinary</t>
  </si>
  <si>
    <t>FGH</t>
  </si>
  <si>
    <t>Foresta Group Holdings Limited Ordinary</t>
  </si>
  <si>
    <t>Diversified Chemicals</t>
  </si>
  <si>
    <t>FGR</t>
  </si>
  <si>
    <t>First Graphene Limited Ordinary</t>
  </si>
  <si>
    <t>FGX</t>
  </si>
  <si>
    <t>Future Generation Australia Limited Ordinary</t>
  </si>
  <si>
    <t>FHCO</t>
  </si>
  <si>
    <t>Fidelity Australian High Conviction Active ETF</t>
  </si>
  <si>
    <t>FHE</t>
  </si>
  <si>
    <t>Frontier Energy Limited Ordinary</t>
  </si>
  <si>
    <t>FHNG</t>
  </si>
  <si>
    <t>Global X Fang+ (Currency Hedged) ETF</t>
  </si>
  <si>
    <t>FHS</t>
  </si>
  <si>
    <t>Freehill Mining Limited Ordinary</t>
  </si>
  <si>
    <t>FID</t>
  </si>
  <si>
    <t>Fiducian Group Limited Ordinary</t>
  </si>
  <si>
    <t>FIIN</t>
  </si>
  <si>
    <t>Fidelity India Active ETF</t>
  </si>
  <si>
    <t>FIN</t>
  </si>
  <si>
    <t>Fin Resources Limited Ordinary</t>
  </si>
  <si>
    <t>FL1</t>
  </si>
  <si>
    <t>First Lithium Limited Ordinary</t>
  </si>
  <si>
    <t>FLC</t>
  </si>
  <si>
    <t>Fluence Corporation Limited Ordinary</t>
  </si>
  <si>
    <t>FLG</t>
  </si>
  <si>
    <t>Flagship Minerals Limited Ordinary</t>
  </si>
  <si>
    <t>FLN</t>
  </si>
  <si>
    <t>Freelancer Limited Ordinary</t>
  </si>
  <si>
    <t>FLOT</t>
  </si>
  <si>
    <t>Vaneck Australian Floating Rate ETF</t>
  </si>
  <si>
    <t>FLT</t>
  </si>
  <si>
    <t>Flight Centre Travel Group Limited Ordinary</t>
  </si>
  <si>
    <t>FLX</t>
  </si>
  <si>
    <t>Felix Group Holdings Ltd Ordinary</t>
  </si>
  <si>
    <t>FME</t>
  </si>
  <si>
    <t>Future Metals NL Ordinary</t>
  </si>
  <si>
    <t>FMG</t>
  </si>
  <si>
    <t>Fortescue Ltd Ordinary</t>
  </si>
  <si>
    <t>FML</t>
  </si>
  <si>
    <t>Focus Minerals Ltd Ordinary</t>
  </si>
  <si>
    <t>FMR</t>
  </si>
  <si>
    <t>FMR Resources Limited Ordinary</t>
  </si>
  <si>
    <t>FND</t>
  </si>
  <si>
    <t>Findi Limited Ordinary</t>
  </si>
  <si>
    <t>FNR</t>
  </si>
  <si>
    <t>Far Northern Resources Limited Ordinary</t>
  </si>
  <si>
    <t>FNX</t>
  </si>
  <si>
    <t>Finexia Financial Group Limited Ordinary</t>
  </si>
  <si>
    <t>FOOD</t>
  </si>
  <si>
    <t>BetaShares GLB Agriculture Comp Currency Hdgd ETF</t>
  </si>
  <si>
    <t>FOS</t>
  </si>
  <si>
    <t>FOS Capital Ltd Ordinary</t>
  </si>
  <si>
    <t>FPC</t>
  </si>
  <si>
    <t>Fat Prophets Global Contrarian Fund Ltd Ordinary</t>
  </si>
  <si>
    <t>FPH</t>
  </si>
  <si>
    <t>Fisher &amp; Paykel Healthcare Corporation Limited Ordinary Foreign Exempt NZX</t>
  </si>
  <si>
    <t>FPR</t>
  </si>
  <si>
    <t>Fleetpartners Group Limited Ordinary</t>
  </si>
  <si>
    <t>FRAR</t>
  </si>
  <si>
    <t>Franklin AUS Absolute Return BND Fund - Active ETF</t>
  </si>
  <si>
    <t>FRB</t>
  </si>
  <si>
    <t>Firebird Metals Limited Ordinary</t>
  </si>
  <si>
    <t>FRE</t>
  </si>
  <si>
    <t>Firebrick Pharma Limited Ordinary</t>
  </si>
  <si>
    <t>FRGG</t>
  </si>
  <si>
    <t>Franklin Global Growth Fund - Active ETF</t>
  </si>
  <si>
    <t>FRI</t>
  </si>
  <si>
    <t>Finbar Group Limited Ordinary</t>
  </si>
  <si>
    <t>Homebuilding</t>
  </si>
  <si>
    <t>FRM</t>
  </si>
  <si>
    <t>Farm Pride Foods Limited Ordinary</t>
  </si>
  <si>
    <t>FRS</t>
  </si>
  <si>
    <t>Forrestania Resources Limited Ordinary</t>
  </si>
  <si>
    <t>FRW</t>
  </si>
  <si>
    <t>Freightways Group Limited Ordinary Foreign Exempt NZX</t>
  </si>
  <si>
    <t>Industrials (Logistics/Courier)</t>
  </si>
  <si>
    <t>FRX</t>
  </si>
  <si>
    <t>Flexiroam Limited Ordinary</t>
  </si>
  <si>
    <t>FSA</t>
  </si>
  <si>
    <t>FSA Group Limited Ordinary</t>
  </si>
  <si>
    <t>FSI</t>
  </si>
  <si>
    <t>Flagship Investments Limited Ordinary</t>
  </si>
  <si>
    <t>FSML</t>
  </si>
  <si>
    <t>Firetrail Aust Small Companies Fund - Active ETF</t>
  </si>
  <si>
    <t>FSUB</t>
  </si>
  <si>
    <t>Vaneck Australian Fixed Rate Subordinated Debt ETF</t>
  </si>
  <si>
    <t>FTI</t>
  </si>
  <si>
    <t>Fortifai Ltd Ordinary</t>
  </si>
  <si>
    <t>FUEL</t>
  </si>
  <si>
    <t>BetaShares Global Energy Comp Currency Hedged ETF</t>
  </si>
  <si>
    <t>FUL</t>
  </si>
  <si>
    <t>Fulcrum Lithium Ltd Ordinary</t>
  </si>
  <si>
    <t>FUN</t>
  </si>
  <si>
    <t>Fortuna Metals Ltd Ordinary</t>
  </si>
  <si>
    <t>FUTR</t>
  </si>
  <si>
    <t>Janus Henderson Global Sustainable EQ Active ETF</t>
  </si>
  <si>
    <t>FWD</t>
  </si>
  <si>
    <t>Fleetwood Limited Ordinary</t>
  </si>
  <si>
    <t>FXG</t>
  </si>
  <si>
    <t>Felix Gold Limited Ordinary</t>
  </si>
  <si>
    <t>FZR</t>
  </si>
  <si>
    <t>Fitzroy River Corporation Ltd Ordinary</t>
  </si>
  <si>
    <t>G11</t>
  </si>
  <si>
    <t>G11 Resources Limited Ordinary</t>
  </si>
  <si>
    <t>G1C</t>
  </si>
  <si>
    <t>Group One Capital Limited Ordinary</t>
  </si>
  <si>
    <t>G200</t>
  </si>
  <si>
    <t>BetaShares Wealthbuilder Aus200 Geared Complex ETF</t>
  </si>
  <si>
    <t>G50</t>
  </si>
  <si>
    <t>G50 Corp Limited Ordinary</t>
  </si>
  <si>
    <t>G6M</t>
  </si>
  <si>
    <t>Group 6 Metals Limited Ordinary</t>
  </si>
  <si>
    <t>G88</t>
  </si>
  <si>
    <t>Golden Mile Resources Ltd Ordinary</t>
  </si>
  <si>
    <t>GA8</t>
  </si>
  <si>
    <t>Goldarc Resources Limited Ordinary</t>
  </si>
  <si>
    <t>GAL</t>
  </si>
  <si>
    <t>Galileo Mining Ltd Ordinary</t>
  </si>
  <si>
    <t>GAME</t>
  </si>
  <si>
    <t>BetaShares Video Games and Esports ETF</t>
  </si>
  <si>
    <t>GAP</t>
  </si>
  <si>
    <t>Gale Pacific Limited Ordinary</t>
  </si>
  <si>
    <t>Home Furnishings</t>
  </si>
  <si>
    <t>GARP</t>
  </si>
  <si>
    <t>Global X S&amp;P World EX Australia Garp ETF</t>
  </si>
  <si>
    <t>GAS</t>
  </si>
  <si>
    <t>State Gas Limited Ordinary</t>
  </si>
  <si>
    <t>Oil &amp; Gas Transportation Services</t>
  </si>
  <si>
    <t>GBE</t>
  </si>
  <si>
    <t>Globe Metals &amp; Mining Limited Ordinary</t>
  </si>
  <si>
    <t>GBM</t>
  </si>
  <si>
    <t>GBM Resources Limited Ordinary</t>
  </si>
  <si>
    <t>GBND</t>
  </si>
  <si>
    <t>BetaShares Global Green Bond Currency Hedged ETF</t>
  </si>
  <si>
    <t>GBR</t>
  </si>
  <si>
    <t>Great Boulder Resources Limited Ordinary</t>
  </si>
  <si>
    <t>GC1</t>
  </si>
  <si>
    <t>Glennon Small Companies Limited Ordinary</t>
  </si>
  <si>
    <t>GCAP</t>
  </si>
  <si>
    <t>Vaneck Bentham Global Capital Securities Active ETF</t>
  </si>
  <si>
    <t>GCI</t>
  </si>
  <si>
    <t>Gryphon Capital Income Trust Ordinary Units</t>
  </si>
  <si>
    <t>Closed End Funds</t>
  </si>
  <si>
    <t>GCM</t>
  </si>
  <si>
    <t>GCM Corporation Limited Ordinary</t>
  </si>
  <si>
    <t>GCQF</t>
  </si>
  <si>
    <t>GCQ Global Equities Complex ETF</t>
  </si>
  <si>
    <t>GCR</t>
  </si>
  <si>
    <t>Golden Cross Resources Ltd Ordinary</t>
  </si>
  <si>
    <t>GDF</t>
  </si>
  <si>
    <t>Garda Property Group Ordinary/Units Stapled Securities</t>
  </si>
  <si>
    <t>GDG</t>
  </si>
  <si>
    <t>Generation Development Group Limited Ordinary</t>
  </si>
  <si>
    <t>Insurance Funds</t>
  </si>
  <si>
    <t>GDI</t>
  </si>
  <si>
    <t>GDI Property Group Ordinary/Units Stapled Securities</t>
  </si>
  <si>
    <t>GDM</t>
  </si>
  <si>
    <t>Great Divide Mining Ltd Ordinary</t>
  </si>
  <si>
    <t>GDR</t>
  </si>
  <si>
    <t>Golden Dragon Mining Ltd Ordinary</t>
  </si>
  <si>
    <t>GDX</t>
  </si>
  <si>
    <t>Vaneck Gold Miners ETF</t>
  </si>
  <si>
    <t>GEAR</t>
  </si>
  <si>
    <t>BetaShares Geared Australian Equities Complex ETF</t>
  </si>
  <si>
    <t>GED</t>
  </si>
  <si>
    <t>Golden Deeps Limited Ordinary</t>
  </si>
  <si>
    <t>GEM</t>
  </si>
  <si>
    <t>G8 Education Limited Ordinary</t>
  </si>
  <si>
    <t>GEN</t>
  </si>
  <si>
    <t>Genmin Limited Ordinary</t>
  </si>
  <si>
    <t>GES</t>
  </si>
  <si>
    <t>Genesis Resources Limited Ordinary</t>
  </si>
  <si>
    <t>GFL</t>
  </si>
  <si>
    <t>Global Masters Fund Limited Ordinary</t>
  </si>
  <si>
    <t>GG1</t>
  </si>
  <si>
    <t>Green &amp; Gold Minerals Limited Ordinary</t>
  </si>
  <si>
    <t>Materials (Exploration)</t>
  </si>
  <si>
    <t>GG8</t>
  </si>
  <si>
    <t>Gorilla Gold Mines Ltd Ordinary</t>
  </si>
  <si>
    <t>GGAB</t>
  </si>
  <si>
    <t>BetaShares Geared Long AUS GOV Bond Complex ETF</t>
  </si>
  <si>
    <t>GGBL</t>
  </si>
  <si>
    <t>BetaShares Wealthbuilder Global Geared Complex ETF</t>
  </si>
  <si>
    <t>GGE</t>
  </si>
  <si>
    <t>Grand Gulf Energy Limited Ordinary</t>
  </si>
  <si>
    <t>GGFD</t>
  </si>
  <si>
    <t>BetaShares Geared Long US TR Bond CH Complex ETF</t>
  </si>
  <si>
    <t>GGP</t>
  </si>
  <si>
    <t>Greatland Resources Limited Ordinary</t>
  </si>
  <si>
    <t>GGR</t>
  </si>
  <si>
    <t>Golden Globe Resources Ltd. Ordinary</t>
  </si>
  <si>
    <t>GGUS</t>
  </si>
  <si>
    <t>BetaShares Geared US Eqty CCY Hedged Complex ETF</t>
  </si>
  <si>
    <t>GHHF</t>
  </si>
  <si>
    <t>BetaShares Wealthbuilder ALL GR Geared Complex ETF</t>
  </si>
  <si>
    <t>GHIF</t>
  </si>
  <si>
    <t>Ausbil Global Essential Infra Fund (HDG) - Active ETF</t>
  </si>
  <si>
    <t>GHLD</t>
  </si>
  <si>
    <t>Global X Gold Bullion (Currency Hedged) ETF</t>
  </si>
  <si>
    <t>GHM</t>
  </si>
  <si>
    <t>Golden Horse Minerals Limited CDI 1:1</t>
  </si>
  <si>
    <t>GHY</t>
  </si>
  <si>
    <t>Gold Hydrogen Limited Ordinary</t>
  </si>
  <si>
    <t>Renewable Fuels</t>
  </si>
  <si>
    <t>GIB</t>
  </si>
  <si>
    <t>Gibb River Diamonds Limited Ordinary</t>
  </si>
  <si>
    <t>GIVE</t>
  </si>
  <si>
    <t>Perpetual ESG Australian Share Active ETF</t>
  </si>
  <si>
    <t>GL1</t>
  </si>
  <si>
    <t>Global Lithium Resources Limited Ordinary</t>
  </si>
  <si>
    <t>GLB</t>
  </si>
  <si>
    <t>Globe International Limited Ordinary</t>
  </si>
  <si>
    <t>GLDN</t>
  </si>
  <si>
    <t>iShares Physical Gold ETF</t>
  </si>
  <si>
    <t>GLE</t>
  </si>
  <si>
    <t>GLG Corp Ltd Ordinary</t>
  </si>
  <si>
    <t>GLF</t>
  </si>
  <si>
    <t>Gemlife Communities Group Ordinary/Units Stapled Securities</t>
  </si>
  <si>
    <t>GLH</t>
  </si>
  <si>
    <t>Global Health Limited Ordinary</t>
  </si>
  <si>
    <t>GLIN</t>
  </si>
  <si>
    <t>iShares FTSE Global Infrastructure (AUD Hedged) ETF</t>
  </si>
  <si>
    <t>GLL</t>
  </si>
  <si>
    <t>Galilee Energy Limited Ordinary</t>
  </si>
  <si>
    <t>GLN</t>
  </si>
  <si>
    <t>Galan Lithium Limited Ordinary</t>
  </si>
  <si>
    <t>GLOB</t>
  </si>
  <si>
    <t>Barrow Hanley Global Share Active ETF</t>
  </si>
  <si>
    <t>GLPR</t>
  </si>
  <si>
    <t>iShares FTSE Global Property EX AUS (AUD Hedged) ETF</t>
  </si>
  <si>
    <t>GLS</t>
  </si>
  <si>
    <t>L1 Global Long Short Fund Limited Ordinary</t>
  </si>
  <si>
    <t>GMD</t>
  </si>
  <si>
    <t>Genesis Minerals Limited Ordinary</t>
  </si>
  <si>
    <t>GMG</t>
  </si>
  <si>
    <t>Goodman Group Ordinary/Units Stapled Securities</t>
  </si>
  <si>
    <t>GML</t>
  </si>
  <si>
    <t>Gateway Mining Limited Ordinary</t>
  </si>
  <si>
    <t>GMN</t>
  </si>
  <si>
    <t>Gold Mountain Limited Ordinary</t>
  </si>
  <si>
    <t>GMTL</t>
  </si>
  <si>
    <t>Global X Green Metal Miners ETF</t>
  </si>
  <si>
    <t>GMVW</t>
  </si>
  <si>
    <t>Vaneck Geared Australian Equal Weight Complex ETF</t>
  </si>
  <si>
    <t>GNC</t>
  </si>
  <si>
    <t>Graincorp Limited Ordinary Class A</t>
  </si>
  <si>
    <t>GNDQ</t>
  </si>
  <si>
    <t>BetaShares Wealthbuilder NASDAQ Geared Complex ETF</t>
  </si>
  <si>
    <t>GNE</t>
  </si>
  <si>
    <t>Genesis Energy Limited Ordinary Foreign Exempt NZX</t>
  </si>
  <si>
    <t>GNG</t>
  </si>
  <si>
    <t>GR Engineering Services Limited Ordinary</t>
  </si>
  <si>
    <t>GNM</t>
  </si>
  <si>
    <t>Great Northern Minerals Limited Ordinary</t>
  </si>
  <si>
    <t>GNP</t>
  </si>
  <si>
    <t>Genusplus Group Ltd Ordinary</t>
  </si>
  <si>
    <t>GOAT</t>
  </si>
  <si>
    <t>Vaneck Morningstar International Wide Moat ETF</t>
  </si>
  <si>
    <t>GOOD</t>
  </si>
  <si>
    <t>Janus Henderson Sustainable Credit Active ETF</t>
  </si>
  <si>
    <t>GOVT</t>
  </si>
  <si>
    <t>State Street SPDR S&amp;P/ASX iBoxx AUS Government Bond ETF</t>
  </si>
  <si>
    <t>GOW</t>
  </si>
  <si>
    <t>Gowing Bros Limited Ordinary</t>
  </si>
  <si>
    <t>GOZ</t>
  </si>
  <si>
    <t>Growthpoint Properties Australia Ordinary/Units Stapled Securities</t>
  </si>
  <si>
    <t>GPEQ</t>
  </si>
  <si>
    <t>Vaneck Global Listed Private Equity ETF</t>
  </si>
  <si>
    <t>GPR</t>
  </si>
  <si>
    <t>Geopacific Resources Ltd Ordinary</t>
  </si>
  <si>
    <t>GPT</t>
  </si>
  <si>
    <t>GPT Group Ordinary/Units Stapled Securities</t>
  </si>
  <si>
    <t>Diversified REITs</t>
  </si>
  <si>
    <t>GQG</t>
  </si>
  <si>
    <t>GQG Partners Inc. CDI 1:1 US Person Prohibited Excluding QIB</t>
  </si>
  <si>
    <t>GR8</t>
  </si>
  <si>
    <t>Great Dirt Resources Ltd Ordinary</t>
  </si>
  <si>
    <t>GRE</t>
  </si>
  <si>
    <t>Greentech Metals Limited Ordinary</t>
  </si>
  <si>
    <t>GRIN</t>
  </si>
  <si>
    <t>Vaneck India Growth Leaders ETF</t>
  </si>
  <si>
    <t>GRL</t>
  </si>
  <si>
    <t>Godolphin Resources Limited Ordinary</t>
  </si>
  <si>
    <t>GRNV</t>
  </si>
  <si>
    <t>Vaneck MSCI Australian Sustainable Equity ETF</t>
  </si>
  <si>
    <t>GROW</t>
  </si>
  <si>
    <t>Schroder Real Return Active ETF</t>
  </si>
  <si>
    <t>GRPA</t>
  </si>
  <si>
    <t>Global X S&amp;P Australia Garp ETF</t>
  </si>
  <si>
    <t>GRR</t>
  </si>
  <si>
    <t>Grange Resources Limited Ordinary</t>
  </si>
  <si>
    <t>GRV</t>
  </si>
  <si>
    <t>Greenvale Energy Ltd Ordinary</t>
  </si>
  <si>
    <t>GRX</t>
  </si>
  <si>
    <t>Greenx Metals Limited Ordinary</t>
  </si>
  <si>
    <t>GSCF</t>
  </si>
  <si>
    <t>Ausbil Global Smallcap Fund - Active ETF</t>
  </si>
  <si>
    <t>GSM</t>
  </si>
  <si>
    <t>Golden State Mining Limited Ordinary</t>
  </si>
  <si>
    <t>GSN</t>
  </si>
  <si>
    <t>Great Southern Mining Limited Ordinary</t>
  </si>
  <si>
    <t>GSS</t>
  </si>
  <si>
    <t>Genetic Signatures Limited Ordinary</t>
  </si>
  <si>
    <t>GSUS</t>
  </si>
  <si>
    <t>Candriam Sustainable Global Equity Fund - Active ETF</t>
  </si>
  <si>
    <t>GT1</t>
  </si>
  <si>
    <t>Green Technology Metals Limited Ordinary</t>
  </si>
  <si>
    <t>GT3</t>
  </si>
  <si>
    <t>Green360 Technologies Limited Ordinary</t>
  </si>
  <si>
    <t>GTE</t>
  </si>
  <si>
    <t>Great Western Exploration Limited Ordinary</t>
  </si>
  <si>
    <t>GTG</t>
  </si>
  <si>
    <t>Genetic Technologies Limited Ordinary</t>
  </si>
  <si>
    <t>GTH</t>
  </si>
  <si>
    <t>Gathid Ltd Ordinary</t>
  </si>
  <si>
    <t>GTI</t>
  </si>
  <si>
    <t>Gratifii Limited Ordinary</t>
  </si>
  <si>
    <t>GTK</t>
  </si>
  <si>
    <t>Gentrack Group Limited Ordinary Foreign Exempt NZX</t>
  </si>
  <si>
    <t>GTN</t>
  </si>
  <si>
    <t>GTN Limited Ordinary</t>
  </si>
  <si>
    <t>GUE</t>
  </si>
  <si>
    <t>Global Uranium and Enrichment Ltd Ordinary</t>
  </si>
  <si>
    <t>GUL</t>
  </si>
  <si>
    <t>Gullewa Limited Ordinary</t>
  </si>
  <si>
    <t>GUM</t>
  </si>
  <si>
    <t>Gumtree Australia Markets Limited Ordinary</t>
  </si>
  <si>
    <t>GVF</t>
  </si>
  <si>
    <t>Staude Capital Global Value Fund Limited Ordinary</t>
  </si>
  <si>
    <t>GW1</t>
  </si>
  <si>
    <t>Greenwing Resources Ltd Ordinary</t>
  </si>
  <si>
    <t>GWA</t>
  </si>
  <si>
    <t>GWA Group Limited Ordinary</t>
  </si>
  <si>
    <t>GWR</t>
  </si>
  <si>
    <t>GWR Group Limited Ordinary</t>
  </si>
  <si>
    <t>GWTH</t>
  </si>
  <si>
    <t>Vaneck MSCI International Growth ETF</t>
  </si>
  <si>
    <t>GXAI</t>
  </si>
  <si>
    <t>Global X Artificial Intelligence ETF</t>
  </si>
  <si>
    <t>GXLD</t>
  </si>
  <si>
    <t>Global X Gold Bullion ETF</t>
  </si>
  <si>
    <t>GYG</t>
  </si>
  <si>
    <t>Guzman Y Gomez Limited Ordinary</t>
  </si>
  <si>
    <t>H100</t>
  </si>
  <si>
    <t>BetaShares FTSE 100 Currency Hedged ETF</t>
  </si>
  <si>
    <t>H2G</t>
  </si>
  <si>
    <t>Greenhy2 Limited Ordinary</t>
  </si>
  <si>
    <t>Independent Power Producers</t>
  </si>
  <si>
    <t>H3E</t>
  </si>
  <si>
    <t>H3 Energy Limited Ordinary</t>
  </si>
  <si>
    <t>HACK</t>
  </si>
  <si>
    <t>BetaShares Global Cybersecurity ETF</t>
  </si>
  <si>
    <t>HAL</t>
  </si>
  <si>
    <t>Halo Technologies Holdings Ltd Ordinary</t>
  </si>
  <si>
    <t>HAR</t>
  </si>
  <si>
    <t>Haranga Resources Limited Ordinary</t>
  </si>
  <si>
    <t>HAS</t>
  </si>
  <si>
    <t>Hastings Technology Metals Ltd Ordinary</t>
  </si>
  <si>
    <t>HAV</t>
  </si>
  <si>
    <t>Havilah Resources Limited Ordinary</t>
  </si>
  <si>
    <t>HAW</t>
  </si>
  <si>
    <t>Hawthorn Resources Limited Ordinary</t>
  </si>
  <si>
    <t>HBRD</t>
  </si>
  <si>
    <t>BetaShares Australian Hybrids Active ETF</t>
  </si>
  <si>
    <t>HCD</t>
  </si>
  <si>
    <t>Hydrocarbon Dynamics Limited Ordinary</t>
  </si>
  <si>
    <t>HCF</t>
  </si>
  <si>
    <t>H&amp;G High Conviction Limited Ordinary</t>
  </si>
  <si>
    <t>HCH</t>
  </si>
  <si>
    <t>HOT Chili Limited Ordinary</t>
  </si>
  <si>
    <t>HCL</t>
  </si>
  <si>
    <t>Highcom Limited Ordinary</t>
  </si>
  <si>
    <t>HCRD</t>
  </si>
  <si>
    <t>BetaShares Interest Rate Hedged AUS Corp Bond ETF</t>
  </si>
  <si>
    <t>HCT</t>
  </si>
  <si>
    <t>Holista Colltech Limited Ordinary</t>
  </si>
  <si>
    <t>HCW</t>
  </si>
  <si>
    <t>Healthco Healthcare and Wellness Reit Ordinary Units</t>
  </si>
  <si>
    <t>HDN</t>
  </si>
  <si>
    <t>Homeco Daily Needs Reit Ordinary Units</t>
  </si>
  <si>
    <t>HE8</t>
  </si>
  <si>
    <t>Helios Energy Ltd Ordinary</t>
  </si>
  <si>
    <t>HETH</t>
  </si>
  <si>
    <t>BetaShares Global Sustainability Leaders CH ETF</t>
  </si>
  <si>
    <t>HEUR</t>
  </si>
  <si>
    <t>BetaShares Europe Currency Hedged ETF</t>
  </si>
  <si>
    <t>HFR</t>
  </si>
  <si>
    <t>Highfield Resources Limited Ordinary</t>
  </si>
  <si>
    <t>HFY</t>
  </si>
  <si>
    <t>Hubify Limited Ordinary</t>
  </si>
  <si>
    <t>HGBL</t>
  </si>
  <si>
    <t>BetaShares Global Shares Currency Hedged ETF</t>
  </si>
  <si>
    <t>HGEN</t>
  </si>
  <si>
    <t>Global X Hydrogen ETF</t>
  </si>
  <si>
    <t>HGH</t>
  </si>
  <si>
    <t>Heartland Group Holdings Limited Ordinary Foreign Exempt NZX</t>
  </si>
  <si>
    <t>HGO</t>
  </si>
  <si>
    <t>Hillgrove Resources Limited Ordinary</t>
  </si>
  <si>
    <t>HHIF</t>
  </si>
  <si>
    <t>Hejaz High Innovation Active ETF</t>
  </si>
  <si>
    <t>HHR</t>
  </si>
  <si>
    <t>Hartshead Resources NL Ordinary</t>
  </si>
  <si>
    <t>HIO</t>
  </si>
  <si>
    <t>Hawsons Iron Ltd Ordinary</t>
  </si>
  <si>
    <t>HIQ</t>
  </si>
  <si>
    <t>Hitiq Limited Ordinary</t>
  </si>
  <si>
    <t>HIT</t>
  </si>
  <si>
    <t>Hitech Group Australia Limited Ordinary</t>
  </si>
  <si>
    <t>HJHI</t>
  </si>
  <si>
    <t>Hejaz High Income Active ETF</t>
  </si>
  <si>
    <t>HJPN</t>
  </si>
  <si>
    <t>BetaShares Japan Currency Hedged ETF</t>
  </si>
  <si>
    <t>HJZP</t>
  </si>
  <si>
    <t>Hejaz Property Fund Active ETF</t>
  </si>
  <si>
    <t>HLI</t>
  </si>
  <si>
    <t>Helia Group Limited Ordinary</t>
  </si>
  <si>
    <t>Property &amp; Casualty Insurance</t>
  </si>
  <si>
    <t>HLO</t>
  </si>
  <si>
    <t>Helloworld Travel Limited Ordinary</t>
  </si>
  <si>
    <t>HLS</t>
  </si>
  <si>
    <t>Healius Limited Ordinary</t>
  </si>
  <si>
    <t>HLTH</t>
  </si>
  <si>
    <t>Vaneck Global Healthcare Leaders ETF</t>
  </si>
  <si>
    <t>HLX</t>
  </si>
  <si>
    <t>Helix Resources Limited Ordinary</t>
  </si>
  <si>
    <t>HM1</t>
  </si>
  <si>
    <t>Hearts and Minds Investments Limited Ordinary</t>
  </si>
  <si>
    <t>HMC</t>
  </si>
  <si>
    <t>HMC Capital Limited Ordinary</t>
  </si>
  <si>
    <t>HMD</t>
  </si>
  <si>
    <t>Heramed Limited Ordinary</t>
  </si>
  <si>
    <t>HMG</t>
  </si>
  <si>
    <t>Hamelin Gold Limited Ordinary</t>
  </si>
  <si>
    <t>HMI</t>
  </si>
  <si>
    <t>Hiremii Limited Ordinary</t>
  </si>
  <si>
    <t>HMX</t>
  </si>
  <si>
    <t>Hammer Metals Limited Ordinary</t>
  </si>
  <si>
    <t>HMY</t>
  </si>
  <si>
    <t>Harmoney Corp Limited Ordinary</t>
  </si>
  <si>
    <t>HNDQ</t>
  </si>
  <si>
    <t>BetaShares Nasdaq-100 Currency Hedged ETF</t>
  </si>
  <si>
    <t>HNG</t>
  </si>
  <si>
    <t>Hancock &amp; Gore Ltd Ordinary</t>
  </si>
  <si>
    <t>HOR</t>
  </si>
  <si>
    <t>Horseshoe Metals Limited Ordinary</t>
  </si>
  <si>
    <t>HPC</t>
  </si>
  <si>
    <t>The Hydration Pharmaceuticals Company Limited Ordinary</t>
  </si>
  <si>
    <t>HPG</t>
  </si>
  <si>
    <t>Hipages Group Holdings Ltd Ordinary</t>
  </si>
  <si>
    <t>HPR</t>
  </si>
  <si>
    <t>High Peak Royalties Limited Ordinary</t>
  </si>
  <si>
    <t>HQLT</t>
  </si>
  <si>
    <t>BetaShares Global Quality Leaders Currency Hedged ETF</t>
  </si>
  <si>
    <t>HQUS</t>
  </si>
  <si>
    <t>BetaShares S&amp;P 500 Equal Weight Currency Hedged ETF</t>
  </si>
  <si>
    <t>HRE</t>
  </si>
  <si>
    <t>Heavy Rare Earths Limited Ordinary</t>
  </si>
  <si>
    <t>HRN</t>
  </si>
  <si>
    <t>Horizon Gold Limited Ordinary</t>
  </si>
  <si>
    <t>HRZ</t>
  </si>
  <si>
    <t>Horizon Minerals Limited Ordinary</t>
  </si>
  <si>
    <t>HSN</t>
  </si>
  <si>
    <t>Hansen Technologies Limited Ordinary</t>
  </si>
  <si>
    <t>HT8</t>
  </si>
  <si>
    <t>Harris Technology Group Limited Ordinary</t>
  </si>
  <si>
    <t>HTG</t>
  </si>
  <si>
    <t>Harvest Technology Group Ltd Ordinary</t>
  </si>
  <si>
    <t>HTM</t>
  </si>
  <si>
    <t>High-Tech Metals Ltd Ordinary</t>
  </si>
  <si>
    <t>HUB</t>
  </si>
  <si>
    <t>Hub24 Limited Ordinary</t>
  </si>
  <si>
    <t>HUGE</t>
  </si>
  <si>
    <t>ETFS Magnificent 7+ ETF</t>
  </si>
  <si>
    <t>HUM</t>
  </si>
  <si>
    <t>Humm Group Limited Ordinary</t>
  </si>
  <si>
    <t>HVLU</t>
  </si>
  <si>
    <t>Vaneck MSCI International Value (AUD Hedged) ETF</t>
  </si>
  <si>
    <t>HVN</t>
  </si>
  <si>
    <t>Harvey Norman Holdings Limited Ordinary</t>
  </si>
  <si>
    <t>HVST</t>
  </si>
  <si>
    <t>BetaShares Australian Dividend Harvester Active ETF</t>
  </si>
  <si>
    <t>HVY</t>
  </si>
  <si>
    <t>Heavy Minerals Limited Ordinary</t>
  </si>
  <si>
    <t>HWK</t>
  </si>
  <si>
    <t>Hawk Resources Limited Ordinary</t>
  </si>
  <si>
    <t>HXL</t>
  </si>
  <si>
    <t>Hexima Limited Ordinary</t>
  </si>
  <si>
    <t>HYD</t>
  </si>
  <si>
    <t>Hydrix Limited Ordinary</t>
  </si>
  <si>
    <t>HYGG</t>
  </si>
  <si>
    <t>Hyperion Global Growth Companies Fund - Active ETF</t>
  </si>
  <si>
    <t>HYLD</t>
  </si>
  <si>
    <t>BetaShares S&amp;P Australian Shares High Yield ETF</t>
  </si>
  <si>
    <t>HYT</t>
  </si>
  <si>
    <t>Hyterra Ltd Ordinary</t>
  </si>
  <si>
    <t>HZN</t>
  </si>
  <si>
    <t>Horizon Oil Limited Ordinary</t>
  </si>
  <si>
    <t>HZR</t>
  </si>
  <si>
    <t>Hazer Group Limited Ordinary</t>
  </si>
  <si>
    <t>I88</t>
  </si>
  <si>
    <t>Infini Resources Limited Ordinary</t>
  </si>
  <si>
    <t>IAA</t>
  </si>
  <si>
    <t>iShares Asia 50 ETF</t>
  </si>
  <si>
    <t>IACT</t>
  </si>
  <si>
    <t>iShares U.S. Factor Rotation Active ETF</t>
  </si>
  <si>
    <t>IAF</t>
  </si>
  <si>
    <t>iShares Core Composite Bond ETF</t>
  </si>
  <si>
    <t>IAG</t>
  </si>
  <si>
    <t>Insurance Australia Group Limited Ordinary</t>
  </si>
  <si>
    <t>IAM</t>
  </si>
  <si>
    <t>Income Asset Management Group Limited Ordinary</t>
  </si>
  <si>
    <t>IBAL</t>
  </si>
  <si>
    <t>iShares Balanced ESG ETF</t>
  </si>
  <si>
    <t>IBC</t>
  </si>
  <si>
    <t>Ironbark Balanced Income Limited Ordinary</t>
  </si>
  <si>
    <t>IBIT</t>
  </si>
  <si>
    <t>iShares Bitcoin ETF</t>
  </si>
  <si>
    <t>IBX</t>
  </si>
  <si>
    <t>Imagion Biosystems Limited Ordinary</t>
  </si>
  <si>
    <t>ICE</t>
  </si>
  <si>
    <t>Icetana Limited Ordinary</t>
  </si>
  <si>
    <t>ICI</t>
  </si>
  <si>
    <t>Icandy Interactive Limited Ordinary</t>
  </si>
  <si>
    <t>ICL</t>
  </si>
  <si>
    <t>Iceni Gold Limited Ordinary</t>
  </si>
  <si>
    <t>ICME</t>
  </si>
  <si>
    <t>iShares Credit Income Active ETF</t>
  </si>
  <si>
    <t>ICN</t>
  </si>
  <si>
    <t>Icon Energy Limited Ordinary</t>
  </si>
  <si>
    <t>ICOR</t>
  </si>
  <si>
    <t>iShares Core Corporate Bond ETF</t>
  </si>
  <si>
    <t>ICR</t>
  </si>
  <si>
    <t>Intelicare Holdings Limited Ordinary</t>
  </si>
  <si>
    <t>Integrated Hardware &amp; Software</t>
  </si>
  <si>
    <t>ICU</t>
  </si>
  <si>
    <t>Investor Centre Limited Ordinary</t>
  </si>
  <si>
    <t>ID8</t>
  </si>
  <si>
    <t>Identitii Limited Ordinary</t>
  </si>
  <si>
    <t>IDA</t>
  </si>
  <si>
    <t>Indiana Resources Limited Ordinary</t>
  </si>
  <si>
    <t>IDT</t>
  </si>
  <si>
    <t>IDT Australia Limited Ordinary</t>
  </si>
  <si>
    <t>IDX</t>
  </si>
  <si>
    <t>Integral Diagnostics Limited Ordinary</t>
  </si>
  <si>
    <t>IEL</t>
  </si>
  <si>
    <t>IDP Education Limited Ordinary</t>
  </si>
  <si>
    <t>IEM</t>
  </si>
  <si>
    <t>iShares MSCI Emerging Markets ETF</t>
  </si>
  <si>
    <t>IEQ</t>
  </si>
  <si>
    <t>International Equities Corporation Limited Ordinary</t>
  </si>
  <si>
    <t>IESG</t>
  </si>
  <si>
    <t>iShares Core MSCI Australia ESG ETF</t>
  </si>
  <si>
    <t>IEU</t>
  </si>
  <si>
    <t>iShares Europe ETF</t>
  </si>
  <si>
    <t>IFG</t>
  </si>
  <si>
    <t>Infocus Group Holdings Limited Ordinary</t>
  </si>
  <si>
    <t>IFL</t>
  </si>
  <si>
    <t>Insignia Financial Ltd Ordinary</t>
  </si>
  <si>
    <t>IFN</t>
  </si>
  <si>
    <t>Infragreen Group Limited Ordinary</t>
  </si>
  <si>
    <t>IFRA</t>
  </si>
  <si>
    <t>Vaneck FTSE Global Infrastructure (AUD Hedged) ETF</t>
  </si>
  <si>
    <t>IFT</t>
  </si>
  <si>
    <t>Infratil Limited Ordinary Foreign Exempt NZX</t>
  </si>
  <si>
    <t>IG6</t>
  </si>
  <si>
    <t>International Graphite Limited Ordinary</t>
  </si>
  <si>
    <t>IGB</t>
  </si>
  <si>
    <t>iShares Treasury ETF</t>
  </si>
  <si>
    <t>IGL</t>
  </si>
  <si>
    <t>IVE Group Limited Ordinary</t>
  </si>
  <si>
    <t>IGN</t>
  </si>
  <si>
    <t>Ignite Limited Ordinary</t>
  </si>
  <si>
    <t>IGO</t>
  </si>
  <si>
    <t>IGO Limited Ordinary</t>
  </si>
  <si>
    <t>IGRO</t>
  </si>
  <si>
    <t>iShares High Growth ESG ETF</t>
  </si>
  <si>
    <t>IHCB</t>
  </si>
  <si>
    <t>iShares Core Global Corporate Bond(AUD Hedged) ETF</t>
  </si>
  <si>
    <t>IHD</t>
  </si>
  <si>
    <t>iShares S&amp;P/ASX DIV Opportunities ESG Screened ETF</t>
  </si>
  <si>
    <t>IHEB</t>
  </si>
  <si>
    <t>iShares J.P. Morgan USD Emerging Markets (AUD Hedged) ETF</t>
  </si>
  <si>
    <t>IHHY</t>
  </si>
  <si>
    <t>iShares Global High Yield Bond (AUD Hedged) ETF</t>
  </si>
  <si>
    <t>IHOO</t>
  </si>
  <si>
    <t>iShares Global 100 AUD Hedged ETF</t>
  </si>
  <si>
    <t>IHVV</t>
  </si>
  <si>
    <t>iShares S&amp;P 500 AUD Hedged ETF</t>
  </si>
  <si>
    <t>IHWL</t>
  </si>
  <si>
    <t>iShares Core MSCI World EX AUS ESG (AUD HED) ETF</t>
  </si>
  <si>
    <t>IIGF</t>
  </si>
  <si>
    <t>Intelligent Investor EQ Growth Fund Active ETF</t>
  </si>
  <si>
    <t>IIND</t>
  </si>
  <si>
    <t>BetaShares India Quality ETF. ETF</t>
  </si>
  <si>
    <t>IIQ</t>
  </si>
  <si>
    <t>Inoviq Ltd Ordinary</t>
  </si>
  <si>
    <t>IISV</t>
  </si>
  <si>
    <t>Intell Investor Select Value SHR Fund - Active ETF</t>
  </si>
  <si>
    <t>IJH</t>
  </si>
  <si>
    <t>iShares S&amp;P MID-Cap ETF</t>
  </si>
  <si>
    <t>IJP</t>
  </si>
  <si>
    <t>iShares MSCI Japan ETF</t>
  </si>
  <si>
    <t>IJR</t>
  </si>
  <si>
    <t>iShares S&amp;P Small-Cap ETF</t>
  </si>
  <si>
    <t>IKE</t>
  </si>
  <si>
    <t>Ikegps Group Limited Ordinary Foreign Exempt NZX</t>
  </si>
  <si>
    <t>IKO</t>
  </si>
  <si>
    <t>iShares MSCI South Korea ETF</t>
  </si>
  <si>
    <t>ILA</t>
  </si>
  <si>
    <t>Island Pharmaceuticals Limited Ordinary</t>
  </si>
  <si>
    <t>ILB</t>
  </si>
  <si>
    <t>iShares Government Inflation ETF</t>
  </si>
  <si>
    <t>ILC</t>
  </si>
  <si>
    <t>iShares S&amp;P/ASX 20 ETF</t>
  </si>
  <si>
    <t>ILT</t>
  </si>
  <si>
    <t>Iltani Resources Limited Ordinary</t>
  </si>
  <si>
    <t>ILU</t>
  </si>
  <si>
    <t>Iluka Resources Limited Ordinary</t>
  </si>
  <si>
    <t>IMA</t>
  </si>
  <si>
    <t>Image Resources NL Ordinary</t>
  </si>
  <si>
    <t>IMB</t>
  </si>
  <si>
    <t>Intelligent Monitoring Group Limited Ordinary</t>
  </si>
  <si>
    <t>IMC</t>
  </si>
  <si>
    <t>Immuron Limited Ordinary</t>
  </si>
  <si>
    <t>IMD</t>
  </si>
  <si>
    <t>Imdex Limited Ordinary</t>
  </si>
  <si>
    <t>IME</t>
  </si>
  <si>
    <t>Imexhs Limited Ordinary</t>
  </si>
  <si>
    <t>IMI</t>
  </si>
  <si>
    <t>Infinity Mining Limited Ordinary</t>
  </si>
  <si>
    <t>IMLC</t>
  </si>
  <si>
    <t>IML Concentrated AUS Share Fund - Active ETF</t>
  </si>
  <si>
    <t>IMM</t>
  </si>
  <si>
    <t>Immutep Limited Ordinary</t>
  </si>
  <si>
    <t>IMPQ</t>
  </si>
  <si>
    <t>Perennial Better Future Active ETF</t>
  </si>
  <si>
    <t>IMR</t>
  </si>
  <si>
    <t>Imricor Medical Systems Inc. CDI 1:1 US Person Prohibited Excluding QIB</t>
  </si>
  <si>
    <t>IMU</t>
  </si>
  <si>
    <t>Imugene Limited Ordinary</t>
  </si>
  <si>
    <t>INA</t>
  </si>
  <si>
    <t>Ingenia Communities Group Ordinary/Units Stapled Securities</t>
  </si>
  <si>
    <t>INCM</t>
  </si>
  <si>
    <t>BetaShares S&amp;P Global High Dividend Aristocrat ETF</t>
  </si>
  <si>
    <t>IND</t>
  </si>
  <si>
    <t>Industrial Minerals Ltd Ordinary</t>
  </si>
  <si>
    <t>INES</t>
  </si>
  <si>
    <t>Intelligent Investor ETH Share Fund - Active ETF</t>
  </si>
  <si>
    <t>INF</t>
  </si>
  <si>
    <t>Infinity Metals Limited Ordinary</t>
  </si>
  <si>
    <t>ING</t>
  </si>
  <si>
    <t>Inghams Group Limited Ordinary</t>
  </si>
  <si>
    <t>INIF</t>
  </si>
  <si>
    <t>Intelligent Investor AUS EQ Inc Fund - Active ETF</t>
  </si>
  <si>
    <t>INR</t>
  </si>
  <si>
    <t>Ioneer Ltd Ordinary</t>
  </si>
  <si>
    <t>INV</t>
  </si>
  <si>
    <t>Investsmart Group Limited Ordinary</t>
  </si>
  <si>
    <t>IOD</t>
  </si>
  <si>
    <t>Iodm Limited Ordinary</t>
  </si>
  <si>
    <t>ION</t>
  </si>
  <si>
    <t>Iondrive Limited Ordinary</t>
  </si>
  <si>
    <t>IOO</t>
  </si>
  <si>
    <t>iShares Global 100 ETF</t>
  </si>
  <si>
    <t>IOV</t>
  </si>
  <si>
    <t>Ion Video Ltd Ordinary</t>
  </si>
  <si>
    <t>IOZ</t>
  </si>
  <si>
    <t>iShares Core S&amp;P/ASX 200 ETF</t>
  </si>
  <si>
    <t>IPB</t>
  </si>
  <si>
    <t>IPB Petroleum Limited Ordinary</t>
  </si>
  <si>
    <t>IPC</t>
  </si>
  <si>
    <t>Imperial Pacific Limited Ordinary</t>
  </si>
  <si>
    <t>IPD</t>
  </si>
  <si>
    <t>Impedimed Limited Ordinary</t>
  </si>
  <si>
    <t>IPG</t>
  </si>
  <si>
    <t>IPD Group Ltd Ordinary</t>
  </si>
  <si>
    <t>IPH</t>
  </si>
  <si>
    <t>IPH Limited Ordinary</t>
  </si>
  <si>
    <t>IPT</t>
  </si>
  <si>
    <t>Impact Minerals Limited Ordinary</t>
  </si>
  <si>
    <t>IPX</t>
  </si>
  <si>
    <t>Iperionx Limited Ordinary</t>
  </si>
  <si>
    <t>IR1</t>
  </si>
  <si>
    <t>Iris Metals Limited Ordinary</t>
  </si>
  <si>
    <t>IRD</t>
  </si>
  <si>
    <t>Iron Road Limited Ordinary</t>
  </si>
  <si>
    <t>IRE</t>
  </si>
  <si>
    <t>Iress Limited Ordinary</t>
  </si>
  <si>
    <t>IRI</t>
  </si>
  <si>
    <t>Integrated Research Limited Ordinary</t>
  </si>
  <si>
    <t>IRX</t>
  </si>
  <si>
    <t>Inhalerx Limited Ordinary</t>
  </si>
  <si>
    <t>IS3</t>
  </si>
  <si>
    <t>I Synergy Group Limited Ordinary</t>
  </si>
  <si>
    <t>ISEC</t>
  </si>
  <si>
    <t>iShares Enhanced Cash ETF</t>
  </si>
  <si>
    <t>ISLM</t>
  </si>
  <si>
    <t>Hejaz Equities Fund Active ETF</t>
  </si>
  <si>
    <t>ISO</t>
  </si>
  <si>
    <t>iShares S&amp;P/ASX Small Ordinaries ETF</t>
  </si>
  <si>
    <t>ITEK</t>
  </si>
  <si>
    <t>iShares NASDAQ Top 30 ETF</t>
  </si>
  <si>
    <t>ITM</t>
  </si>
  <si>
    <t>Itech Minerals Ltd Ordinary</t>
  </si>
  <si>
    <t>ITS</t>
  </si>
  <si>
    <t>Infotrust Ltd Ordinary</t>
  </si>
  <si>
    <t>IVE</t>
  </si>
  <si>
    <t>iShares MSCI Eafe ETF</t>
  </si>
  <si>
    <t>IVG</t>
  </si>
  <si>
    <t>Invert Graphite Limited Ordinary</t>
  </si>
  <si>
    <t>IVR</t>
  </si>
  <si>
    <t>Investigator Silver Limited Ordinary</t>
  </si>
  <si>
    <t>IVV</t>
  </si>
  <si>
    <t>iShares S&amp;P 500 ETF</t>
  </si>
  <si>
    <t>IVX</t>
  </si>
  <si>
    <t>Invion Limited Ordinary</t>
  </si>
  <si>
    <t>IVZ</t>
  </si>
  <si>
    <t>Invictus Energy Ltd Ordinary</t>
  </si>
  <si>
    <t>IWLD</t>
  </si>
  <si>
    <t>iShares Core MSCI World EX Australia ESG ETF</t>
  </si>
  <si>
    <t>IXC</t>
  </si>
  <si>
    <t>Invex Therapeutics Ltd Ordinary</t>
  </si>
  <si>
    <t>IXI</t>
  </si>
  <si>
    <t>iShares Global Consumer Staples ETF</t>
  </si>
  <si>
    <t>IXJ</t>
  </si>
  <si>
    <t>iShares Global Healthcare ETF</t>
  </si>
  <si>
    <t>IXR</t>
  </si>
  <si>
    <t>Ionic Rare Earths Limited Ordinary</t>
  </si>
  <si>
    <t>IYLD</t>
  </si>
  <si>
    <t>iShares Yield Plus ETF</t>
  </si>
  <si>
    <t>IZZ</t>
  </si>
  <si>
    <t>iShares China Large-Cap ETF</t>
  </si>
  <si>
    <t>J100</t>
  </si>
  <si>
    <t>Global X Japan Topix 100 ETF</t>
  </si>
  <si>
    <t>JAL</t>
  </si>
  <si>
    <t>Jameson Resources Limited Ordinary</t>
  </si>
  <si>
    <t>JAN</t>
  </si>
  <si>
    <t>Janison Education Group Limited Ordinary</t>
  </si>
  <si>
    <t>JAT</t>
  </si>
  <si>
    <t>Jatcorp Limited Ordinary</t>
  </si>
  <si>
    <t>JAV</t>
  </si>
  <si>
    <t>Javelin Minerals Limited Ordinary</t>
  </si>
  <si>
    <t>JAY</t>
  </si>
  <si>
    <t>Jayride Group Limited Ordinary</t>
  </si>
  <si>
    <t>JBH</t>
  </si>
  <si>
    <t>JB HI-FI Limited Ordinary</t>
  </si>
  <si>
    <t>Computers &amp; Electronics Retailers</t>
  </si>
  <si>
    <t>JCS</t>
  </si>
  <si>
    <t>Jcurve Solutions Ltd Ordinary</t>
  </si>
  <si>
    <t>JDO</t>
  </si>
  <si>
    <t>Judo Capital Holdings Limited Ordinary</t>
  </si>
  <si>
    <t>JEGA</t>
  </si>
  <si>
    <t>JPM Global Equity Premium Income Complex ETF</t>
  </si>
  <si>
    <t>JEME</t>
  </si>
  <si>
    <t>JP Morgan EM Research Enhanced IDX Eqty Active ETF</t>
  </si>
  <si>
    <t>JEPI</t>
  </si>
  <si>
    <t>JP Morgan Equity Premium Income Active ETF</t>
  </si>
  <si>
    <t>JGH</t>
  </si>
  <si>
    <t>Jade Gas Holdings Limited Ordinary</t>
  </si>
  <si>
    <t>JGLO</t>
  </si>
  <si>
    <t>JP Morgan Global Select Equity Active ETF</t>
  </si>
  <si>
    <t>JHGA</t>
  </si>
  <si>
    <t>JPM Global Equity Premium Income Hedged Complex ETF</t>
  </si>
  <si>
    <t>JHLO</t>
  </si>
  <si>
    <t>JP Morgan Global Select Equity (Hedged) Active ETF</t>
  </si>
  <si>
    <t>JHPI</t>
  </si>
  <si>
    <t>JP Morgan Equity Premium Income (Hedged) Active ETF</t>
  </si>
  <si>
    <t>JHX</t>
  </si>
  <si>
    <t>James Hardie Industries PLC CDI 1:1</t>
  </si>
  <si>
    <t>JIN</t>
  </si>
  <si>
    <t>Jumbo Interactive Limited Ordinary</t>
  </si>
  <si>
    <t>JLL</t>
  </si>
  <si>
    <t>Jindalee Lithium Limited Ordinary</t>
  </si>
  <si>
    <t>JMS</t>
  </si>
  <si>
    <t>Jupiter Mines Limited Ordinary</t>
  </si>
  <si>
    <t>JNDQ</t>
  </si>
  <si>
    <t>BetaShares NASDAQ Next GEN 100 ETF</t>
  </si>
  <si>
    <t>JNO</t>
  </si>
  <si>
    <t>Juno Minerals Limited Ordinary</t>
  </si>
  <si>
    <t>JNS</t>
  </si>
  <si>
    <t>Janus Electric Holdings Limited Ordinary</t>
  </si>
  <si>
    <t>JPEQ</t>
  </si>
  <si>
    <t>JP Morgan US 100Q Equity Premium Income Active ETF</t>
  </si>
  <si>
    <t>JPHQ</t>
  </si>
  <si>
    <t>JP Morgan US 100Q EQ Prem Inc (Hedged) Active ETF</t>
  </si>
  <si>
    <t>JPR</t>
  </si>
  <si>
    <t>Jupiter Energy Limited Ordinary</t>
  </si>
  <si>
    <t>JREG</t>
  </si>
  <si>
    <t>JP Morgan Global Research EN Index Eqty Active ETF</t>
  </si>
  <si>
    <t>JRHG</t>
  </si>
  <si>
    <t>JP Morgan Global Research EN IN Eqty (H) Active ETF</t>
  </si>
  <si>
    <t>JYC</t>
  </si>
  <si>
    <t>Joyce Corporation Ltd Ordinary</t>
  </si>
  <si>
    <t>JZRO</t>
  </si>
  <si>
    <t>Janus Henderson Net Zero Transition Active ETF</t>
  </si>
  <si>
    <t>KAI</t>
  </si>
  <si>
    <t>Kairos Minerals Limited Ordinary</t>
  </si>
  <si>
    <t>KAL</t>
  </si>
  <si>
    <t>Kalgoorlie Gold Mining Limited Ordinary</t>
  </si>
  <si>
    <t>KAM</t>
  </si>
  <si>
    <t>K2 Asset Management Holdings Ltd Ordinary</t>
  </si>
  <si>
    <t>KAR</t>
  </si>
  <si>
    <t>Karoon Energy Ltd Ordinary</t>
  </si>
  <si>
    <t>KAT</t>
  </si>
  <si>
    <t>Katana Capital Limited Ordinary</t>
  </si>
  <si>
    <t>KAU</t>
  </si>
  <si>
    <t>Kaiser Reef Limited Ordinary</t>
  </si>
  <si>
    <t>KBC</t>
  </si>
  <si>
    <t>Keybridge Capital Limited Ordinary</t>
  </si>
  <si>
    <t>KCC</t>
  </si>
  <si>
    <t>Kincora Copper Limited CDI 1:1</t>
  </si>
  <si>
    <t>KCN</t>
  </si>
  <si>
    <t>Kingsgate Consolidated Limited Ordinary</t>
  </si>
  <si>
    <t>KEY</t>
  </si>
  <si>
    <t>Key Petroleum Limited Ordinary</t>
  </si>
  <si>
    <t>KFM</t>
  </si>
  <si>
    <t>Kingfisher Mining Ltd Ordinary</t>
  </si>
  <si>
    <t>KGD</t>
  </si>
  <si>
    <t>Kula Gold Limited Ordinary</t>
  </si>
  <si>
    <t>KGL</t>
  </si>
  <si>
    <t>KGL Resources Limited Ordinary</t>
  </si>
  <si>
    <t>KGN</t>
  </si>
  <si>
    <t>Kogan.Com Ltd Ordinary</t>
  </si>
  <si>
    <t>KKC</t>
  </si>
  <si>
    <t>KKR Credit Income Fund Ordinary Units</t>
  </si>
  <si>
    <t>KKO</t>
  </si>
  <si>
    <t>Kinetiko Energy Ltd Ordinary</t>
  </si>
  <si>
    <t>KLI</t>
  </si>
  <si>
    <t>Killi Resources Limited Ordinary</t>
  </si>
  <si>
    <t>KLR</t>
  </si>
  <si>
    <t>Kaili Resources Limited 125c Ordinary</t>
  </si>
  <si>
    <t>KLS</t>
  </si>
  <si>
    <t>Kelsian Group Limited Ordinary</t>
  </si>
  <si>
    <t>KLV</t>
  </si>
  <si>
    <t>Klevo Rewards Limited Ordinary</t>
  </si>
  <si>
    <t>KM1</t>
  </si>
  <si>
    <t>Kali Metals Limited Ordinary</t>
  </si>
  <si>
    <t>KMD</t>
  </si>
  <si>
    <t>KMD Brands Limited Ordinary Foreign Exempt NZX</t>
  </si>
  <si>
    <t>KME</t>
  </si>
  <si>
    <t>Kip McGrath Education Centres Limited Ordinary</t>
  </si>
  <si>
    <t>Misc Educational Service Providers</t>
  </si>
  <si>
    <t>KNB</t>
  </si>
  <si>
    <t>Koonenberry Gold Limited Ordinary</t>
  </si>
  <si>
    <t>KNG</t>
  </si>
  <si>
    <t>Kingsland Minerals Ltd Ordinary</t>
  </si>
  <si>
    <t>KNI</t>
  </si>
  <si>
    <t>Kuniko Limited Ordinary</t>
  </si>
  <si>
    <t>KNM</t>
  </si>
  <si>
    <t>Kneomedia Limited Ordinary</t>
  </si>
  <si>
    <t>KNO</t>
  </si>
  <si>
    <t>Knosys Limited Ordinary</t>
  </si>
  <si>
    <t>KOB</t>
  </si>
  <si>
    <t>Koba Resources Limited Ordinary</t>
  </si>
  <si>
    <t>KOR</t>
  </si>
  <si>
    <t>Korab Resources Limited Ordinary</t>
  </si>
  <si>
    <t>KOV</t>
  </si>
  <si>
    <t>Korvest Ltd Ordinary</t>
  </si>
  <si>
    <t>KP2</t>
  </si>
  <si>
    <t>Kore Potash PLC CDI 1:1</t>
  </si>
  <si>
    <t>KPG</t>
  </si>
  <si>
    <t>Kelly Partners Group Holdings Limited Ordinary</t>
  </si>
  <si>
    <t>KPO</t>
  </si>
  <si>
    <t>Kalina Power Limited Ordinary</t>
  </si>
  <si>
    <t>KRM</t>
  </si>
  <si>
    <t>Kingsrose Mining Limited Ordinary</t>
  </si>
  <si>
    <t>KRR</t>
  </si>
  <si>
    <t>King River Resources Limited Ordinary</t>
  </si>
  <si>
    <t>KSC</t>
  </si>
  <si>
    <t>K&amp;S Corporation Limited Ordinary</t>
  </si>
  <si>
    <t>KSL</t>
  </si>
  <si>
    <t>Kina Securities Limited Ordinary</t>
  </si>
  <si>
    <t>KSM</t>
  </si>
  <si>
    <t>K2 Australian Small Cap Hedge Fund - Complex ETF</t>
  </si>
  <si>
    <t>KSN</t>
  </si>
  <si>
    <t>Kingston Resources Limited Ordinary</t>
  </si>
  <si>
    <t>KTA</t>
  </si>
  <si>
    <t>Krakatoa Resources Limited Ordinary</t>
  </si>
  <si>
    <t>KYP</t>
  </si>
  <si>
    <t>Kinatico Ltd Ordinary</t>
  </si>
  <si>
    <t>KZR</t>
  </si>
  <si>
    <t>Kalamazoo Resources Limited Ordinary</t>
  </si>
  <si>
    <t>L1G</t>
  </si>
  <si>
    <t>L1 Group Limited Ordinary</t>
  </si>
  <si>
    <t>L1HI</t>
  </si>
  <si>
    <t>L1 Capital International (Hedged) Active ETF</t>
  </si>
  <si>
    <t>L1IF</t>
  </si>
  <si>
    <t>L1 Capital International (Unhedged) Active ETF</t>
  </si>
  <si>
    <t>L1M</t>
  </si>
  <si>
    <t>Lightning Minerals Ltd Ordinary</t>
  </si>
  <si>
    <t>LAM</t>
  </si>
  <si>
    <t>Laramide Resources Ltd CDI 1:1</t>
  </si>
  <si>
    <t>LAT</t>
  </si>
  <si>
    <t>Latitude 66 Limited Ordinary</t>
  </si>
  <si>
    <t>LAU</t>
  </si>
  <si>
    <t>Lindsay Australia Limited Ordinary</t>
  </si>
  <si>
    <t>LBL</t>
  </si>
  <si>
    <t>Laserbond Limited Ordinary</t>
  </si>
  <si>
    <t>LCE</t>
  </si>
  <si>
    <t>London City Equities Limited Ordinary</t>
  </si>
  <si>
    <t>LCL</t>
  </si>
  <si>
    <t>LCL Resources Limited Ordinary</t>
  </si>
  <si>
    <t>LCY</t>
  </si>
  <si>
    <t>Legacy Iron Ore Limited Ordinary</t>
  </si>
  <si>
    <t>LDR</t>
  </si>
  <si>
    <t>Lode Resources Ltd Ordinary</t>
  </si>
  <si>
    <t>LDX</t>
  </si>
  <si>
    <t>Lumos Diagnostics Holdings Limited Ordinary</t>
  </si>
  <si>
    <t>LEG</t>
  </si>
  <si>
    <t>Legend Mining Limited Ordinary</t>
  </si>
  <si>
    <t>LEL</t>
  </si>
  <si>
    <t>Lithium Energy Limited Ordinary</t>
  </si>
  <si>
    <t>LEND</t>
  </si>
  <si>
    <t>Vaneck Glbl Listed Private Credit (AUD Hedged) ETF</t>
  </si>
  <si>
    <t>LEVR</t>
  </si>
  <si>
    <t>First Sentier Geared Australian Share Complex ETF</t>
  </si>
  <si>
    <t>LEX</t>
  </si>
  <si>
    <t>Lefroy Exploration Limited Ordinary</t>
  </si>
  <si>
    <t>LF1</t>
  </si>
  <si>
    <t>La Trobe Private Credit Fund Ordinary Units</t>
  </si>
  <si>
    <t>LFG</t>
  </si>
  <si>
    <t>Liberty Financial Group Ordinary/Units Stapled Securities</t>
  </si>
  <si>
    <t>LFS</t>
  </si>
  <si>
    <t>Latitude Group Holdings Limited Ordinary</t>
  </si>
  <si>
    <t>LGI</t>
  </si>
  <si>
    <t>LGI Limited Ordinary</t>
  </si>
  <si>
    <t>LGM</t>
  </si>
  <si>
    <t>Legacy Minerals Holdings Limited Ordinary</t>
  </si>
  <si>
    <t>LGP</t>
  </si>
  <si>
    <t>Little Green Pharma Ltd Ordinary</t>
  </si>
  <si>
    <t>LHGG</t>
  </si>
  <si>
    <t>Lakehouse Global Growth Fund Active ETF</t>
  </si>
  <si>
    <t>LIB</t>
  </si>
  <si>
    <t>Liberty Metals Ltd Ordinary</t>
  </si>
  <si>
    <t>LIC</t>
  </si>
  <si>
    <t>Lifestyle Communities Limited Ordinary</t>
  </si>
  <si>
    <t>LIN</t>
  </si>
  <si>
    <t>Lindian Resources Limited Ordinary</t>
  </si>
  <si>
    <t>LIO</t>
  </si>
  <si>
    <t>Lion Energy Limited Ordinary</t>
  </si>
  <si>
    <t>LIS</t>
  </si>
  <si>
    <t>Li-S Energy Limited Ordinary</t>
  </si>
  <si>
    <t>LIT</t>
  </si>
  <si>
    <t>Livium Ltd Ordinary</t>
  </si>
  <si>
    <t>LKE</t>
  </si>
  <si>
    <t>Lake Resources NL Ordinary</t>
  </si>
  <si>
    <t>LKO</t>
  </si>
  <si>
    <t>Lakes Blue Energy NL Ordinary</t>
  </si>
  <si>
    <t>LKY</t>
  </si>
  <si>
    <t>Locksley Resources Limited Ordinary</t>
  </si>
  <si>
    <t>LLC</t>
  </si>
  <si>
    <t>Lendlease Group Ordinary/Units Stapled Securities</t>
  </si>
  <si>
    <t>LLM</t>
  </si>
  <si>
    <t>Loyal Metals Ltd Ordinary</t>
  </si>
  <si>
    <t>LM1</t>
  </si>
  <si>
    <t>Leeuwin Metals Ltd Ordinary</t>
  </si>
  <si>
    <t>LM8</t>
  </si>
  <si>
    <t>Lunnon Metals Limited Ordinary</t>
  </si>
  <si>
    <t>LMG</t>
  </si>
  <si>
    <t>Latrobe Magnesium Limited Ordinary</t>
  </si>
  <si>
    <t>LML</t>
  </si>
  <si>
    <t>Lincoln Minerals Limited Ordinary</t>
  </si>
  <si>
    <t>LMS</t>
  </si>
  <si>
    <t>Litchfield Minerals Limited Ordinary</t>
  </si>
  <si>
    <t>LNAS</t>
  </si>
  <si>
    <t>Global X Ultra Long Nasdaq-100 Complex ETF</t>
  </si>
  <si>
    <t>LNQ</t>
  </si>
  <si>
    <t>Linq Minerals Limited Ordinary</t>
  </si>
  <si>
    <t>LNW</t>
  </si>
  <si>
    <t>Light &amp; Wonder Inc. CDI 1:1</t>
  </si>
  <si>
    <t>LNYN</t>
  </si>
  <si>
    <t>Lanyon Investment Fund Active ETF</t>
  </si>
  <si>
    <t>LOT</t>
  </si>
  <si>
    <t>Lotus Resources Limited Ordinary</t>
  </si>
  <si>
    <t>LOV</t>
  </si>
  <si>
    <t>Lovisa Holdings Limited Ordinary</t>
  </si>
  <si>
    <t>LPE</t>
  </si>
  <si>
    <t>Locality Planning Energy Holdings Limited Ordinary</t>
  </si>
  <si>
    <t>LPGD</t>
  </si>
  <si>
    <t>Loftus Peak Global Disruption Active ETF</t>
  </si>
  <si>
    <t>LPHD</t>
  </si>
  <si>
    <t>Loftus Peak Global Disruption Hedged Active ETF</t>
  </si>
  <si>
    <t>LPM</t>
  </si>
  <si>
    <t>Lithium Plus Minerals Ltd. Ordinary</t>
  </si>
  <si>
    <t>LRD</t>
  </si>
  <si>
    <t>Lord Resources Limited Ordinary</t>
  </si>
  <si>
    <t>LRK</t>
  </si>
  <si>
    <t>Lark Distilling Co. Ltd Ordinary</t>
  </si>
  <si>
    <t>LRM</t>
  </si>
  <si>
    <t>Lion Rock Minerals Ltd Ordinary</t>
  </si>
  <si>
    <t>LRT</t>
  </si>
  <si>
    <t>Lowell Resources Fund Ordinary Units</t>
  </si>
  <si>
    <t>LRV</t>
  </si>
  <si>
    <t>Larvotto Resources Limited Ordinary</t>
  </si>
  <si>
    <t>LSA</t>
  </si>
  <si>
    <t>Lachlan Star Limited Ordinary</t>
  </si>
  <si>
    <t>LSF</t>
  </si>
  <si>
    <t>L1 Long Short Fund Limited Ordinary</t>
  </si>
  <si>
    <t>LSGE</t>
  </si>
  <si>
    <t>Loomis Sayles Global Equity Fund - Active ETF</t>
  </si>
  <si>
    <t>LSR</t>
  </si>
  <si>
    <t>Lodestar Minerals Limited Ordinary</t>
  </si>
  <si>
    <t>LSX</t>
  </si>
  <si>
    <t>Lion Selection Group Limited Ordinary</t>
  </si>
  <si>
    <t>LTP</t>
  </si>
  <si>
    <t>LTR Pharma Limited Ordinary</t>
  </si>
  <si>
    <t>LTR</t>
  </si>
  <si>
    <t>Liontown Limited Ordinary</t>
  </si>
  <si>
    <t>LU7</t>
  </si>
  <si>
    <t>Lithium Universe Limited Ordinary</t>
  </si>
  <si>
    <t>LVE</t>
  </si>
  <si>
    <t>Love Group Global Ltd Ordinary</t>
  </si>
  <si>
    <t>LYC</t>
  </si>
  <si>
    <t>Lynas Rare Earths Limited Ordinary</t>
  </si>
  <si>
    <t>LYL</t>
  </si>
  <si>
    <t>Lycopodium Limited Ordinary</t>
  </si>
  <si>
    <t>M24</t>
  </si>
  <si>
    <t>Mamba Exploration Limited Ordinary</t>
  </si>
  <si>
    <t>M2M</t>
  </si>
  <si>
    <t>Mt Malcolm Mines NL Ordinary</t>
  </si>
  <si>
    <t>M2R</t>
  </si>
  <si>
    <t>Miramar Resources Limited Ordinary</t>
  </si>
  <si>
    <t>M3M</t>
  </si>
  <si>
    <t>M3 Mining Limited Ordinary</t>
  </si>
  <si>
    <t>M4M</t>
  </si>
  <si>
    <t>Macro Metals Limited Ordinary</t>
  </si>
  <si>
    <t>M79</t>
  </si>
  <si>
    <t>Mammoth Minerals Limited Ordinary</t>
  </si>
  <si>
    <t>M7T</t>
  </si>
  <si>
    <t>Mach7 Technologies Limited Ordinary</t>
  </si>
  <si>
    <t>MA1</t>
  </si>
  <si>
    <t>MA Credit Income Trust Ordinary Units</t>
  </si>
  <si>
    <t>MAD</t>
  </si>
  <si>
    <t>Mader Group Limited Ordinary</t>
  </si>
  <si>
    <t>MAET</t>
  </si>
  <si>
    <t>Munro Global Growth Fund Complex ETF</t>
  </si>
  <si>
    <t>MAF</t>
  </si>
  <si>
    <t>MA Financial Group Limited Ordinary</t>
  </si>
  <si>
    <t>MAG</t>
  </si>
  <si>
    <t>Magmatic Resources Limited Ordinary</t>
  </si>
  <si>
    <t>MAH</t>
  </si>
  <si>
    <t>Macmahon Holdings Limited Ordinary</t>
  </si>
  <si>
    <t>MAM</t>
  </si>
  <si>
    <t>Microequities Asset Management Group Limited Ordinary</t>
  </si>
  <si>
    <t>MAN</t>
  </si>
  <si>
    <t>Mandrake Resources Limited Ordinary</t>
  </si>
  <si>
    <t>MAP</t>
  </si>
  <si>
    <t>Microba Life Sciences Limited Ordinary</t>
  </si>
  <si>
    <t>MAQ</t>
  </si>
  <si>
    <t>Macquarie Technology Group Limited Ordinary</t>
  </si>
  <si>
    <t>MAT</t>
  </si>
  <si>
    <t>Matsa Resources Limited Ordinary</t>
  </si>
  <si>
    <t>MAU</t>
  </si>
  <si>
    <t>Magnetic Resources NL Ordinary</t>
  </si>
  <si>
    <t>MAY</t>
  </si>
  <si>
    <t>Melbana Energy Limited Ordinary</t>
  </si>
  <si>
    <t>MBH</t>
  </si>
  <si>
    <t>Maggie Beer Holdings Ltd Ordinary</t>
  </si>
  <si>
    <t>MBK</t>
  </si>
  <si>
    <t>Metal Bank Limited Ordinary</t>
  </si>
  <si>
    <t>MC2</t>
  </si>
  <si>
    <t>Marimaca Copper Corp. CDI 1:1</t>
  </si>
  <si>
    <t>Materials (Copper Mining)</t>
  </si>
  <si>
    <t>MCA</t>
  </si>
  <si>
    <t>Murray COD Australia Limited Ordinary</t>
  </si>
  <si>
    <t>MCCL</t>
  </si>
  <si>
    <t>Munro Climate Change Leaders Fund Active ETF</t>
  </si>
  <si>
    <t>MCE</t>
  </si>
  <si>
    <t>Matrix Composites &amp; Engineering Limited Ordinary</t>
  </si>
  <si>
    <t>Oil Related Services and Equipment</t>
  </si>
  <si>
    <t>MCGG</t>
  </si>
  <si>
    <t>Munro Concentrated Global Growth Active ETF</t>
  </si>
  <si>
    <t>MCM</t>
  </si>
  <si>
    <t>MC Mining Limited Ordinary</t>
  </si>
  <si>
    <t>MCO</t>
  </si>
  <si>
    <t>Myeco Group Ltd Ordinary</t>
  </si>
  <si>
    <t>MCP</t>
  </si>
  <si>
    <t>McPherson's Limited Ordinary</t>
  </si>
  <si>
    <t>Personal Products</t>
  </si>
  <si>
    <t>MCY</t>
  </si>
  <si>
    <t>Mercury NZ Limited Ordinary Foreign Exempt NZX</t>
  </si>
  <si>
    <t>MDI</t>
  </si>
  <si>
    <t>Middle Island Resources Limited Ordinary</t>
  </si>
  <si>
    <t>MDX</t>
  </si>
  <si>
    <t>Mindax Limited Ordinary</t>
  </si>
  <si>
    <t>MEC</t>
  </si>
  <si>
    <t>Morphic Ethical Equities Fund Limited Ordinary</t>
  </si>
  <si>
    <t>MEG</t>
  </si>
  <si>
    <t>Megado Minerals Ltd Ordinary</t>
  </si>
  <si>
    <t>MEI</t>
  </si>
  <si>
    <t>Meteoric Resources NL Ordinary</t>
  </si>
  <si>
    <t>MEK</t>
  </si>
  <si>
    <t>Meeka Metals Limited Ordinary</t>
  </si>
  <si>
    <t>MEL</t>
  </si>
  <si>
    <t>Metgasco Ltd Ordinary</t>
  </si>
  <si>
    <t>MEM</t>
  </si>
  <si>
    <t>Memphasys Limited Ordinary</t>
  </si>
  <si>
    <t>MEU</t>
  </si>
  <si>
    <t>Marmota Limited Ordinary</t>
  </si>
  <si>
    <t>MEX</t>
  </si>
  <si>
    <t>Minerals Exploration Limited Ordinary</t>
  </si>
  <si>
    <t>MEZ</t>
  </si>
  <si>
    <t>Meridian Energy Limited Ordinary Foreign Exempt NZX</t>
  </si>
  <si>
    <t>MFD</t>
  </si>
  <si>
    <t>Mayfield Childcare Limited Ordinary</t>
  </si>
  <si>
    <t>MFF</t>
  </si>
  <si>
    <t>MFF Capital Investments Limited Ordinary</t>
  </si>
  <si>
    <t>MFG</t>
  </si>
  <si>
    <t>Magellan Financial Group Limited Ordinary</t>
  </si>
  <si>
    <t>MFOA</t>
  </si>
  <si>
    <t>Milford Australian Absolute Growth Complex ETF</t>
  </si>
  <si>
    <t>MGA</t>
  </si>
  <si>
    <t>Metalsgrove Mining Ltd Ordinary</t>
  </si>
  <si>
    <t>MGH</t>
  </si>
  <si>
    <t>Maas Group Holdings Limited Ordinary</t>
  </si>
  <si>
    <t>MGL</t>
  </si>
  <si>
    <t>Magontec Limited Ordinary</t>
  </si>
  <si>
    <t>MGOC</t>
  </si>
  <si>
    <t>Magellan Global Fund -Open Class Units -Active ETF</t>
  </si>
  <si>
    <t>MGR</t>
  </si>
  <si>
    <t>Mirvac Group Ordinary/Units Stapled Securities</t>
  </si>
  <si>
    <t>MGT</t>
  </si>
  <si>
    <t>Magnetite Mines Limited Ordinary</t>
  </si>
  <si>
    <t>MGU</t>
  </si>
  <si>
    <t>Magnum Mining and Exploration Limited Ordinary</t>
  </si>
  <si>
    <t>MGX</t>
  </si>
  <si>
    <t>MGX Resources Limited Ordinary</t>
  </si>
  <si>
    <t>MHC</t>
  </si>
  <si>
    <t>Manhattan Corporation Limited Ordinary</t>
  </si>
  <si>
    <t>MHG</t>
  </si>
  <si>
    <t>Magellan Global EQ Fund (Currencyhdg) - Active ETF</t>
  </si>
  <si>
    <t>MHJ</t>
  </si>
  <si>
    <t>Michael Hill International Limited Ordinary</t>
  </si>
  <si>
    <t>MHK</t>
  </si>
  <si>
    <t>Metal Hawk Limited Ordinary</t>
  </si>
  <si>
    <t>MHM</t>
  </si>
  <si>
    <t>Mount Hope Mining Limited Ordinary</t>
  </si>
  <si>
    <t>MHOT</t>
  </si>
  <si>
    <t>Vaneck Morningstar Wide Moat (AUD Hedged) ETF</t>
  </si>
  <si>
    <t>MI6</t>
  </si>
  <si>
    <t>Minerals 260 Limited Ordinary</t>
  </si>
  <si>
    <t>MICH</t>
  </si>
  <si>
    <t>Magellan Infra Fund (Currency Hedged) - Active ETF</t>
  </si>
  <si>
    <t>MIDS</t>
  </si>
  <si>
    <t>Antipodes Global Smid Active ETF</t>
  </si>
  <si>
    <t>MIN</t>
  </si>
  <si>
    <t>Mineral Resources Limited Ordinary</t>
  </si>
  <si>
    <t>MIO</t>
  </si>
  <si>
    <t>Macarthur Minerals Limited Ordinary</t>
  </si>
  <si>
    <t>MIR</t>
  </si>
  <si>
    <t>Mirrabooka Investments Limited Ordinary</t>
  </si>
  <si>
    <t>MKAX</t>
  </si>
  <si>
    <t>Montaka Global Extension Fund - Complex ETF</t>
  </si>
  <si>
    <t>MKR</t>
  </si>
  <si>
    <t>Manuka Resources Ltd. Ordinary</t>
  </si>
  <si>
    <t>ML8</t>
  </si>
  <si>
    <t>Moonlight Resources Ltd Ordinary</t>
  </si>
  <si>
    <t>MLG</t>
  </si>
  <si>
    <t>MLG OZ Limited Ordinary</t>
  </si>
  <si>
    <t>MLS</t>
  </si>
  <si>
    <t>Metals Australia Ltd Ordinary</t>
  </si>
  <si>
    <t>MLX</t>
  </si>
  <si>
    <t>Metals X Limited Ordinary</t>
  </si>
  <si>
    <t>MM1</t>
  </si>
  <si>
    <t>Midas Minerals Ltd Ordinary</t>
  </si>
  <si>
    <t>MM8</t>
  </si>
  <si>
    <t>Medallion Metals Limited Ordinary</t>
  </si>
  <si>
    <t>MMA</t>
  </si>
  <si>
    <t>Maronan Metals Limited Ordinary</t>
  </si>
  <si>
    <t>MME</t>
  </si>
  <si>
    <t>Moneyme Limited Ordinary</t>
  </si>
  <si>
    <t>MMI</t>
  </si>
  <si>
    <t>Metro Mining Limited Ordinary</t>
  </si>
  <si>
    <t>MMKT</t>
  </si>
  <si>
    <t>BetaShares Australian Cash Plus Active ETF</t>
  </si>
  <si>
    <t>MML</t>
  </si>
  <si>
    <t>McLaren Minerals Limited Ordinary</t>
  </si>
  <si>
    <t>MMR</t>
  </si>
  <si>
    <t>MEC Resources Limited Ordinary</t>
  </si>
  <si>
    <t>MMS</t>
  </si>
  <si>
    <t>McMillan Shakespeare Limited Ordinary</t>
  </si>
  <si>
    <t>MNB</t>
  </si>
  <si>
    <t>Minbos Resources Limited Ordinary</t>
  </si>
  <si>
    <t>MNC</t>
  </si>
  <si>
    <t>Merino &amp; Co. Limited Ordinary</t>
  </si>
  <si>
    <t>MND</t>
  </si>
  <si>
    <t>Monadelphous Group Limited Ordinary</t>
  </si>
  <si>
    <t>MNRS</t>
  </si>
  <si>
    <t>BetaShares Global Gold Miners Currency Hedged ETF</t>
  </si>
  <si>
    <t>MOAT</t>
  </si>
  <si>
    <t>Vaneck Morningstar Wide Moat ETF</t>
  </si>
  <si>
    <t>MOGL</t>
  </si>
  <si>
    <t>Montaka Global Fund - Active ETF</t>
  </si>
  <si>
    <t>MOH</t>
  </si>
  <si>
    <t>Moho Resources Limited Ordinary</t>
  </si>
  <si>
    <t>MOM</t>
  </si>
  <si>
    <t>Moab Minerals Limited Ordinary</t>
  </si>
  <si>
    <t>MOT</t>
  </si>
  <si>
    <t>Metrics Income Opportunities Trust Ordinary Units</t>
  </si>
  <si>
    <t>MOV</t>
  </si>
  <si>
    <t>Move Logistics Group Limited Ordinary Foreign Exempt NZX</t>
  </si>
  <si>
    <t>Industrials (Transportation)</t>
  </si>
  <si>
    <t>MP1</t>
  </si>
  <si>
    <t>Megaport Limited Ordinary</t>
  </si>
  <si>
    <t>MPK</t>
  </si>
  <si>
    <t>Many Peaks Minerals Ltd Ordinary</t>
  </si>
  <si>
    <t>MPL</t>
  </si>
  <si>
    <t>Medibank Private Limited Ordinary</t>
  </si>
  <si>
    <t>MPP</t>
  </si>
  <si>
    <t>Metro Performance Glass Limited Ordinary Foreign Exempt NZX</t>
  </si>
  <si>
    <t>MPR</t>
  </si>
  <si>
    <t>MPR Australia Limited Ordinary</t>
  </si>
  <si>
    <t>MPW</t>
  </si>
  <si>
    <t>Metal Powder Works Limited Ordinary</t>
  </si>
  <si>
    <t>MPX</t>
  </si>
  <si>
    <t>Mustera Property Group Limited Ordinary</t>
  </si>
  <si>
    <t>MQAE</t>
  </si>
  <si>
    <t>Macquarie Core Australian Equity Active ETF</t>
  </si>
  <si>
    <t>MQDB</t>
  </si>
  <si>
    <t>Macquarie Dynamic Bond Active ETF</t>
  </si>
  <si>
    <t>MQEG</t>
  </si>
  <si>
    <t>Macquarie Core Global Equity Active ETF</t>
  </si>
  <si>
    <t>MQG</t>
  </si>
  <si>
    <t>Macquarie Group Limited Ordinary</t>
  </si>
  <si>
    <t>MQHG</t>
  </si>
  <si>
    <t>Macquarie Core Global Equity (Hedged) Active ETF</t>
  </si>
  <si>
    <t>MQIO</t>
  </si>
  <si>
    <t>Macquarie Income Opportunities Active ETF</t>
  </si>
  <si>
    <t>MQR</t>
  </si>
  <si>
    <t>Marquee Resources Limited Ordinary</t>
  </si>
  <si>
    <t>MQSD</t>
  </si>
  <si>
    <t>Macquarie Subordinated Debt Active ETF</t>
  </si>
  <si>
    <t>MQWS</t>
  </si>
  <si>
    <t>Macquarie Walter Scott Global Equity Active ETF</t>
  </si>
  <si>
    <t>MQYM</t>
  </si>
  <si>
    <t>Macquarie Global Yield Maximiser Active ETF</t>
  </si>
  <si>
    <t>MRC</t>
  </si>
  <si>
    <t>Mineral Commodities Ltd Ordinary</t>
  </si>
  <si>
    <t>MRD</t>
  </si>
  <si>
    <t>Mount Ridley Mines Limited Ordinary</t>
  </si>
  <si>
    <t>MRE</t>
  </si>
  <si>
    <t>Metrics Real Estate Multi-Strategy Fund Units Stapled Securities</t>
  </si>
  <si>
    <t>MRQ</t>
  </si>
  <si>
    <t>MRG Metals Limited Ordinary</t>
  </si>
  <si>
    <t>MRR</t>
  </si>
  <si>
    <t>Minrex Resources Limited Ordinary</t>
  </si>
  <si>
    <t>MRZ</t>
  </si>
  <si>
    <t>Mont Royal Resources Limited Ordinary</t>
  </si>
  <si>
    <t>MSB</t>
  </si>
  <si>
    <t>Mesoblast Limited Ordinary</t>
  </si>
  <si>
    <t>MSG</t>
  </si>
  <si>
    <t>MCS Services Limited Ordinary</t>
  </si>
  <si>
    <t>MSI</t>
  </si>
  <si>
    <t>Multistack International Limited Ordinary</t>
  </si>
  <si>
    <t>MSTR</t>
  </si>
  <si>
    <t>Morningstar International Shares Active ETF</t>
  </si>
  <si>
    <t>MSV</t>
  </si>
  <si>
    <t>Mitchell Services Limited Ordinary</t>
  </si>
  <si>
    <t>MTB</t>
  </si>
  <si>
    <t>Mount Burgess Mining NL Ordinary</t>
  </si>
  <si>
    <t>MTC</t>
  </si>
  <si>
    <t>Metalstech Limited Ordinary</t>
  </si>
  <si>
    <t>MTH</t>
  </si>
  <si>
    <t>Mithril Silver and Gold Limited Ordinary</t>
  </si>
  <si>
    <t>MTL</t>
  </si>
  <si>
    <t>Mantle Minerals Limited Ordinary</t>
  </si>
  <si>
    <t>MTM</t>
  </si>
  <si>
    <t>Metallium Limited Ordinary</t>
  </si>
  <si>
    <t>MTO</t>
  </si>
  <si>
    <t>Motorcycle Holdings Limited Ordinary</t>
  </si>
  <si>
    <t>MTS</t>
  </si>
  <si>
    <t>Metcash Limited Ordinary</t>
  </si>
  <si>
    <t>MTUM</t>
  </si>
  <si>
    <t>BetaShares Australian Momentum ETF</t>
  </si>
  <si>
    <t>MVA</t>
  </si>
  <si>
    <t>Vaneck Australian Property ETF</t>
  </si>
  <si>
    <t>MVB</t>
  </si>
  <si>
    <t>Vaneck Australian Banks ETF</t>
  </si>
  <si>
    <t>MVE</t>
  </si>
  <si>
    <t>Vaneck S&amp;P/ASX Midcap ETF</t>
  </si>
  <si>
    <t>MVF</t>
  </si>
  <si>
    <t>Monash IVF Group Limited Ordinary</t>
  </si>
  <si>
    <t>MVL</t>
  </si>
  <si>
    <t>Marvel Gold Limited Ordinary</t>
  </si>
  <si>
    <t>MVOL</t>
  </si>
  <si>
    <t>iShares Edge MSCI Australia Minimum Volatility ETF</t>
  </si>
  <si>
    <t>MVP</t>
  </si>
  <si>
    <t>Medical Developments International Limited Ordinary</t>
  </si>
  <si>
    <t>MVR</t>
  </si>
  <si>
    <t>Vaneck Australian Resources ETF</t>
  </si>
  <si>
    <t>MVS</t>
  </si>
  <si>
    <t>Vaneck Small Companies Masters ETF</t>
  </si>
  <si>
    <t>MVW</t>
  </si>
  <si>
    <t>Vaneck Australian Equal Weight ETF</t>
  </si>
  <si>
    <t>MX1</t>
  </si>
  <si>
    <t>Micro-X Limited Ordinary</t>
  </si>
  <si>
    <t>MXI</t>
  </si>
  <si>
    <t>Maxiparts Limited Ordinary</t>
  </si>
  <si>
    <t>MXO</t>
  </si>
  <si>
    <t>Motio Ltd Ordinary</t>
  </si>
  <si>
    <t>MXT</t>
  </si>
  <si>
    <t>Metrics Master Income Trust Ordinary Units</t>
  </si>
  <si>
    <t>MYE</t>
  </si>
  <si>
    <t>Mastermyne Group Limited Ordinary</t>
  </si>
  <si>
    <t>MYG</t>
  </si>
  <si>
    <t>Mayfield Group Holdings Limited Ordinary</t>
  </si>
  <si>
    <t>Heavy Electrical Equipment</t>
  </si>
  <si>
    <t>MYR</t>
  </si>
  <si>
    <t>Myer Holdings Limited Ordinary</t>
  </si>
  <si>
    <t>MYS</t>
  </si>
  <si>
    <t>Mystate Limited Ordinary</t>
  </si>
  <si>
    <t>MYX</t>
  </si>
  <si>
    <t>Mayne Pharma Group Limited Ordinary</t>
  </si>
  <si>
    <t>N1H</t>
  </si>
  <si>
    <t>N1 Holdings Limited Ordinary</t>
  </si>
  <si>
    <t>NAB</t>
  </si>
  <si>
    <t>National Australia Bank Limited Ordinary</t>
  </si>
  <si>
    <t>NAC</t>
  </si>
  <si>
    <t>Naos Ex-50 Opportunities Company Limited Ordinary</t>
  </si>
  <si>
    <t>NAE</t>
  </si>
  <si>
    <t>New AGE Exploration Limited Ordinary</t>
  </si>
  <si>
    <t>NAG</t>
  </si>
  <si>
    <t>Nagambie Resources Limited Ordinary</t>
  </si>
  <si>
    <t>NAN</t>
  </si>
  <si>
    <t>Nanosonics Limited Ordinary</t>
  </si>
  <si>
    <t>NC1</t>
  </si>
  <si>
    <t>Nico Resources Limited Ordinary</t>
  </si>
  <si>
    <t>NC6</t>
  </si>
  <si>
    <t>Nanollose Limited Ordinary</t>
  </si>
  <si>
    <t>Textiles &amp; Leather Goods</t>
  </si>
  <si>
    <t>NCC</t>
  </si>
  <si>
    <t>Naos Emerging Opportunities Company Limited Ordinary</t>
  </si>
  <si>
    <t>NCK</t>
  </si>
  <si>
    <t>Nick Scali Limited Ordinary</t>
  </si>
  <si>
    <t>NDIA</t>
  </si>
  <si>
    <t>Global X India Nifty 50 ETF</t>
  </si>
  <si>
    <t>NDO</t>
  </si>
  <si>
    <t>Nido Education Limited Ordinary</t>
  </si>
  <si>
    <t>NDQ</t>
  </si>
  <si>
    <t>BetaShares Nasdaq-100 ETF</t>
  </si>
  <si>
    <t>NEC</t>
  </si>
  <si>
    <t>Nine Entertainment Co. Holdings Limited Ordinary</t>
  </si>
  <si>
    <t>NEM</t>
  </si>
  <si>
    <t>Newmont Corporation CDI 1:1 Foreign Exempt NYSE</t>
  </si>
  <si>
    <t>Materials (Gold Mining)</t>
  </si>
  <si>
    <t>NES</t>
  </si>
  <si>
    <t>Nelson Resources Limited Ordinary</t>
  </si>
  <si>
    <t>NEU</t>
  </si>
  <si>
    <t>Neuren Pharmaceuticals Limited Ordinary</t>
  </si>
  <si>
    <t>NFL</t>
  </si>
  <si>
    <t>Norfolk Metals Limited Ordinary</t>
  </si>
  <si>
    <t>NFM</t>
  </si>
  <si>
    <t>New Frontier Minerals Limited Ordinary</t>
  </si>
  <si>
    <t>NGE</t>
  </si>
  <si>
    <t>NGE Capital Limited Ordinary</t>
  </si>
  <si>
    <t>NGI</t>
  </si>
  <si>
    <t>Navigator Global Investments Limited FPO-U.S. Investor Prohibited Except QPS</t>
  </si>
  <si>
    <t>NGS</t>
  </si>
  <si>
    <t>Nutritional Growth Solutions Ltd Ordinary</t>
  </si>
  <si>
    <t>NGX</t>
  </si>
  <si>
    <t>NGX Limited Ordinary</t>
  </si>
  <si>
    <t>NGY</t>
  </si>
  <si>
    <t>Nuenergy Gas Limited Ordinary</t>
  </si>
  <si>
    <t>NH3</t>
  </si>
  <si>
    <t>NH3 Clean Energy Limited Ordinary</t>
  </si>
  <si>
    <t>NHC</t>
  </si>
  <si>
    <t>New Hope Corporation Limited Ordinary</t>
  </si>
  <si>
    <t>NHE</t>
  </si>
  <si>
    <t>Noble Helium Limited Ordinary</t>
  </si>
  <si>
    <t>NHF</t>
  </si>
  <si>
    <t>NIB Holdings Limited Ordinary</t>
  </si>
  <si>
    <t>NIC</t>
  </si>
  <si>
    <t>Nickel Industries Limited Ordinary</t>
  </si>
  <si>
    <t>NIM</t>
  </si>
  <si>
    <t>Nimy Resources Limited Ordinary</t>
  </si>
  <si>
    <t>NME</t>
  </si>
  <si>
    <t>Nex Metals Exploration Limited Ordinary</t>
  </si>
  <si>
    <t>NMG</t>
  </si>
  <si>
    <t>New Murchison Gold Limited Ordinary</t>
  </si>
  <si>
    <t>NMR</t>
  </si>
  <si>
    <t>Native Mineral Resources Holdings Limited Ordinary</t>
  </si>
  <si>
    <t>NMT</t>
  </si>
  <si>
    <t>Neometals Ltd Ordinary</t>
  </si>
  <si>
    <t>NNG</t>
  </si>
  <si>
    <t>Nexion Group Ltd Ordinary</t>
  </si>
  <si>
    <t>NNL</t>
  </si>
  <si>
    <t>Nordic Resources Ltd Ordinary</t>
  </si>
  <si>
    <t>NNUK</t>
  </si>
  <si>
    <t>Nanuk New World Fund Active ETF</t>
  </si>
  <si>
    <t>NNWH</t>
  </si>
  <si>
    <t>Nanuk New World Fund (Currency Hedged) Active ETF</t>
  </si>
  <si>
    <t>NOL</t>
  </si>
  <si>
    <t>Nobleoak Life Limited Ordinary</t>
  </si>
  <si>
    <t>NOR</t>
  </si>
  <si>
    <t>Norwood Systems Limited Ordinary</t>
  </si>
  <si>
    <t>NOU</t>
  </si>
  <si>
    <t>Noumi Limited Ordinary</t>
  </si>
  <si>
    <t>NOV</t>
  </si>
  <si>
    <t>Novatti Group Limited Ordinary</t>
  </si>
  <si>
    <t>NOX</t>
  </si>
  <si>
    <t>Noxopharm Limited Ordinary</t>
  </si>
  <si>
    <t>NPM</t>
  </si>
  <si>
    <t>Newpeak Metals Limited Ordinary</t>
  </si>
  <si>
    <t>NRX</t>
  </si>
  <si>
    <t>Noronex Limited Ordinary</t>
  </si>
  <si>
    <t>NRZ</t>
  </si>
  <si>
    <t>Neurizer Ltd Ordinary</t>
  </si>
  <si>
    <t>NSB</t>
  </si>
  <si>
    <t>Neuroscientific Biopharmaceuticals Ltd Ordinary</t>
  </si>
  <si>
    <t>NSC</t>
  </si>
  <si>
    <t>Naos Small Cap Opportunities Company Limited Ordinary</t>
  </si>
  <si>
    <t>NSM</t>
  </si>
  <si>
    <t>North Stawell Minerals Ltd Ordinary</t>
  </si>
  <si>
    <t>NSR</t>
  </si>
  <si>
    <t>National Storage Reit Ordinary/Units Stapled Securities</t>
  </si>
  <si>
    <t>NST</t>
  </si>
  <si>
    <t>Northern Star Resources Ltd Ordinary</t>
  </si>
  <si>
    <t>NTD</t>
  </si>
  <si>
    <t>Ntaw Holdings Limited Ordinary</t>
  </si>
  <si>
    <t>Tires &amp; Rubber Products</t>
  </si>
  <si>
    <t>NTI</t>
  </si>
  <si>
    <t>Neurotech International Limited Ordinary</t>
  </si>
  <si>
    <t>NTM</t>
  </si>
  <si>
    <t>NT Minerals Limited Ordinary</t>
  </si>
  <si>
    <t>NTU</t>
  </si>
  <si>
    <t>Northern Minerals Limited Ordinary</t>
  </si>
  <si>
    <t>NUC</t>
  </si>
  <si>
    <t>Nuchev Limited Ordinary</t>
  </si>
  <si>
    <t>NUF</t>
  </si>
  <si>
    <t>Nufarm Limited Ordinary</t>
  </si>
  <si>
    <t>NUGG</t>
  </si>
  <si>
    <t>Vaneck Gold Bullion ETF</t>
  </si>
  <si>
    <t>NUZ</t>
  </si>
  <si>
    <t>Neurizon Therapeutics Limited Ordinary</t>
  </si>
  <si>
    <t>NVA</t>
  </si>
  <si>
    <t>Nova Minerals Limited Ordinary</t>
  </si>
  <si>
    <t>NVO</t>
  </si>
  <si>
    <t>Novo Resources Corp. CDI 1:1</t>
  </si>
  <si>
    <t>Materials (Gold Exploration)</t>
  </si>
  <si>
    <t>NVQ</t>
  </si>
  <si>
    <t>Noviqtech Limited Ordinary</t>
  </si>
  <si>
    <t>NVU</t>
  </si>
  <si>
    <t>Nanoveu Limited Ordinary</t>
  </si>
  <si>
    <t>NVX</t>
  </si>
  <si>
    <t>Novonix Limited Ordinary</t>
  </si>
  <si>
    <t>NWF</t>
  </si>
  <si>
    <t>Newfield Resources Limited Ordinary</t>
  </si>
  <si>
    <t>NWH</t>
  </si>
  <si>
    <t>NRW Holdings Limited Ordinary</t>
  </si>
  <si>
    <t>NWL</t>
  </si>
  <si>
    <t>Netwealth Group Limited Ordinary</t>
  </si>
  <si>
    <t>NWM</t>
  </si>
  <si>
    <t>Norwest Minerals Limited Ordinary</t>
  </si>
  <si>
    <t>NWS</t>
  </si>
  <si>
    <t>News Corporation. Class B Voting Common Stock-CDI 1:1</t>
  </si>
  <si>
    <t>NXD</t>
  </si>
  <si>
    <t>Nexted Group Limited Ordinary</t>
  </si>
  <si>
    <t>NXG</t>
  </si>
  <si>
    <t>Nexgen Energy (Canada) Ltd CDI 1:1 Foreign Exempt TSX</t>
  </si>
  <si>
    <t>NXL</t>
  </si>
  <si>
    <t>Nuix Limited Ordinary</t>
  </si>
  <si>
    <t>NXM</t>
  </si>
  <si>
    <t>Nexus Minerals Limited Ordinary</t>
  </si>
  <si>
    <t>NXN</t>
  </si>
  <si>
    <t>Nexsen Limited Ordinary</t>
  </si>
  <si>
    <t>NXS</t>
  </si>
  <si>
    <t>Next Science Limited Ordinary</t>
  </si>
  <si>
    <t>NXT</t>
  </si>
  <si>
    <t>Nextdc Limited Ordinary</t>
  </si>
  <si>
    <t>NYM</t>
  </si>
  <si>
    <t>Narryer Metals Limited Ordinary</t>
  </si>
  <si>
    <t>NYR</t>
  </si>
  <si>
    <t>Nyrada Inc. CDI 1:1 US Prohibited</t>
  </si>
  <si>
    <t>NZK</t>
  </si>
  <si>
    <t>New Zealand King Salmon Investments Limited Ordinary Foreign Exempt NZX</t>
  </si>
  <si>
    <t>NZM</t>
  </si>
  <si>
    <t>Nzme Limited Ordinary Foreign Exempt NZX</t>
  </si>
  <si>
    <t>OAK</t>
  </si>
  <si>
    <t>Oakridge International Limited Ordinary</t>
  </si>
  <si>
    <t>OB1</t>
  </si>
  <si>
    <t>Orbminco Limited Ordinary</t>
  </si>
  <si>
    <t>OBL</t>
  </si>
  <si>
    <t>Omni Bridgeway Limited Ordinary US Prohibited</t>
  </si>
  <si>
    <t>OBM</t>
  </si>
  <si>
    <t>Ora Banda Mining Ltd Ordinary</t>
  </si>
  <si>
    <t>OCA</t>
  </si>
  <si>
    <t>Oceania Healthcare Limited Ordinary Foreign Exempt NZX</t>
  </si>
  <si>
    <t>OCC</t>
  </si>
  <si>
    <t>Orthocell Limited Ordinary</t>
  </si>
  <si>
    <t>OCL</t>
  </si>
  <si>
    <t>Objective Corporation Limited Ordinary</t>
  </si>
  <si>
    <t>OCN</t>
  </si>
  <si>
    <t>Oceana Metals Limited Ordinary</t>
  </si>
  <si>
    <t>OCT</t>
  </si>
  <si>
    <t>Octava Minerals Limited Ordinary</t>
  </si>
  <si>
    <t>OD6</t>
  </si>
  <si>
    <t>OD6 Metals Limited Ordinary</t>
  </si>
  <si>
    <t>ODA</t>
  </si>
  <si>
    <t>Orcoda Limited Ordinary</t>
  </si>
  <si>
    <t>ODE</t>
  </si>
  <si>
    <t>Odessa Minerals Limited Ordinary</t>
  </si>
  <si>
    <t>ODY</t>
  </si>
  <si>
    <t>Odyssey Gold Ltd Ordinary</t>
  </si>
  <si>
    <t>OEC</t>
  </si>
  <si>
    <t>Orbital Corporation Limited Ordinary</t>
  </si>
  <si>
    <t>OEL</t>
  </si>
  <si>
    <t>Otto Energy Limited Ordinary</t>
  </si>
  <si>
    <t>OEQ</t>
  </si>
  <si>
    <t>Orion Equities Limited Ordinary</t>
  </si>
  <si>
    <t>OFX</t>
  </si>
  <si>
    <t>OFX Group Limited Ordinary</t>
  </si>
  <si>
    <t>OIL</t>
  </si>
  <si>
    <t>Optiscan Imaging Limited Ordinary</t>
  </si>
  <si>
    <t>OKJ</t>
  </si>
  <si>
    <t>Oakajee Corporation Limited Ordinary</t>
  </si>
  <si>
    <t>OLH</t>
  </si>
  <si>
    <t>Oldfields Holdings Limited Ordinary</t>
  </si>
  <si>
    <t>OLI</t>
  </si>
  <si>
    <t>Oliver's Real Food Limited Ordinary</t>
  </si>
  <si>
    <t>OLL</t>
  </si>
  <si>
    <t>Openlearning Limited Ordinary</t>
  </si>
  <si>
    <t>OLY</t>
  </si>
  <si>
    <t>Olympio Metals Limited Ordinary</t>
  </si>
  <si>
    <t>OM1</t>
  </si>
  <si>
    <t>Omnia Metals Group Ltd Ordinary</t>
  </si>
  <si>
    <t>OMA</t>
  </si>
  <si>
    <t>Omega Oil &amp; Gas Limited Ordinary</t>
  </si>
  <si>
    <t>OMG</t>
  </si>
  <si>
    <t>OMG Group Limited Ordinary</t>
  </si>
  <si>
    <t>OMH</t>
  </si>
  <si>
    <t>OM Holdings Limited 10c Ordinary</t>
  </si>
  <si>
    <t>OML</t>
  </si>
  <si>
    <t>OOH!Media Limited Ordinary</t>
  </si>
  <si>
    <t>OMX</t>
  </si>
  <si>
    <t>Orange Minerals NL Ordinary</t>
  </si>
  <si>
    <t>ONE</t>
  </si>
  <si>
    <t>Oneview Healthcare PLC CDI 1:1</t>
  </si>
  <si>
    <t>OOO</t>
  </si>
  <si>
    <t>BetaShares Crude Oil Index Currncy HDG Complex ETF</t>
  </si>
  <si>
    <t>OPH</t>
  </si>
  <si>
    <t>Ophir High Conviction Fund Ordinary Units</t>
  </si>
  <si>
    <t>OPN</t>
  </si>
  <si>
    <t>Openn Negotiation Limited Ordinary</t>
  </si>
  <si>
    <t>OPT</t>
  </si>
  <si>
    <t>Opthea Limited Ordinary</t>
  </si>
  <si>
    <t>OR3</t>
  </si>
  <si>
    <t>ORE Resources Limited Ordinary</t>
  </si>
  <si>
    <t>ORA</t>
  </si>
  <si>
    <t>Orora Limited Ordinary</t>
  </si>
  <si>
    <t>ORD</t>
  </si>
  <si>
    <t>Ordell Minerals Limited Ordinary</t>
  </si>
  <si>
    <t>ORE</t>
  </si>
  <si>
    <t>Orezone Gold Corporation CDI 1:1</t>
  </si>
  <si>
    <t>ORG</t>
  </si>
  <si>
    <t>Origin Energy Limited Ordinary</t>
  </si>
  <si>
    <t>ORI</t>
  </si>
  <si>
    <t>Orica Limited Ordinary</t>
  </si>
  <si>
    <t>ORN</t>
  </si>
  <si>
    <t>Orion Minerals Ltd Ordinary</t>
  </si>
  <si>
    <t>ORP</t>
  </si>
  <si>
    <t>Orpheus Uranium Limited Ordinary</t>
  </si>
  <si>
    <t>OSL</t>
  </si>
  <si>
    <t>Oncosil Medical Ltd Ordinary</t>
  </si>
  <si>
    <t>OSM</t>
  </si>
  <si>
    <t>Osmond Resources Limited Ordinary</t>
  </si>
  <si>
    <t>OSX</t>
  </si>
  <si>
    <t>Osteopore Limited Ordinary</t>
  </si>
  <si>
    <t>OVT</t>
  </si>
  <si>
    <t>Ovanti Limited Ordinary</t>
  </si>
  <si>
    <t>OZBD</t>
  </si>
  <si>
    <t>BetaShares Australian Composite Bond ETF</t>
  </si>
  <si>
    <t>OZF</t>
  </si>
  <si>
    <t>State Street SPDR S&amp;P/ASX 200 Financials EX A-Reit ETF</t>
  </si>
  <si>
    <t>OZM</t>
  </si>
  <si>
    <t>Ozaurum Resources Limited Ordinary</t>
  </si>
  <si>
    <t>OZR</t>
  </si>
  <si>
    <t>State Street SPDR S&amp;P/ASX 200 Resources ETF</t>
  </si>
  <si>
    <t>OZXX</t>
  </si>
  <si>
    <t>Global X Australia EX Financials &amp; Resources ETF</t>
  </si>
  <si>
    <t>OZZ</t>
  </si>
  <si>
    <t>Ozz Resources Limited Ordinary</t>
  </si>
  <si>
    <t>P1E</t>
  </si>
  <si>
    <t>Pure One Corporation Limited Ordinary</t>
  </si>
  <si>
    <t>PAB</t>
  </si>
  <si>
    <t>Patrys Limited Ordinary</t>
  </si>
  <si>
    <t>PAC</t>
  </si>
  <si>
    <t>Pacific Current Group Limited Ordinary</t>
  </si>
  <si>
    <t>PAR</t>
  </si>
  <si>
    <t>Paradigm Biopharmaceuticals Limited. Ordinary</t>
  </si>
  <si>
    <t>PAT</t>
  </si>
  <si>
    <t>Patriot Resources Limited Ordinary</t>
  </si>
  <si>
    <t>PAVE</t>
  </si>
  <si>
    <t>Global X US Infrastructure Development ETF</t>
  </si>
  <si>
    <t>PAXX</t>
  </si>
  <si>
    <t>Platinum Asia Fund Complex ETF</t>
  </si>
  <si>
    <t>PBH</t>
  </si>
  <si>
    <t>Pointsbet Holdings Limited Ordinary</t>
  </si>
  <si>
    <t>PBL</t>
  </si>
  <si>
    <t>Parabellum Resources Limited Ordinary</t>
  </si>
  <si>
    <t>PC2</t>
  </si>
  <si>
    <t>PC Gold Ltd Ordinary</t>
  </si>
  <si>
    <t>PCG</t>
  </si>
  <si>
    <t>Pengana Capital Group Limited Ordinary</t>
  </si>
  <si>
    <t>PCI</t>
  </si>
  <si>
    <t>Perpetual Credit Income Trust Ordinary Units</t>
  </si>
  <si>
    <t>PCK</t>
  </si>
  <si>
    <t>Painchek Ltd Ordinary</t>
  </si>
  <si>
    <t>PCL</t>
  </si>
  <si>
    <t>Pancontinental Energy NL Ordinary</t>
  </si>
  <si>
    <t>PCX</t>
  </si>
  <si>
    <t>Pengana Global Private Credit Trust Ordinary Units</t>
  </si>
  <si>
    <t>PDI</t>
  </si>
  <si>
    <t>Predictive Discovery Limited Ordinary</t>
  </si>
  <si>
    <t>PDN</t>
  </si>
  <si>
    <t>Paladin Energy Ltd Ordinary</t>
  </si>
  <si>
    <t>PE1</t>
  </si>
  <si>
    <t>Pengana Private Equity Trust Ordinary Units</t>
  </si>
  <si>
    <t>PEB</t>
  </si>
  <si>
    <t>Pacific Edge Limited Ordinary Foreign Exempt NZX</t>
  </si>
  <si>
    <t>PEC</t>
  </si>
  <si>
    <t>Perpetual Resources Limited Ordinary</t>
  </si>
  <si>
    <t>PEN</t>
  </si>
  <si>
    <t>Peninsula Energy Limited Ordinary</t>
  </si>
  <si>
    <t>PER</t>
  </si>
  <si>
    <t>Percheron Therapeutics Limited Ordinary</t>
  </si>
  <si>
    <t>PET</t>
  </si>
  <si>
    <t>Phoslock Environmental Technologies Limited Ordinary</t>
  </si>
  <si>
    <t>PEX</t>
  </si>
  <si>
    <t>Peel Mining Limited Ordinary</t>
  </si>
  <si>
    <t>PFE</t>
  </si>
  <si>
    <t>Pantera Minerals Limited Ordinary</t>
  </si>
  <si>
    <t>PFG</t>
  </si>
  <si>
    <t>Prime Financial Group Limited Ordinary</t>
  </si>
  <si>
    <t>PFM</t>
  </si>
  <si>
    <t>Platformo Ltd Ordinary</t>
  </si>
  <si>
    <t>PFP</t>
  </si>
  <si>
    <t>Propel Funeral Partners Limited Ordinary</t>
  </si>
  <si>
    <t>PFT</t>
  </si>
  <si>
    <t>Pure Foods Tasmania Limited Ordinary</t>
  </si>
  <si>
    <t>PGA1</t>
  </si>
  <si>
    <t>Plato Global Alpha Fund Complex ETF</t>
  </si>
  <si>
    <t>PGC</t>
  </si>
  <si>
    <t>Paragon Care Limited Ordinary</t>
  </si>
  <si>
    <t>PGD</t>
  </si>
  <si>
    <t>Peregrine Gold Ltd Ordinary</t>
  </si>
  <si>
    <t>PGF</t>
  </si>
  <si>
    <t>PM Capital Global Opportunities Fund Limited Ordinary</t>
  </si>
  <si>
    <t>PGM</t>
  </si>
  <si>
    <t>Platina Resources Limited Ordinary</t>
  </si>
  <si>
    <t>PGO</t>
  </si>
  <si>
    <t>Pacgold Limited Ordinary</t>
  </si>
  <si>
    <t>PGY</t>
  </si>
  <si>
    <t>Pilot Energy Limited Ordinary</t>
  </si>
  <si>
    <t>Integrated Oil &amp; Gas</t>
  </si>
  <si>
    <t>PHO</t>
  </si>
  <si>
    <t>Phosco Ltd Ordinary</t>
  </si>
  <si>
    <t>PHX</t>
  </si>
  <si>
    <t>Pharmx Technologies Limited Ordinary</t>
  </si>
  <si>
    <t>PIA</t>
  </si>
  <si>
    <t>Pengana International Equities Limited Ordinary</t>
  </si>
  <si>
    <t>PIC</t>
  </si>
  <si>
    <t>Perpetual Equity Investment Company Limited Ordinary</t>
  </si>
  <si>
    <t>PIL</t>
  </si>
  <si>
    <t>Peppermint Innovation Limited Ordinary</t>
  </si>
  <si>
    <t>PIM</t>
  </si>
  <si>
    <t>Pinnacle Minerals Limited Ordinary</t>
  </si>
  <si>
    <t>PIQ</t>
  </si>
  <si>
    <t>Proteomics International Laboratories Ltd Ordinary</t>
  </si>
  <si>
    <t>PIXX</t>
  </si>
  <si>
    <t>Platinum International Fund Active ETF</t>
  </si>
  <si>
    <t>PKD</t>
  </si>
  <si>
    <t>Parkd Ltd Ordinary</t>
  </si>
  <si>
    <t>PKO</t>
  </si>
  <si>
    <t>Peako Limited Ordinary</t>
  </si>
  <si>
    <t>PKP</t>
  </si>
  <si>
    <t>Peak Processing Limited Ordinary</t>
  </si>
  <si>
    <t>PKY</t>
  </si>
  <si>
    <t>Pathkey.AI Ltd Ordinary</t>
  </si>
  <si>
    <t>PL3</t>
  </si>
  <si>
    <t>Patagonia Lithium Ltd Ordinary</t>
  </si>
  <si>
    <t>PL8</t>
  </si>
  <si>
    <t>Plato Income Maximiser Limited Ordinary</t>
  </si>
  <si>
    <t>PL9</t>
  </si>
  <si>
    <t>Prairie Lithium Limited Ordinary</t>
  </si>
  <si>
    <t>PLA</t>
  </si>
  <si>
    <t>Pacific Lime and Cement Limited CDI 1:1</t>
  </si>
  <si>
    <t>PLC</t>
  </si>
  <si>
    <t>Premier1 Lithium Limited Ordinary</t>
  </si>
  <si>
    <t>PLG</t>
  </si>
  <si>
    <t>Pearl Gull Iron Limited Ordinary</t>
  </si>
  <si>
    <t>PLS</t>
  </si>
  <si>
    <t>PLS Group Limited Ordinary</t>
  </si>
  <si>
    <t>PLT</t>
  </si>
  <si>
    <t>Plenti Group Limited Ordinary</t>
  </si>
  <si>
    <t>PLUS</t>
  </si>
  <si>
    <t>Vaneck Australian Corporate Bond Plus ETF</t>
  </si>
  <si>
    <t>PLY</t>
  </si>
  <si>
    <t>Playside Studios Limited Ordinary</t>
  </si>
  <si>
    <t>PME</t>
  </si>
  <si>
    <t>Pro Medicus Limited Ordinary</t>
  </si>
  <si>
    <t>PMGOLD</t>
  </si>
  <si>
    <t>Perth Mint Gold ETP</t>
  </si>
  <si>
    <t>Commodities (Gold)</t>
  </si>
  <si>
    <t>PMM</t>
  </si>
  <si>
    <t>Pioneer Minerals Limited Ordinary</t>
  </si>
  <si>
    <t>PMT</t>
  </si>
  <si>
    <t>Pmet Resources Inc. CDI 10:1</t>
  </si>
  <si>
    <t>PMV</t>
  </si>
  <si>
    <t>Premier Investments Limited Ordinary</t>
  </si>
  <si>
    <t>PNC</t>
  </si>
  <si>
    <t>Pioneer Credit Limited Ordinary</t>
  </si>
  <si>
    <t>PNI</t>
  </si>
  <si>
    <t>Pinnacle Investment Management Group Limited Ordinary</t>
  </si>
  <si>
    <t>PNM</t>
  </si>
  <si>
    <t>Pacific Nickel Mines Limited Ordinary</t>
  </si>
  <si>
    <t>PNN</t>
  </si>
  <si>
    <t>Power Minerals Limited Ordinary</t>
  </si>
  <si>
    <t>PNR</t>
  </si>
  <si>
    <t>Pantoro Gold Limited Ordinary</t>
  </si>
  <si>
    <t>PNT</t>
  </si>
  <si>
    <t>Panther Metals Ltd Ordinary</t>
  </si>
  <si>
    <t>PNV</t>
  </si>
  <si>
    <t>Polynovo Limited Ordinary</t>
  </si>
  <si>
    <t>POD</t>
  </si>
  <si>
    <t>Podium Minerals Limited Ordinary</t>
  </si>
  <si>
    <t>POL</t>
  </si>
  <si>
    <t>Polymetals Resources Ltd Ordinary</t>
  </si>
  <si>
    <t>PPC</t>
  </si>
  <si>
    <t>Peet Limited Ordinary</t>
  </si>
  <si>
    <t>PPE</t>
  </si>
  <si>
    <t>Peoplein Limited Ordinary</t>
  </si>
  <si>
    <t>PPG</t>
  </si>
  <si>
    <t>Pro-Pac Packaging Limited Ordinary</t>
  </si>
  <si>
    <t>PPK</t>
  </si>
  <si>
    <t>PPK Group Limited Ordinary</t>
  </si>
  <si>
    <t>PPL</t>
  </si>
  <si>
    <t>Pureprofile Ltd Ordinary</t>
  </si>
  <si>
    <t>PPM</t>
  </si>
  <si>
    <t>Pepper Money Limited Ordinary</t>
  </si>
  <si>
    <t>PPS</t>
  </si>
  <si>
    <t>Praemium Limited Ordinary</t>
  </si>
  <si>
    <t>PPT</t>
  </si>
  <si>
    <t>Perpetual Limited Ordinary</t>
  </si>
  <si>
    <t>PPY</t>
  </si>
  <si>
    <t>Papyrus Australia Limited Ordinary</t>
  </si>
  <si>
    <t>Paper Products</t>
  </si>
  <si>
    <t>PR1</t>
  </si>
  <si>
    <t>Pure Resources Limited Ordinary</t>
  </si>
  <si>
    <t>PR2</t>
  </si>
  <si>
    <t>Piche Resources Limited Ordinary</t>
  </si>
  <si>
    <t>PRG</t>
  </si>
  <si>
    <t>PRL Global Ltd Ordinary</t>
  </si>
  <si>
    <t>Diversified Industrial Goods Wholesale</t>
  </si>
  <si>
    <t>PRM</t>
  </si>
  <si>
    <t>Prominence Energy Limited Ordinary</t>
  </si>
  <si>
    <t>PRN</t>
  </si>
  <si>
    <t>Perenti Limited Ordinary</t>
  </si>
  <si>
    <t>PRO</t>
  </si>
  <si>
    <t>Prophecy International Holdings Limited Ordinary</t>
  </si>
  <si>
    <t>PRU</t>
  </si>
  <si>
    <t>Perseus Mining Limited Ordinary</t>
  </si>
  <si>
    <t>PRX</t>
  </si>
  <si>
    <t>Prodigy Gold NL Ordinary</t>
  </si>
  <si>
    <t>PSC</t>
  </si>
  <si>
    <t>Prospect Resources Limited Ordinary</t>
  </si>
  <si>
    <t>PSL</t>
  </si>
  <si>
    <t>Paterson Resources Ltd Ordinary</t>
  </si>
  <si>
    <t>PTL</t>
  </si>
  <si>
    <t>Prestal Holdings Limited Ordinary</t>
  </si>
  <si>
    <t>PTN</t>
  </si>
  <si>
    <t>Patronus Resources Limited Ordinary</t>
  </si>
  <si>
    <t>PTR</t>
  </si>
  <si>
    <t>PTR Minerals Ltd Ordinary</t>
  </si>
  <si>
    <t>PTX</t>
  </si>
  <si>
    <t>Prescient Therapeutics Limited Ordinary</t>
  </si>
  <si>
    <t>PUR</t>
  </si>
  <si>
    <t>Pursuit Minerals Ltd Ordinary</t>
  </si>
  <si>
    <t>PV1</t>
  </si>
  <si>
    <t>Provaris Energy Ltd Ordinary</t>
  </si>
  <si>
    <t>PVE</t>
  </si>
  <si>
    <t>PO Valley Energy Limited Ordinary</t>
  </si>
  <si>
    <t>PVL</t>
  </si>
  <si>
    <t>Powerhouse Ventures Limited Ordinary</t>
  </si>
  <si>
    <t>PVT</t>
  </si>
  <si>
    <t>Pivotal Metals Limited Ordinary</t>
  </si>
  <si>
    <t>PVW</t>
  </si>
  <si>
    <t>PVW Resources Limited Ordinary</t>
  </si>
  <si>
    <t>PWH</t>
  </si>
  <si>
    <t>Power Holdings Limited Ordinary</t>
  </si>
  <si>
    <t>PWN</t>
  </si>
  <si>
    <t>Parkway Corporate Limited Ordinary</t>
  </si>
  <si>
    <t>PWR</t>
  </si>
  <si>
    <t>Peter Warren Automotive Holdings Limited Ordinary</t>
  </si>
  <si>
    <t>PXA</t>
  </si>
  <si>
    <t>Pexa Group Limited Ordinary</t>
  </si>
  <si>
    <t>PXR</t>
  </si>
  <si>
    <t>Pacific Resources Limited Ordinary</t>
  </si>
  <si>
    <t>PXX</t>
  </si>
  <si>
    <t>Polarx Limited Ordinary</t>
  </si>
  <si>
    <t>PYC</t>
  </si>
  <si>
    <t>PYC Therapeutics Limited Ordinary</t>
  </si>
  <si>
    <t>QAL</t>
  </si>
  <si>
    <t>Qualitas Limited Ordinary</t>
  </si>
  <si>
    <t>QAN</t>
  </si>
  <si>
    <t>Qantas Airways Limited Ordinary</t>
  </si>
  <si>
    <t>QAU</t>
  </si>
  <si>
    <t>BetaShares Gold Bullion Currency Hedged ETF</t>
  </si>
  <si>
    <t>QBE</t>
  </si>
  <si>
    <t>QBE Insurance Group Limited Ordinary</t>
  </si>
  <si>
    <t>QBTC</t>
  </si>
  <si>
    <t>BetaShares Bitcoin ETF. ETF</t>
  </si>
  <si>
    <t>QEM</t>
  </si>
  <si>
    <t>QEM Limited Ordinary</t>
  </si>
  <si>
    <t>QETH</t>
  </si>
  <si>
    <t>BetaShares Ethereum ETF. ETF</t>
  </si>
  <si>
    <t>QFE</t>
  </si>
  <si>
    <t>Quickfee Limited Ordinary</t>
  </si>
  <si>
    <t>QFN</t>
  </si>
  <si>
    <t>BetaShares Australian Financials Sector ETF</t>
  </si>
  <si>
    <t>QGFH</t>
  </si>
  <si>
    <t>Quay Global Real Estate Fund (AUD) Active ETF</t>
  </si>
  <si>
    <t>QGL</t>
  </si>
  <si>
    <t>Quantum Graphite Limited Ordinary</t>
  </si>
  <si>
    <t>QGRU</t>
  </si>
  <si>
    <t>Quay Global Real Estate Fund (Unhedged) Active ETF</t>
  </si>
  <si>
    <t>QHAL</t>
  </si>
  <si>
    <t>Vaneck MSCI International Quality (AUD Hedged) ETF</t>
  </si>
  <si>
    <t>QHSM</t>
  </si>
  <si>
    <t>Vaneck MSCI International SML Comp Quality (AUD Hedged) ETF</t>
  </si>
  <si>
    <t>QLTY</t>
  </si>
  <si>
    <t>BetaShares Global Quality Leaders ETF</t>
  </si>
  <si>
    <t>QMAX</t>
  </si>
  <si>
    <t>BetaShares Nasdaq-100 Yield Maximiser Complex ETF</t>
  </si>
  <si>
    <t>QMIX</t>
  </si>
  <si>
    <t>State Street SPDR MSCI World Quality MIX ETF</t>
  </si>
  <si>
    <t>QML</t>
  </si>
  <si>
    <t>Qmines Limited Ordinary</t>
  </si>
  <si>
    <t>QNDQ</t>
  </si>
  <si>
    <t>BetaShares Nasdaq-100 Equal Weight ETF</t>
  </si>
  <si>
    <t>QOR</t>
  </si>
  <si>
    <t>Qoria Limited Ordinary</t>
  </si>
  <si>
    <t>QOZ</t>
  </si>
  <si>
    <t>BetaShares FTSE RAFI Australia 200 ETF</t>
  </si>
  <si>
    <t>QPM</t>
  </si>
  <si>
    <t>QPM Energy Limited Ordinary</t>
  </si>
  <si>
    <t>QPON</t>
  </si>
  <si>
    <t>BetaShares Australian Bank Senior Floating Rate Bond ETF</t>
  </si>
  <si>
    <t>QRE</t>
  </si>
  <si>
    <t>BetaShares Australian Resources Sector ETF</t>
  </si>
  <si>
    <t>QRI</t>
  </si>
  <si>
    <t>Qualitas Real Estate Income Fund Ordinary Units</t>
  </si>
  <si>
    <t>QSML</t>
  </si>
  <si>
    <t>Vaneck MSCI International Small Companies Quality ETF</t>
  </si>
  <si>
    <t>QUAL</t>
  </si>
  <si>
    <t>Vaneck MSCI International Quality ETF</t>
  </si>
  <si>
    <t>QUB</t>
  </si>
  <si>
    <t>Qube Holdings Limited Ordinary</t>
  </si>
  <si>
    <t>QUE</t>
  </si>
  <si>
    <t>Queste Communications Limited Ordinary</t>
  </si>
  <si>
    <t>QUS</t>
  </si>
  <si>
    <t>BetaShares S&amp;P 500 Equal Weight ETF</t>
  </si>
  <si>
    <t>QXR</t>
  </si>
  <si>
    <t>QX Resources Limited Ordinary</t>
  </si>
  <si>
    <t>QYLD</t>
  </si>
  <si>
    <t>Global X Nasdaq-100 Covered Call Complex ETF</t>
  </si>
  <si>
    <t>R3AL</t>
  </si>
  <si>
    <t>Clearbridge Real Income Fund - Active ETF</t>
  </si>
  <si>
    <t>R8R</t>
  </si>
  <si>
    <t>Regener8 Resources NL Ordinary</t>
  </si>
  <si>
    <t>RAC</t>
  </si>
  <si>
    <t>Racura Oncology Ltd Ordinary</t>
  </si>
  <si>
    <t>RAD</t>
  </si>
  <si>
    <t>Radiopharm Theranostics Limited Ordinary</t>
  </si>
  <si>
    <t>RAG</t>
  </si>
  <si>
    <t>Ragnar Metals Limited Ordinary</t>
  </si>
  <si>
    <t>RAN</t>
  </si>
  <si>
    <t>Range International Limited Ordinary</t>
  </si>
  <si>
    <t>RARI</t>
  </si>
  <si>
    <t>Russell Investments Australian Responsible Investment ETF</t>
  </si>
  <si>
    <t>RAS</t>
  </si>
  <si>
    <t>Ragusa Minerals Ltd Ordinary</t>
  </si>
  <si>
    <t>RAU</t>
  </si>
  <si>
    <t>Resouro Strategic Metals Inc. CDI 1:1</t>
  </si>
  <si>
    <t>Materials (Rare Earths/Titanium)</t>
  </si>
  <si>
    <t>RB6</t>
  </si>
  <si>
    <t>Rubix Resources Limited Ordinary</t>
  </si>
  <si>
    <t>RBR</t>
  </si>
  <si>
    <t>RBR Group Limited Ordinary</t>
  </si>
  <si>
    <t>RBTZ</t>
  </si>
  <si>
    <t>BetaShares Global Robotics and Artificial Intelligence ETF</t>
  </si>
  <si>
    <t>RBX</t>
  </si>
  <si>
    <t>Resource Base Limited Ordinary</t>
  </si>
  <si>
    <t>RC1</t>
  </si>
  <si>
    <t>Redcastle Resources Limited Ordinary</t>
  </si>
  <si>
    <t>RCAP</t>
  </si>
  <si>
    <t>Resolution Cap Global Property Sec Fund - Active ETF</t>
  </si>
  <si>
    <t>RCB</t>
  </si>
  <si>
    <t>Russell Investments Australian Select Corporate Bond ETF</t>
  </si>
  <si>
    <t>RCE</t>
  </si>
  <si>
    <t>Recce Pharmaceuticals Ltd Ordinary</t>
  </si>
  <si>
    <t>RCL</t>
  </si>
  <si>
    <t>Readcloud Limited Ordinary</t>
  </si>
  <si>
    <t>RCM</t>
  </si>
  <si>
    <t>Rapid Critical Metals Limited Ordinary</t>
  </si>
  <si>
    <t>RCR</t>
  </si>
  <si>
    <t>Rincon Resources Limited Ordinary</t>
  </si>
  <si>
    <t>RCT</t>
  </si>
  <si>
    <t>Reef Casino Trust Ordinary Units</t>
  </si>
  <si>
    <t>RDM</t>
  </si>
  <si>
    <t>Red Metal Limited Ordinary</t>
  </si>
  <si>
    <t>RDN</t>
  </si>
  <si>
    <t>Raiden Resources Limited Ordinary</t>
  </si>
  <si>
    <t>RDS</t>
  </si>
  <si>
    <t>Redstone Resources Limited Ordinary</t>
  </si>
  <si>
    <t>RDV</t>
  </si>
  <si>
    <t>Russell Investments High Dividend Australian Shares ETF</t>
  </si>
  <si>
    <t>RDX</t>
  </si>
  <si>
    <t>Redox Limited Ordinary</t>
  </si>
  <si>
    <t>RDY</t>
  </si>
  <si>
    <t>Readytech Holdings Limited Ordinary</t>
  </si>
  <si>
    <t>REA</t>
  </si>
  <si>
    <t>REA Group Ltd Ordinary</t>
  </si>
  <si>
    <t>REC</t>
  </si>
  <si>
    <t>Recharge Metals Limited Ordinary</t>
  </si>
  <si>
    <t>REE</t>
  </si>
  <si>
    <t>Rarex Limited Ordinary</t>
  </si>
  <si>
    <t>REG</t>
  </si>
  <si>
    <t>Regis Healthcare Limited Ordinary</t>
  </si>
  <si>
    <t>REH</t>
  </si>
  <si>
    <t>Reece Limited Ordinary</t>
  </si>
  <si>
    <t>REIT</t>
  </si>
  <si>
    <t>Vaneck FTSE International Property (AUD Hedged) ETF</t>
  </si>
  <si>
    <t>REM</t>
  </si>
  <si>
    <t>Remsense Technologies Limited Ordinary</t>
  </si>
  <si>
    <t>REP</t>
  </si>
  <si>
    <t>RAM Essential Services Property Fund Units Stapled Securities</t>
  </si>
  <si>
    <t>REV</t>
  </si>
  <si>
    <t>Revolution Private Credit Income Trust Ordinary Units</t>
  </si>
  <si>
    <t>Financials (Asset Management)</t>
  </si>
  <si>
    <t>REZ</t>
  </si>
  <si>
    <t>Resources &amp; Energy Group Limited Ordinary</t>
  </si>
  <si>
    <t>RF1</t>
  </si>
  <si>
    <t>Regal Investment Fund Ordinary Units</t>
  </si>
  <si>
    <t>RFF</t>
  </si>
  <si>
    <t>Rural Funds Group Units Stapled Securities</t>
  </si>
  <si>
    <t>RFG</t>
  </si>
  <si>
    <t>Retail Food Group Limited Ordinary</t>
  </si>
  <si>
    <t>RFT</t>
  </si>
  <si>
    <t>Rectifier Technologies Ltd Ordinary</t>
  </si>
  <si>
    <t>RG1</t>
  </si>
  <si>
    <t>Regal Partners Global Investments Limited Ordinary</t>
  </si>
  <si>
    <t>RG8</t>
  </si>
  <si>
    <t>Regal Asian Investments Limited Ordinary</t>
  </si>
  <si>
    <t>RGB</t>
  </si>
  <si>
    <t>Russell Investments Australian Government Bond ETF</t>
  </si>
  <si>
    <t>RGL</t>
  </si>
  <si>
    <t>Riversgold Limited Ordinary</t>
  </si>
  <si>
    <t>RGN</t>
  </si>
  <si>
    <t>Region Group Units Stapled Securities</t>
  </si>
  <si>
    <t>RGOS</t>
  </si>
  <si>
    <t>Russell Sust Global Opportunities Complex ETF</t>
  </si>
  <si>
    <t>RGT</t>
  </si>
  <si>
    <t>Argent Biopharma Limited Ordinary</t>
  </si>
  <si>
    <t>RHC</t>
  </si>
  <si>
    <t>Ramsay Health Care Limited Ordinary</t>
  </si>
  <si>
    <t>RHI</t>
  </si>
  <si>
    <t>Red Hill Minerals Limited Ordinary</t>
  </si>
  <si>
    <t>RHT</t>
  </si>
  <si>
    <t>Resonance Health Limited Ordinary</t>
  </si>
  <si>
    <t>RHY</t>
  </si>
  <si>
    <t>Rhythm Biosciences Limited Ordinary</t>
  </si>
  <si>
    <t>RIC</t>
  </si>
  <si>
    <t>Ridley Corporation Limited Ordinary</t>
  </si>
  <si>
    <t>RIE</t>
  </si>
  <si>
    <t>Riedel Resources Limited Ordinary</t>
  </si>
  <si>
    <t>RIIF</t>
  </si>
  <si>
    <t>Resolution Global Listed Infra Fund - Active ETF</t>
  </si>
  <si>
    <t>RIL</t>
  </si>
  <si>
    <t>Redivium Limited Ordinary</t>
  </si>
  <si>
    <t>RIM</t>
  </si>
  <si>
    <t>Rimfire Pacific Mining Limited Ordinary</t>
  </si>
  <si>
    <t>RIO</t>
  </si>
  <si>
    <t>Rio Tinto Limited Ordinary</t>
  </si>
  <si>
    <t>RIV</t>
  </si>
  <si>
    <t>Rivco Australia Ltd Ordinary</t>
  </si>
  <si>
    <t>RKB</t>
  </si>
  <si>
    <t>Rokeby Resources Limited Ordinary</t>
  </si>
  <si>
    <t>RKN</t>
  </si>
  <si>
    <t>Reckon Limited Ordinary</t>
  </si>
  <si>
    <t>RKT</t>
  </si>
  <si>
    <t>Rocketdna Ltd. Ordinary</t>
  </si>
  <si>
    <t>RLC</t>
  </si>
  <si>
    <t>Reedy Lagoon Corporation Limited Ordinary</t>
  </si>
  <si>
    <t>RLF</t>
  </si>
  <si>
    <t>RLF Agtech Ltd Ordinary</t>
  </si>
  <si>
    <t>RLG</t>
  </si>
  <si>
    <t>Roolife Group Ltd Ordinary</t>
  </si>
  <si>
    <t>RLT</t>
  </si>
  <si>
    <t>Renergen Limited CDI 1:1</t>
  </si>
  <si>
    <t>RMBS</t>
  </si>
  <si>
    <t>Vaneck Australian Rmbs ETF</t>
  </si>
  <si>
    <t>RMC</t>
  </si>
  <si>
    <t>Resimac Group Ltd Ordinary</t>
  </si>
  <si>
    <t>RMD</t>
  </si>
  <si>
    <t>Resmed Inc CDI 10:1 Foreign Exempt NYSE</t>
  </si>
  <si>
    <t>RMI</t>
  </si>
  <si>
    <t>Resource Minerals International Ltd Ordinary</t>
  </si>
  <si>
    <t>RML</t>
  </si>
  <si>
    <t>Resolution Minerals Ltd Ordinary</t>
  </si>
  <si>
    <t>RMS</t>
  </si>
  <si>
    <t>Ramelius Resources Limited Ordinary</t>
  </si>
  <si>
    <t>RMX</t>
  </si>
  <si>
    <t>Red Mountain Mining Limited Ordinary</t>
  </si>
  <si>
    <t>RMY</t>
  </si>
  <si>
    <t>RMA Global Limited Ordinary</t>
  </si>
  <si>
    <t>RND</t>
  </si>
  <si>
    <t>Rand Mining Limited Ordinary</t>
  </si>
  <si>
    <t>RNT</t>
  </si>
  <si>
    <t>Rent.Com.AU Limited Ordinary</t>
  </si>
  <si>
    <t>RNU</t>
  </si>
  <si>
    <t>Renascor Resources Limited Ordinary</t>
  </si>
  <si>
    <t>RNV</t>
  </si>
  <si>
    <t>Renerve Limited Ordinary</t>
  </si>
  <si>
    <t>RNX</t>
  </si>
  <si>
    <t>Renegade Exploration Limited Ordinary</t>
  </si>
  <si>
    <t>ROBO</t>
  </si>
  <si>
    <t>Global X Robo Global Robotics &amp; Automation ETF</t>
  </si>
  <si>
    <t>ROC</t>
  </si>
  <si>
    <t>Rocketboots Limited Ordinary</t>
  </si>
  <si>
    <t>ROG</t>
  </si>
  <si>
    <t>Red Sky Energy Limited Ordinary</t>
  </si>
  <si>
    <t>RON</t>
  </si>
  <si>
    <t>Ronin Resources Ltd Ordinary</t>
  </si>
  <si>
    <t>ROYL</t>
  </si>
  <si>
    <t>BetaShares Global Royalties ETF</t>
  </si>
  <si>
    <t>RPL</t>
  </si>
  <si>
    <t>Regal Partners Limited Ordinary</t>
  </si>
  <si>
    <t>RPM</t>
  </si>
  <si>
    <t>RPM Automotive Group Limited Ordinary</t>
  </si>
  <si>
    <t>RR1</t>
  </si>
  <si>
    <t>Reach Resources Limited Ordinary</t>
  </si>
  <si>
    <t>RRE</t>
  </si>
  <si>
    <t>Right Resources Limited Ordinary</t>
  </si>
  <si>
    <t>RRL</t>
  </si>
  <si>
    <t>Regis Resources Limited Ordinary</t>
  </si>
  <si>
    <t>RRR</t>
  </si>
  <si>
    <t>Revolver Resources Holdings Ltd Ordinary</t>
  </si>
  <si>
    <t>RSG</t>
  </si>
  <si>
    <t>Resolute Mining Limited Ordinary</t>
  </si>
  <si>
    <t>RSM</t>
  </si>
  <si>
    <t>Russell Investments Australian Semi-Government Bond ETF</t>
  </si>
  <si>
    <t>RSSL</t>
  </si>
  <si>
    <t>Global X Russell 2000 ETF</t>
  </si>
  <si>
    <t>RTG</t>
  </si>
  <si>
    <t>RTG Mining Inc. CDI 1:1</t>
  </si>
  <si>
    <t>RTH</t>
  </si>
  <si>
    <t>RAS Technology Holdings Limited Ordinary</t>
  </si>
  <si>
    <t>RTR</t>
  </si>
  <si>
    <t>Rumble Resources Limited Ordinary</t>
  </si>
  <si>
    <t>RUL</t>
  </si>
  <si>
    <t>Rpmglobal Holdings Limited Ordinary</t>
  </si>
  <si>
    <t>RVT</t>
  </si>
  <si>
    <t>Richmond Vanadium Technology Limited Ordinary</t>
  </si>
  <si>
    <t>RWC</t>
  </si>
  <si>
    <t>Reliance Worldwide Corporation Limited Ordinary</t>
  </si>
  <si>
    <t>RWD</t>
  </si>
  <si>
    <t>Reward Minerals Ltd Ordinary</t>
  </si>
  <si>
    <t>RWL</t>
  </si>
  <si>
    <t>Rubicon Water Limited Ordinary</t>
  </si>
  <si>
    <t>RXL</t>
  </si>
  <si>
    <t>Rox Resources Limited Ordinary</t>
  </si>
  <si>
    <t>RXR</t>
  </si>
  <si>
    <t>Robex Resources Inc. CDI 1:1</t>
  </si>
  <si>
    <t>RYD</t>
  </si>
  <si>
    <t>Ryder Capital Limited Ordinary</t>
  </si>
  <si>
    <t>RYM</t>
  </si>
  <si>
    <t>Ryman Healthcare Limited Ordinary Foreign Exempt NZX</t>
  </si>
  <si>
    <t>Health Care (Aged Care)</t>
  </si>
  <si>
    <t>RYZ</t>
  </si>
  <si>
    <t>Ryzon Materials Limited Ordinary</t>
  </si>
  <si>
    <t>INVALID</t>
  </si>
  <si>
    <t>RZI</t>
  </si>
  <si>
    <t>Raiz Invest Limited Ordinary</t>
  </si>
  <si>
    <t>S2R</t>
  </si>
  <si>
    <t>S2 Resources Ltd Ordinary</t>
  </si>
  <si>
    <t>S32</t>
  </si>
  <si>
    <t>South32 Limited Ordinary</t>
  </si>
  <si>
    <t>S3GO</t>
  </si>
  <si>
    <t>Firetrail S3 Global Opps Fund - Active ETF</t>
  </si>
  <si>
    <t>S66</t>
  </si>
  <si>
    <t>Star Combo Pharma Limited Ordinary</t>
  </si>
  <si>
    <t>SAN</t>
  </si>
  <si>
    <t>Sagalio Energy Limited Ordinary</t>
  </si>
  <si>
    <t>SB2</t>
  </si>
  <si>
    <t>Salter Brothers Emerging Companies Limited Ordinary</t>
  </si>
  <si>
    <t>SBM</t>
  </si>
  <si>
    <t>St Barbara Limited Ordinary</t>
  </si>
  <si>
    <t>SBR</t>
  </si>
  <si>
    <t>Sabre Resources Limited Ordinary</t>
  </si>
  <si>
    <t>SCG</t>
  </si>
  <si>
    <t>Scentre Group Ordinary/Units Stapled Securities</t>
  </si>
  <si>
    <t>SCN</t>
  </si>
  <si>
    <t>Scorpion Minerals Limited Ordinary</t>
  </si>
  <si>
    <t>SCP</t>
  </si>
  <si>
    <t>Scalare Partners Holdings Limited Ordinary</t>
  </si>
  <si>
    <t>SCT</t>
  </si>
  <si>
    <t>Scout Security Limited Ordinary</t>
  </si>
  <si>
    <t>SDF</t>
  </si>
  <si>
    <t>Steadfast Group Limited Ordinary</t>
  </si>
  <si>
    <t>SDI</t>
  </si>
  <si>
    <t>SDI Limited Ordinary</t>
  </si>
  <si>
    <t>SDR</t>
  </si>
  <si>
    <t>Siteminder Limited Ordinary</t>
  </si>
  <si>
    <t>SDV</t>
  </si>
  <si>
    <t>Scidev Ltd Ordinary</t>
  </si>
  <si>
    <t>SEA</t>
  </si>
  <si>
    <t>Sea Forest Limited Ordinary</t>
  </si>
  <si>
    <t>SEC</t>
  </si>
  <si>
    <t>Spheria Emerging Companies Limited Ordinary</t>
  </si>
  <si>
    <t>SEG</t>
  </si>
  <si>
    <t>Sports Entertainment Group Limited Ordinary</t>
  </si>
  <si>
    <t>SEK</t>
  </si>
  <si>
    <t>Seek Limited Ordinary</t>
  </si>
  <si>
    <t>SEMI</t>
  </si>
  <si>
    <t>Global X Semiconductor ETF</t>
  </si>
  <si>
    <t>SEN</t>
  </si>
  <si>
    <t>Senetas Corporation Limited Ordinary</t>
  </si>
  <si>
    <t>SEQ</t>
  </si>
  <si>
    <t>Sequoia Financial Group Ltd Ordinary</t>
  </si>
  <si>
    <t>SER</t>
  </si>
  <si>
    <t>Strategic Energy Resources Limited Ordinary</t>
  </si>
  <si>
    <t>SFC</t>
  </si>
  <si>
    <t>Schaffer Corporation Limited Ordinary</t>
  </si>
  <si>
    <t>SFG</t>
  </si>
  <si>
    <t>Seafarms Group Limited Ordinary</t>
  </si>
  <si>
    <t>SFIF</t>
  </si>
  <si>
    <t>Seed Financial Income Fund Active ETF</t>
  </si>
  <si>
    <t>SFM</t>
  </si>
  <si>
    <t>Santa FE Minerals Ltd Ordinary</t>
  </si>
  <si>
    <t>SFR</t>
  </si>
  <si>
    <t>Sandfire Resources Limited Ordinary</t>
  </si>
  <si>
    <t>SFX</t>
  </si>
  <si>
    <t>Sheffield Resources Limited Ordinary</t>
  </si>
  <si>
    <t>SFY</t>
  </si>
  <si>
    <t>State Street SPDR S&amp;P/ASX 50 ETF</t>
  </si>
  <si>
    <t>Investment Trusts</t>
  </si>
  <si>
    <t>SGA</t>
  </si>
  <si>
    <t>Sarytogan Graphite Limited Ordinary</t>
  </si>
  <si>
    <t>SGH</t>
  </si>
  <si>
    <t>SGH Limited Ordinary</t>
  </si>
  <si>
    <t>SGI</t>
  </si>
  <si>
    <t>Stealth Group Holdings Ltd Ordinary</t>
  </si>
  <si>
    <t>SGM</t>
  </si>
  <si>
    <t>Sims Limited Ordinary</t>
  </si>
  <si>
    <t>SGP</t>
  </si>
  <si>
    <t>Stockland Ordinary/Units Stapled Securities</t>
  </si>
  <si>
    <t>SGQ</t>
  </si>
  <si>
    <t>St George Mining Limited Ordinary</t>
  </si>
  <si>
    <t>SGR</t>
  </si>
  <si>
    <t>The Star Entertainment Group Limited Ordinary</t>
  </si>
  <si>
    <t>SHA</t>
  </si>
  <si>
    <t>Shape Australia Corporation Limited Ordinary</t>
  </si>
  <si>
    <t>SHE</t>
  </si>
  <si>
    <t>Stonehorse Energy Limited Ordinary</t>
  </si>
  <si>
    <t>SHG</t>
  </si>
  <si>
    <t>Singular Health Group Ltd Ordinary</t>
  </si>
  <si>
    <t>SHJ</t>
  </si>
  <si>
    <t>Shine Justice Ltd Ordinary</t>
  </si>
  <si>
    <t>SHL</t>
  </si>
  <si>
    <t>Sonic Healthcare Limited Ordinary</t>
  </si>
  <si>
    <t>SHM</t>
  </si>
  <si>
    <t>Shriro Holdings Limited Ordinary</t>
  </si>
  <si>
    <t>SHN</t>
  </si>
  <si>
    <t>Sunshine Metals Limited Ordinary</t>
  </si>
  <si>
    <t>SHO</t>
  </si>
  <si>
    <t>Sportshero Limited Ordinary</t>
  </si>
  <si>
    <t>SHP</t>
  </si>
  <si>
    <t>South Harz Potash Ltd Ordinary</t>
  </si>
  <si>
    <t>SHV</t>
  </si>
  <si>
    <t>Select Harvests Limited Ordinary</t>
  </si>
  <si>
    <t>SIG</t>
  </si>
  <si>
    <t>Sigma Healthcare Limited Ordinary</t>
  </si>
  <si>
    <t>SIO</t>
  </si>
  <si>
    <t>Simonds Group Limited Ordinary</t>
  </si>
  <si>
    <t>SIQ</t>
  </si>
  <si>
    <t>Smartgroup Corporation Ltd Ordinary</t>
  </si>
  <si>
    <t>SIS</t>
  </si>
  <si>
    <t>Simble Solutions Limited Ordinary</t>
  </si>
  <si>
    <t>SIV</t>
  </si>
  <si>
    <t>SIV Capital Limited Ordinary</t>
  </si>
  <si>
    <t>SIX</t>
  </si>
  <si>
    <t>Sprintex Limited Ordinary</t>
  </si>
  <si>
    <t>SKC</t>
  </si>
  <si>
    <t>Skycity Entertainment Group Limited Ordinary Foreign Exempt NZX</t>
  </si>
  <si>
    <t>SKK</t>
  </si>
  <si>
    <t>Stakk Limited Ordinary</t>
  </si>
  <si>
    <t>SKM</t>
  </si>
  <si>
    <t>Skylark Minerals Limited Ordinary</t>
  </si>
  <si>
    <t>SKN</t>
  </si>
  <si>
    <t>Skin Elements Limited Ordinary</t>
  </si>
  <si>
    <t>SKO</t>
  </si>
  <si>
    <t>Serko Limited Ordinary Foreign Exempt NZX</t>
  </si>
  <si>
    <t>SKS</t>
  </si>
  <si>
    <t>SKS Technologies Group Limited Ordinary</t>
  </si>
  <si>
    <t>SKT</t>
  </si>
  <si>
    <t>Sky Network Television Limited Ordinary Foreign Exempt NZX</t>
  </si>
  <si>
    <t>SKUK</t>
  </si>
  <si>
    <t>Hejaz Sukuk Active ETF</t>
  </si>
  <si>
    <t>SKY</t>
  </si>
  <si>
    <t>Sky Metals Limited Ordinary</t>
  </si>
  <si>
    <t>SLA</t>
  </si>
  <si>
    <t>Solara Minerals Ltd Ordinary</t>
  </si>
  <si>
    <t>SLB</t>
  </si>
  <si>
    <t>Stelar Metals Limited Ordinary</t>
  </si>
  <si>
    <t>SLC</t>
  </si>
  <si>
    <t>Superloop Limited Ordinary</t>
  </si>
  <si>
    <t>SLD</t>
  </si>
  <si>
    <t>Saluda Medical, Inc. CDI 10:1 US Person Prohibited Excluding QIB</t>
  </si>
  <si>
    <t>SLF</t>
  </si>
  <si>
    <t>State Street SPDR S&amp;P/ASX 200 Listed Property ETF</t>
  </si>
  <si>
    <t>SLM</t>
  </si>
  <si>
    <t>Solis Minerals Limited Ordinary Fully Paid</t>
  </si>
  <si>
    <t>SLS</t>
  </si>
  <si>
    <t>Solstice Minerals Limited Ordinary</t>
  </si>
  <si>
    <t>SLX</t>
  </si>
  <si>
    <t>Silex Systems Limited Ordinary</t>
  </si>
  <si>
    <t>SLZ</t>
  </si>
  <si>
    <t>Sultan Resources Ltd Ordinary</t>
  </si>
  <si>
    <t>SM1</t>
  </si>
  <si>
    <t>Synlait Milk Limited Ordinary Foreign Exempt NZX</t>
  </si>
  <si>
    <t>SMI</t>
  </si>
  <si>
    <t>Santana Minerals Limited Ordinary</t>
  </si>
  <si>
    <t>SMLL</t>
  </si>
  <si>
    <t>BetaShares Australian Small Companies Select ETF</t>
  </si>
  <si>
    <t>SMM</t>
  </si>
  <si>
    <t>Somerset Minerals Limited Ordinary</t>
  </si>
  <si>
    <t>SMN</t>
  </si>
  <si>
    <t>Structural Monitoring Systems PLC CDI 1:1</t>
  </si>
  <si>
    <t>SMR</t>
  </si>
  <si>
    <t>Stanmore Resources Limited Ordinary</t>
  </si>
  <si>
    <t>SMS</t>
  </si>
  <si>
    <t>Star Minerals Limited Ordinary</t>
  </si>
  <si>
    <t>SMX</t>
  </si>
  <si>
    <t>Strata Minerals Limited Ordinary</t>
  </si>
  <si>
    <t>SNAS</t>
  </si>
  <si>
    <t>Global X Ultra Short Nasdaq-100 Complex ETF</t>
  </si>
  <si>
    <t>SNC</t>
  </si>
  <si>
    <t>Sandon Capital Investments Limited Ordinary</t>
  </si>
  <si>
    <t>SND</t>
  </si>
  <si>
    <t>Saunders International Limited Ordinary</t>
  </si>
  <si>
    <t>SNG</t>
  </si>
  <si>
    <t>Siren Gold Limited Ordinary</t>
  </si>
  <si>
    <t>SNL</t>
  </si>
  <si>
    <t>Supply Network Limited Ordinary</t>
  </si>
  <si>
    <t>SNM</t>
  </si>
  <si>
    <t>Sentinel Metals Limited Ordinary</t>
  </si>
  <si>
    <t>Materials (Metals Exploration)</t>
  </si>
  <si>
    <t>SNS</t>
  </si>
  <si>
    <t>Sensen Networks Limited Ordinary</t>
  </si>
  <si>
    <t>SNT</t>
  </si>
  <si>
    <t>Syntara Limited Ordinary</t>
  </si>
  <si>
    <t>SNX</t>
  </si>
  <si>
    <t>Sierra Nevada Gold Inc. CDI 1:1 US Person Prohibited Excluding QIB</t>
  </si>
  <si>
    <t>SNZ</t>
  </si>
  <si>
    <t>Summerset Group Holdings Limited Ordinary Foreign Exempt NZX</t>
  </si>
  <si>
    <t>SOC</t>
  </si>
  <si>
    <t>Soco Corporation Ltd Ordinary</t>
  </si>
  <si>
    <t>SOL</t>
  </si>
  <si>
    <t>Washington H. Soul Pattinson and Company Limited Ordinary</t>
  </si>
  <si>
    <t>SOM</t>
  </si>
  <si>
    <t>Somnomed Limited Ordinary</t>
  </si>
  <si>
    <t>SOP</t>
  </si>
  <si>
    <t>Synertec Corporation Limited Ordinary</t>
  </si>
  <si>
    <t>SOR</t>
  </si>
  <si>
    <t>Strategic Elements Limited Ordinary</t>
  </si>
  <si>
    <t>SP3</t>
  </si>
  <si>
    <t>Spectur Limited Ordinary</t>
  </si>
  <si>
    <t>SP8</t>
  </si>
  <si>
    <t>Streamplay Studio Limited Ordinary</t>
  </si>
  <si>
    <t>SPA</t>
  </si>
  <si>
    <t>Spacetalk Ltd Ordinary</t>
  </si>
  <si>
    <t>SPD</t>
  </si>
  <si>
    <t>Southern Palladium Limited Ordinary</t>
  </si>
  <si>
    <t>SPG</t>
  </si>
  <si>
    <t>SPC Global Holdings Ltd Ordinary</t>
  </si>
  <si>
    <t>SPK</t>
  </si>
  <si>
    <t>Spark New Zealand Limited Ordinary Foreign Exempt NZX</t>
  </si>
  <si>
    <t>SPL</t>
  </si>
  <si>
    <t>Starpharma Holdings Limited Ordinary</t>
  </si>
  <si>
    <t>SPN</t>
  </si>
  <si>
    <t>Sparc Technologies Limited Ordinary</t>
  </si>
  <si>
    <t>SPQ</t>
  </si>
  <si>
    <t>Superior Resources Limited Ordinary</t>
  </si>
  <si>
    <t>SPX</t>
  </si>
  <si>
    <t>Spenda Limited Ordinary</t>
  </si>
  <si>
    <t>SPY</t>
  </si>
  <si>
    <t>SPDR S&amp;P 500 SPDR S&amp;P 500 ETF</t>
  </si>
  <si>
    <t>SPZ</t>
  </si>
  <si>
    <t>Smart Parking Limited Ordinary</t>
  </si>
  <si>
    <t>SQX</t>
  </si>
  <si>
    <t>SQX Resources Limited Ordinary</t>
  </si>
  <si>
    <t>SRG</t>
  </si>
  <si>
    <t>SRG Global Limited Ordinary</t>
  </si>
  <si>
    <t>SRH</t>
  </si>
  <si>
    <t>Saferoads Holdings Limited Ordinary</t>
  </si>
  <si>
    <t>Business Support Supplies</t>
  </si>
  <si>
    <t>SRJ</t>
  </si>
  <si>
    <t>SRJ Technologies Group PLC CDI 1:1</t>
  </si>
  <si>
    <t>SRK</t>
  </si>
  <si>
    <t>Strike Resources Limited Ordinary</t>
  </si>
  <si>
    <t>SRL</t>
  </si>
  <si>
    <t>Sunrise Energy Metals Limited Ordinary</t>
  </si>
  <si>
    <t>SRN</t>
  </si>
  <si>
    <t>Surefire Resources NL Ordinary</t>
  </si>
  <si>
    <t>SRR</t>
  </si>
  <si>
    <t>Sarama Resources Ltd CDI 1:1</t>
  </si>
  <si>
    <t>SRT</t>
  </si>
  <si>
    <t>Strata Investment Holdings PLC CDI 1:1</t>
  </si>
  <si>
    <t>Materials (Mining Investment)</t>
  </si>
  <si>
    <t>SRV</t>
  </si>
  <si>
    <t>Servcorp Limited Ordinary</t>
  </si>
  <si>
    <t>SRZ</t>
  </si>
  <si>
    <t>Stellar Resources Limited Ordinary</t>
  </si>
  <si>
    <t>SS1</t>
  </si>
  <si>
    <t>Sun Silver Limited Ordinary</t>
  </si>
  <si>
    <t>SSG</t>
  </si>
  <si>
    <t>Shaver Shop Group Limited Ordinary</t>
  </si>
  <si>
    <t>SSH</t>
  </si>
  <si>
    <t>SSH Group Ltd Ordinary</t>
  </si>
  <si>
    <t>SSL</t>
  </si>
  <si>
    <t>Sietel Limited Ordinary</t>
  </si>
  <si>
    <t>SSM</t>
  </si>
  <si>
    <t>Service Stream Limited Ordinary</t>
  </si>
  <si>
    <t>SSO</t>
  </si>
  <si>
    <t>State Street SPDR S&amp;P/ASX Small Ordinaries ETF</t>
  </si>
  <si>
    <t>SST</t>
  </si>
  <si>
    <t>Steamships Trading Company Limited 50 Toea Ordinary</t>
  </si>
  <si>
    <t>Marine Freight &amp; Logistics</t>
  </si>
  <si>
    <t>STG</t>
  </si>
  <si>
    <t>Straker Limited Ordinary</t>
  </si>
  <si>
    <t>STH</t>
  </si>
  <si>
    <t>Stepchange Holdings Limited Ordinary</t>
  </si>
  <si>
    <t>STK</t>
  </si>
  <si>
    <t>Strickland Metals Limited Ordinary</t>
  </si>
  <si>
    <t>STM</t>
  </si>
  <si>
    <t>Sunstone Metals Ltd Ordinary</t>
  </si>
  <si>
    <t>STN</t>
  </si>
  <si>
    <t>Saturn Metals Limited Ordinary</t>
  </si>
  <si>
    <t>STO</t>
  </si>
  <si>
    <t>Santos Limited Ordinary</t>
  </si>
  <si>
    <t>STP</t>
  </si>
  <si>
    <t>Step One Clothing Limited Ordinary</t>
  </si>
  <si>
    <t>STV</t>
  </si>
  <si>
    <t>Swift TV Ltd Ordinary</t>
  </si>
  <si>
    <t>STW</t>
  </si>
  <si>
    <t>State Street SPDR S&amp;P/ASX 200 ETF</t>
  </si>
  <si>
    <t>STX</t>
  </si>
  <si>
    <t>Strike Energy Limited Ordinary</t>
  </si>
  <si>
    <t>SUBD</t>
  </si>
  <si>
    <t>Vaneck Australian Subordinated Debt ETF</t>
  </si>
  <si>
    <t>SUH</t>
  </si>
  <si>
    <t>Southern Hemisphere Mining Limited Ordinary</t>
  </si>
  <si>
    <t>SUL</t>
  </si>
  <si>
    <t>Super Retail Group Limited Ordinary</t>
  </si>
  <si>
    <t>SUM</t>
  </si>
  <si>
    <t>Summit Minerals Limited Ordinary</t>
  </si>
  <si>
    <t>SUN</t>
  </si>
  <si>
    <t>Suncorp Group Limited Ordinary</t>
  </si>
  <si>
    <t>SVG</t>
  </si>
  <si>
    <t>Savannah Goldfields Limited Ordinary</t>
  </si>
  <si>
    <t>SVL</t>
  </si>
  <si>
    <t>Silver Mines Limited Ordinary</t>
  </si>
  <si>
    <t>SVM</t>
  </si>
  <si>
    <t>Sovereign Metals Limited Ordinary</t>
  </si>
  <si>
    <t>SVNP</t>
  </si>
  <si>
    <t>Savana US Small Caps Active ETF</t>
  </si>
  <si>
    <t>SVR</t>
  </si>
  <si>
    <t>Solvar Limited Ordinary</t>
  </si>
  <si>
    <t>SVY</t>
  </si>
  <si>
    <t>Stavely Minerals Limited Ordinary</t>
  </si>
  <si>
    <t>SWM</t>
  </si>
  <si>
    <t>Seven West Media Limited Ordinary</t>
  </si>
  <si>
    <t>SWP</t>
  </si>
  <si>
    <t>Swoop Holdings Limited Ordinary</t>
  </si>
  <si>
    <t>SWTZ</t>
  </si>
  <si>
    <t>Switzer Dividend Growth Fund - Active ETF</t>
  </si>
  <si>
    <t>SX2</t>
  </si>
  <si>
    <t>Southern Cross Gold Consolidated Ltd. CDI 1:1</t>
  </si>
  <si>
    <t>SXE</t>
  </si>
  <si>
    <t>Southern Cross Electrical Engineering Ltd Ordinary</t>
  </si>
  <si>
    <t>SXL</t>
  </si>
  <si>
    <t>Southern Cross Media Group Limited Ordinary</t>
  </si>
  <si>
    <t>SYI</t>
  </si>
  <si>
    <t>State Street SPDR MSCI AUS Select High Dividend Yield ETF</t>
  </si>
  <si>
    <t>SYL</t>
  </si>
  <si>
    <t>Symal Group Limited Ordinary</t>
  </si>
  <si>
    <t>SYR</t>
  </si>
  <si>
    <t>Syrah Resources Limited Ordinary</t>
  </si>
  <si>
    <t>T3D</t>
  </si>
  <si>
    <t>333D Limited Ordinary</t>
  </si>
  <si>
    <t>T3MP</t>
  </si>
  <si>
    <t>JP Morgan Climate Change Solutions Active ETF</t>
  </si>
  <si>
    <t>T88</t>
  </si>
  <si>
    <t>Taiton Resources Limited Ordinary</t>
  </si>
  <si>
    <t>T92</t>
  </si>
  <si>
    <t>Terra Critical Minerals Limited Ordinary</t>
  </si>
  <si>
    <t>TAH</t>
  </si>
  <si>
    <t>Tabcorp Holdings Limited Ordinary</t>
  </si>
  <si>
    <t>TAL</t>
  </si>
  <si>
    <t>Talius Group Limited Ordinary</t>
  </si>
  <si>
    <t>TAM</t>
  </si>
  <si>
    <t>Tanami Gold NL Ordinary</t>
  </si>
  <si>
    <t>TAR</t>
  </si>
  <si>
    <t>Taruga Minerals Limited Ordinary</t>
  </si>
  <si>
    <t>TAS</t>
  </si>
  <si>
    <t>Tasman Resources Ltd Ordinary</t>
  </si>
  <si>
    <t>TAT</t>
  </si>
  <si>
    <t>Tartana Minerals Limited Ordinary</t>
  </si>
  <si>
    <t>TBN</t>
  </si>
  <si>
    <t>Tamboran Resources Corporation CDI 200:1 US Person Prohibited Excluding QIB</t>
  </si>
  <si>
    <t>TBR</t>
  </si>
  <si>
    <t>Tribune Resources Limited Ordinary</t>
  </si>
  <si>
    <t>TCAP</t>
  </si>
  <si>
    <t>Ten Cap Alpha Plus Complex ETF</t>
  </si>
  <si>
    <t>TCF</t>
  </si>
  <si>
    <t>360 Capital Mortgage Reit Ordinary Units</t>
  </si>
  <si>
    <t>TCG</t>
  </si>
  <si>
    <t>Turaco Gold Limited Ordinary</t>
  </si>
  <si>
    <t>TCL</t>
  </si>
  <si>
    <t>Transurban Group Ordinary/Units Stapled Securities</t>
  </si>
  <si>
    <t>TCO</t>
  </si>
  <si>
    <t>Transmetro Corporation Limited Ordinary</t>
  </si>
  <si>
    <t>TD1</t>
  </si>
  <si>
    <t>Tali Digital Limited Ordinary</t>
  </si>
  <si>
    <t>TDO</t>
  </si>
  <si>
    <t>3D Energi Limited Ordinary</t>
  </si>
  <si>
    <t>TEA</t>
  </si>
  <si>
    <t>Tasmea Limited Ordinary</t>
  </si>
  <si>
    <t>TECH</t>
  </si>
  <si>
    <t>Global X Morningstar Global Technology ETF</t>
  </si>
  <si>
    <t>TEE</t>
  </si>
  <si>
    <t>Top End Energy Limited Ordinary</t>
  </si>
  <si>
    <t>TEG</t>
  </si>
  <si>
    <t>Triangle Energy (Global) Limited Ordinary</t>
  </si>
  <si>
    <t>TEK</t>
  </si>
  <si>
    <t>Thorney Technologies Ltd Ordinary</t>
  </si>
  <si>
    <t>TEM</t>
  </si>
  <si>
    <t>Tempest Minerals Limited Ordinary</t>
  </si>
  <si>
    <t>TER</t>
  </si>
  <si>
    <t>Terracom Limited Ordinary</t>
  </si>
  <si>
    <t>TFL</t>
  </si>
  <si>
    <t>Tasfoods Limited Ordinary</t>
  </si>
  <si>
    <t>TG1</t>
  </si>
  <si>
    <t>Techgen Metals Ltd Ordinary</t>
  </si>
  <si>
    <t>TG6</t>
  </si>
  <si>
    <t>TG Metals Limited Ordinary</t>
  </si>
  <si>
    <t>TGF</t>
  </si>
  <si>
    <t>Tribeca Global Natural Resources Limited Ordinary</t>
  </si>
  <si>
    <t>TGH</t>
  </si>
  <si>
    <t>Terragen Holdings Limited Ordinary</t>
  </si>
  <si>
    <t>TGM</t>
  </si>
  <si>
    <t>Theta Gold Mines Limited Ordinary</t>
  </si>
  <si>
    <t>TGN</t>
  </si>
  <si>
    <t>Tungsten Mining NL Ordinary</t>
  </si>
  <si>
    <t>TGP</t>
  </si>
  <si>
    <t>360 Capital Group Ordinary/Units Stapled Securities</t>
  </si>
  <si>
    <t>THL</t>
  </si>
  <si>
    <t>Tourism Holdings Rentals Limited Ordinary Foreign Exempt NZX</t>
  </si>
  <si>
    <t>THR</t>
  </si>
  <si>
    <t>Thor Energy PLC CDI 1:1</t>
  </si>
  <si>
    <t>TIA</t>
  </si>
  <si>
    <t>Tian An Australia Limited Ordinary</t>
  </si>
  <si>
    <t>TIG</t>
  </si>
  <si>
    <t>Tigers Realm Coal Limited Ordinary</t>
  </si>
  <si>
    <t>TIO</t>
  </si>
  <si>
    <t>Temas Resources Corp. CDI 1:1</t>
  </si>
  <si>
    <t>Materials (Specialty Metals)</t>
  </si>
  <si>
    <t>TIP</t>
  </si>
  <si>
    <t>Teaminvest Private Group Limited Ordinary</t>
  </si>
  <si>
    <t>TKM</t>
  </si>
  <si>
    <t>Trek Metals Limited CDI 1:1</t>
  </si>
  <si>
    <t>TLC</t>
  </si>
  <si>
    <t>The Lottery Corporation Limited Ordinary</t>
  </si>
  <si>
    <t>TLG</t>
  </si>
  <si>
    <t>Talga Group Ltd Ordinary</t>
  </si>
  <si>
    <t>TLM</t>
  </si>
  <si>
    <t>Talisman Mining Limited Ordinary</t>
  </si>
  <si>
    <t>TLS</t>
  </si>
  <si>
    <t>Telstra Group Limited Ordinary</t>
  </si>
  <si>
    <t>TLX</t>
  </si>
  <si>
    <t>Telix Pharmaceuticals Limited Ordinary</t>
  </si>
  <si>
    <t>TM1</t>
  </si>
  <si>
    <t>Terra Metals Limited Ordinary</t>
  </si>
  <si>
    <t>TMB</t>
  </si>
  <si>
    <t>Tambourah Metals Ltd Ordinary</t>
  </si>
  <si>
    <t>TMK</t>
  </si>
  <si>
    <t>TMK Energy Limited Ordinary</t>
  </si>
  <si>
    <t>TML</t>
  </si>
  <si>
    <t>Timah Resources Limited Ordinary</t>
  </si>
  <si>
    <t>TMS</t>
  </si>
  <si>
    <t>Tennant Minerals Limited Ordinary</t>
  </si>
  <si>
    <t>TMX</t>
  </si>
  <si>
    <t>Terrain Minerals Limited Ordinary</t>
  </si>
  <si>
    <t>TNC</t>
  </si>
  <si>
    <t>True North Copper Limited Ordinary</t>
  </si>
  <si>
    <t>TNE</t>
  </si>
  <si>
    <t>Technology One Limited Ordinary</t>
  </si>
  <si>
    <t>TNY</t>
  </si>
  <si>
    <t>Tinybeans Group Ltd Ordinary</t>
  </si>
  <si>
    <t>TOE</t>
  </si>
  <si>
    <t>Toro Energy Limited Ordinary</t>
  </si>
  <si>
    <t>TOK</t>
  </si>
  <si>
    <t>Tolu Minerals Limited Ordinary</t>
  </si>
  <si>
    <t>TOLL</t>
  </si>
  <si>
    <t>BetaShares FTSE Global Infrastructure Share CH ETF</t>
  </si>
  <si>
    <t>TON</t>
  </si>
  <si>
    <t>Triton Minerals Ltd Ordinary</t>
  </si>
  <si>
    <t>TOP</t>
  </si>
  <si>
    <t>Thorney Opportunities Ltd Ordinary</t>
  </si>
  <si>
    <t>TOR</t>
  </si>
  <si>
    <t>Torque Metals Limited. Ordinary</t>
  </si>
  <si>
    <t>TOT</t>
  </si>
  <si>
    <t>360 Capital Reit Stapled Securities</t>
  </si>
  <si>
    <t>TOU</t>
  </si>
  <si>
    <t>Tlou Energy Limited Ordinary</t>
  </si>
  <si>
    <t>TPC</t>
  </si>
  <si>
    <t>TPC Consolidated Limited Ordinary</t>
  </si>
  <si>
    <t>TPG</t>
  </si>
  <si>
    <t>TPG Telecom Limited Ordinary</t>
  </si>
  <si>
    <t>TPW</t>
  </si>
  <si>
    <t>Temple &amp; Webster Group Ltd Ordinary</t>
  </si>
  <si>
    <t>TR2</t>
  </si>
  <si>
    <t>Tali Resources Ltd Ordinary</t>
  </si>
  <si>
    <t>TR8</t>
  </si>
  <si>
    <t>Tarrina Resources Limited Ordinary</t>
  </si>
  <si>
    <t>TRA</t>
  </si>
  <si>
    <t>Turners Automotive Group Limited Ordinary Foreign Exempt NZX</t>
  </si>
  <si>
    <t>TRE</t>
  </si>
  <si>
    <t>Toubani Resources Limited Ordinary</t>
  </si>
  <si>
    <t>TRI</t>
  </si>
  <si>
    <t>Trivarx Ltd Ordinary</t>
  </si>
  <si>
    <t>TRJ</t>
  </si>
  <si>
    <t>Trajan Group Holdings Limited Ordinary</t>
  </si>
  <si>
    <t>Office Equipment</t>
  </si>
  <si>
    <t>TRM</t>
  </si>
  <si>
    <t>Truscott Mining Corporation Limited Ordinary</t>
  </si>
  <si>
    <t>TRP</t>
  </si>
  <si>
    <t>Tissue Repair Ltd Ordinary</t>
  </si>
  <si>
    <t>TRU</t>
  </si>
  <si>
    <t>Truscreen Group Limited Ordinary Foreign Exempt NZX</t>
  </si>
  <si>
    <t>Health Care (Medical Devices)</t>
  </si>
  <si>
    <t>TSK</t>
  </si>
  <si>
    <t>Tusker Minerals Ltd Ordinary</t>
  </si>
  <si>
    <t>TSL</t>
  </si>
  <si>
    <t>Titanium Sands Limited Ordinary</t>
  </si>
  <si>
    <t>TSO</t>
  </si>
  <si>
    <t>Tesoro Gold Ltd Ordinary</t>
  </si>
  <si>
    <t>TTM</t>
  </si>
  <si>
    <t>Titan Minerals Limited Ordinary</t>
  </si>
  <si>
    <t>TTT</t>
  </si>
  <si>
    <t>Titomic Limited Ordinary</t>
  </si>
  <si>
    <t>TTX</t>
  </si>
  <si>
    <t>Tetratherix Limited Ordinary</t>
  </si>
  <si>
    <t>TUA</t>
  </si>
  <si>
    <t>Tuas Limited Ordinary</t>
  </si>
  <si>
    <t>TVL</t>
  </si>
  <si>
    <t>Touch Ventures Limited Ordinary</t>
  </si>
  <si>
    <t>TVN</t>
  </si>
  <si>
    <t>Tivan Limited Ordinary</t>
  </si>
  <si>
    <t>TWD</t>
  </si>
  <si>
    <t>Tamawood Limited Ordinary</t>
  </si>
  <si>
    <t>TWE</t>
  </si>
  <si>
    <t>Treasury Wine Estates Limited Ordinary</t>
  </si>
  <si>
    <t>TWL</t>
  </si>
  <si>
    <t>Trade Window Holdings Limited Ordinary Foreign Exempt NZX</t>
  </si>
  <si>
    <t>Information Technology (Software)</t>
  </si>
  <si>
    <t>TWR</t>
  </si>
  <si>
    <t>Tower Limited Ordinary Foreign Exempt NZX</t>
  </si>
  <si>
    <t>TYR</t>
  </si>
  <si>
    <t>Tyro Payments Limited Ordinary</t>
  </si>
  <si>
    <t>TYX</t>
  </si>
  <si>
    <t>Tyranna Resources Limited Ordinary</t>
  </si>
  <si>
    <t>TZL</t>
  </si>
  <si>
    <t>TZ Limited Ordinary</t>
  </si>
  <si>
    <t>TZN</t>
  </si>
  <si>
    <t>Terramin Australia Limited Ordinary</t>
  </si>
  <si>
    <t>U100</t>
  </si>
  <si>
    <t>Global X US 100 ETF. ETF</t>
  </si>
  <si>
    <t>UBI</t>
  </si>
  <si>
    <t>Universal Biosensors Inc. CDI 1:1</t>
  </si>
  <si>
    <t>UBN</t>
  </si>
  <si>
    <t>Urbanise.Com Limited Ordinary</t>
  </si>
  <si>
    <t>UCM</t>
  </si>
  <si>
    <t>Uscom Limited Ordinary</t>
  </si>
  <si>
    <t>UMAX</t>
  </si>
  <si>
    <t>BetaShares S&amp;P 500 Yield Maximiser Complex ETF</t>
  </si>
  <si>
    <t>UNI</t>
  </si>
  <si>
    <t>Universal Store Holdings Limited Ordinary</t>
  </si>
  <si>
    <t>UNT</t>
  </si>
  <si>
    <t>Unith Ltd Ordinary</t>
  </si>
  <si>
    <t>UOS</t>
  </si>
  <si>
    <t>United Overseas Australia Limited Ordinary</t>
  </si>
  <si>
    <t>URAN</t>
  </si>
  <si>
    <t>Vaneck Uranium and Energy Innovation ETF</t>
  </si>
  <si>
    <t>URF</t>
  </si>
  <si>
    <t>US Masters Residential Property Fund Units Stapled Securities</t>
  </si>
  <si>
    <t>Residential REITs</t>
  </si>
  <si>
    <t>URNM</t>
  </si>
  <si>
    <t>BetaShares Global Uranium ETF</t>
  </si>
  <si>
    <t>USC</t>
  </si>
  <si>
    <t>US1 Critical Minerals Limited Ordinary</t>
  </si>
  <si>
    <t>USD</t>
  </si>
  <si>
    <t>BetaShares U.S. Dollar ETF</t>
  </si>
  <si>
    <t>USHY</t>
  </si>
  <si>
    <t>Global X USD High Yield Bond (Currency Hedged) ETF</t>
  </si>
  <si>
    <t>USIG</t>
  </si>
  <si>
    <t>Global X USD Corporate Bond (Currency Hedged) ETF</t>
  </si>
  <si>
    <t>USL</t>
  </si>
  <si>
    <t>Unico Silver Limited Ordinary</t>
  </si>
  <si>
    <t>UTIP</t>
  </si>
  <si>
    <t>BetaShares Inflation Protected US Trsy Bond CH ETF</t>
  </si>
  <si>
    <t>UWC</t>
  </si>
  <si>
    <t>Underwood Capital Limited Ordinary</t>
  </si>
  <si>
    <t>UYLD</t>
  </si>
  <si>
    <t>Global X S&amp;P 500 Covered Call Complex ETF</t>
  </si>
  <si>
    <t>VACF</t>
  </si>
  <si>
    <t>Vanguard Australian Corp Fixed Interest Index ETF</t>
  </si>
  <si>
    <t>VAE</t>
  </si>
  <si>
    <t>Vanguard FTSE Asia EX Japan Shares Index ETF</t>
  </si>
  <si>
    <t>VAF</t>
  </si>
  <si>
    <t>Vanguard Australian Fixed Interest Index ETF</t>
  </si>
  <si>
    <t>VAP</t>
  </si>
  <si>
    <t>Vanguard Australian Property Securities Index ETF</t>
  </si>
  <si>
    <t>VAR</t>
  </si>
  <si>
    <t>Variscan Mines Limited Ordinary</t>
  </si>
  <si>
    <t>VAS</t>
  </si>
  <si>
    <t>Vanguard Australian Shares Index ETF</t>
  </si>
  <si>
    <t>VAU</t>
  </si>
  <si>
    <t>Vault Minerals Limited Ordinary</t>
  </si>
  <si>
    <t>VBC</t>
  </si>
  <si>
    <t>Verbrec Limited Ordinary</t>
  </si>
  <si>
    <t>VBLD</t>
  </si>
  <si>
    <t>Vanguard Global Infrastructure Index ETF</t>
  </si>
  <si>
    <t>VBND</t>
  </si>
  <si>
    <t>Vanguard Global Aggregate Bond Index (Hedged) ETF</t>
  </si>
  <si>
    <t>VBS</t>
  </si>
  <si>
    <t>Vectus Biosystems Limited Ordinary</t>
  </si>
  <si>
    <t>VBTC</t>
  </si>
  <si>
    <t>Vaneck Bitcoin ETF</t>
  </si>
  <si>
    <t>VBX</t>
  </si>
  <si>
    <t>VBX Limited Ordinary</t>
  </si>
  <si>
    <t>VCF</t>
  </si>
  <si>
    <t>Vanguard International Credit Securities Index (Hedged) ETF</t>
  </si>
  <si>
    <t>VCX</t>
  </si>
  <si>
    <t>Vicinity Centres Ordinary/Units Stapled Securities</t>
  </si>
  <si>
    <t>VDAL</t>
  </si>
  <si>
    <t>Vanguard Diversified ALL Growth Index ETF</t>
  </si>
  <si>
    <t>VDBA</t>
  </si>
  <si>
    <t>Vanguard Diversified Balanced Index ETF</t>
  </si>
  <si>
    <t>VDCO</t>
  </si>
  <si>
    <t>Vanguard Diversified Conservative Index ETF</t>
  </si>
  <si>
    <t>VDGR</t>
  </si>
  <si>
    <t>Vanguard Diversified Growth Index ETF</t>
  </si>
  <si>
    <t>VDHG</t>
  </si>
  <si>
    <t>Vanguard Diversified High Growth Index ETF</t>
  </si>
  <si>
    <t>VDIF</t>
  </si>
  <si>
    <t>Vanguard Diversified Income ETF</t>
  </si>
  <si>
    <t>VEA</t>
  </si>
  <si>
    <t>Viva Energy Group Limited Ordinary</t>
  </si>
  <si>
    <t>VEE</t>
  </si>
  <si>
    <t>Veem Ltd Ordinary</t>
  </si>
  <si>
    <t>Shipbuilding</t>
  </si>
  <si>
    <t>VEFI</t>
  </si>
  <si>
    <t>Vanguard Ethically Conscious GLB AGG Bond Index (Hedged) ETF</t>
  </si>
  <si>
    <t>VEN</t>
  </si>
  <si>
    <t>Vintage Energy Ltd Ordinary</t>
  </si>
  <si>
    <t>VEQ</t>
  </si>
  <si>
    <t>Vanguard FTSE Europe Shares ETF</t>
  </si>
  <si>
    <t>VESG</t>
  </si>
  <si>
    <t>Vanguard Ethically Conscious International Shares Index ETF</t>
  </si>
  <si>
    <t>VETH</t>
  </si>
  <si>
    <t>Vanguard Ethically Conscious Australian Shares ETF</t>
  </si>
  <si>
    <t>VEU</t>
  </si>
  <si>
    <t>Vanguard All-World Ex-US Shares Index ETF</t>
  </si>
  <si>
    <t>VFX</t>
  </si>
  <si>
    <t>Visionflex Group Limited Ordinary</t>
  </si>
  <si>
    <t>VFY</t>
  </si>
  <si>
    <t>Vitrafy Life Sciences Limited Ordinary</t>
  </si>
  <si>
    <t>VGAD</t>
  </si>
  <si>
    <t>Vanguard MSCI Index International Shares (Hedged) ETF</t>
  </si>
  <si>
    <t>VGB</t>
  </si>
  <si>
    <t>Vanguard Australian Government Bond Index ETF</t>
  </si>
  <si>
    <t>VGE</t>
  </si>
  <si>
    <t>Vanguard FTSE Emerging Markets Shares ETF</t>
  </si>
  <si>
    <t>VGL</t>
  </si>
  <si>
    <t>Vista Group International Limited Ordinary Foreign Exempt NZX</t>
  </si>
  <si>
    <t>VGN</t>
  </si>
  <si>
    <t>Virgin Australia Holdings Limited Ordinary</t>
  </si>
  <si>
    <t>VGS</t>
  </si>
  <si>
    <t>Vanguard MSCI Index International Shares ETF</t>
  </si>
  <si>
    <t>VHL</t>
  </si>
  <si>
    <t>Vitasora Health Limited Ordinary</t>
  </si>
  <si>
    <t>VHM</t>
  </si>
  <si>
    <t>VHM Limited Ordinary</t>
  </si>
  <si>
    <t>VHY</t>
  </si>
  <si>
    <t>Vanguard Australian Shares High Yield ETF</t>
  </si>
  <si>
    <t>VIF</t>
  </si>
  <si>
    <t>Vanguard International Fixed Interest Index (Hedged) ETF</t>
  </si>
  <si>
    <t>VIG</t>
  </si>
  <si>
    <t>Victor Group Holdings Limited Ordinary</t>
  </si>
  <si>
    <t>VISM</t>
  </si>
  <si>
    <t>Vanguard MSCI International Small Companies Index ETF</t>
  </si>
  <si>
    <t>VIT</t>
  </si>
  <si>
    <t>Vitura Health Limited Ordinary</t>
  </si>
  <si>
    <t>VKA</t>
  </si>
  <si>
    <t>Viking Mines Limited Ordinary</t>
  </si>
  <si>
    <t>VLC</t>
  </si>
  <si>
    <t>Vanguard MSCI Australian Large Companies Index ETF</t>
  </si>
  <si>
    <t>VLS</t>
  </si>
  <si>
    <t>Vita Life Sciences Limited. Ordinary</t>
  </si>
  <si>
    <t>VLUE</t>
  </si>
  <si>
    <t>Vaneck MSCI International Value ETF</t>
  </si>
  <si>
    <t>VMC</t>
  </si>
  <si>
    <t>Venus Metals Corporation Limited Ordinary</t>
  </si>
  <si>
    <t>VMIN</t>
  </si>
  <si>
    <t>Vanguard Global Minimum Volatility Active ETF</t>
  </si>
  <si>
    <t>VML</t>
  </si>
  <si>
    <t>Vital Metals Limited Ordinary</t>
  </si>
  <si>
    <t>VMM</t>
  </si>
  <si>
    <t>Viridis Mining and Minerals Limited Ordinary</t>
  </si>
  <si>
    <t>VMS</t>
  </si>
  <si>
    <t>Venari Minerals NL Ordinary</t>
  </si>
  <si>
    <t>VMT</t>
  </si>
  <si>
    <t>Vmoto Limited Ordinary</t>
  </si>
  <si>
    <t>Auto &amp; Truck Manufacturers</t>
  </si>
  <si>
    <t>VNGS</t>
  </si>
  <si>
    <t>Vaughan Nelson GLB Equity Smid Fund - Active ETF</t>
  </si>
  <si>
    <t>VNL</t>
  </si>
  <si>
    <t>Vinyl Group Ltd Ordinary</t>
  </si>
  <si>
    <t>VNT</t>
  </si>
  <si>
    <t>Ventia Services Group Limited Ordinary</t>
  </si>
  <si>
    <t>VPR</t>
  </si>
  <si>
    <t>Volt Group Limited Ordinary</t>
  </si>
  <si>
    <t>VR1</t>
  </si>
  <si>
    <t>Vection Technologies Ltd Ordinary</t>
  </si>
  <si>
    <t>VR8</t>
  </si>
  <si>
    <t>Vanadium Resources Limited Ordinary</t>
  </si>
  <si>
    <t>VRC</t>
  </si>
  <si>
    <t>Volt Resources Limited Ordinary</t>
  </si>
  <si>
    <t>VRL</t>
  </si>
  <si>
    <t>Verity Resources Limited Ordinary</t>
  </si>
  <si>
    <t>VRS</t>
  </si>
  <si>
    <t>Veris Limited Ordinary</t>
  </si>
  <si>
    <t>VRX</t>
  </si>
  <si>
    <t>VRX Silica Limited Ordinary</t>
  </si>
  <si>
    <t>VSL</t>
  </si>
  <si>
    <t>Vulcan Steel Limited Ordinary</t>
  </si>
  <si>
    <t>VSO</t>
  </si>
  <si>
    <t>Vanguard MSCI Australian Small Companies Index ETF</t>
  </si>
  <si>
    <t>VSR</t>
  </si>
  <si>
    <t>Voltaic Strategic Resources Ltd Ordinary</t>
  </si>
  <si>
    <t>VTM</t>
  </si>
  <si>
    <t>Victory Metals Limited Ordinary</t>
  </si>
  <si>
    <t>VTS</t>
  </si>
  <si>
    <t>Vanguard US Total Market Shares Index ETF</t>
  </si>
  <si>
    <t>VTX</t>
  </si>
  <si>
    <t>Vertex Minerals Limited Ordinary</t>
  </si>
  <si>
    <t>VUL</t>
  </si>
  <si>
    <t>Vulcan Energy Resources Limited Ordinary</t>
  </si>
  <si>
    <t>VVA</t>
  </si>
  <si>
    <t>Viva Leisure Limited Ordinary</t>
  </si>
  <si>
    <t>VVLU</t>
  </si>
  <si>
    <t>Vanguard Global Value Equity Active ETF</t>
  </si>
  <si>
    <t>VYS</t>
  </si>
  <si>
    <t>Vysarn Limited Ordinary</t>
  </si>
  <si>
    <t>W2V</t>
  </si>
  <si>
    <t>Way2Vat Ltd. Ordinary</t>
  </si>
  <si>
    <t>WA1</t>
  </si>
  <si>
    <t>WA1 Resources Ltd Ordinary</t>
  </si>
  <si>
    <t>WAA</t>
  </si>
  <si>
    <t>WAM Active Limited Ordinary</t>
  </si>
  <si>
    <t>WAF</t>
  </si>
  <si>
    <t>West African Resources Limited Ordinary</t>
  </si>
  <si>
    <t>WAG</t>
  </si>
  <si>
    <t>The Australian Wealth Advisors Group Limited Ordinary</t>
  </si>
  <si>
    <t>WAK</t>
  </si>
  <si>
    <t>WA Kaolin Limited Ordinary</t>
  </si>
  <si>
    <t>WAM</t>
  </si>
  <si>
    <t>WAM Capital Limited Ordinary</t>
  </si>
  <si>
    <t>WAR</t>
  </si>
  <si>
    <t>WAM Strategic Value Limited Ordinary</t>
  </si>
  <si>
    <t>WAT</t>
  </si>
  <si>
    <t>Waterco Limited Ordinary</t>
  </si>
  <si>
    <t>WAX</t>
  </si>
  <si>
    <t>WAM Research Limited Ordinary</t>
  </si>
  <si>
    <t>WBC</t>
  </si>
  <si>
    <t>Westpac Banking Corporation Ordinary</t>
  </si>
  <si>
    <t>WBND</t>
  </si>
  <si>
    <t>BetaShares Global Aggregate Bond Currency Hedged ETF</t>
  </si>
  <si>
    <t>WBT</t>
  </si>
  <si>
    <t>Weebit Nano Ltd Ordinary</t>
  </si>
  <si>
    <t>WC1</t>
  </si>
  <si>
    <t>West Cobar Metals Limited Ordinary</t>
  </si>
  <si>
    <t>WC8</t>
  </si>
  <si>
    <t>Wildcat Resources Limited Ordinary</t>
  </si>
  <si>
    <t>WCE</t>
  </si>
  <si>
    <t>West Coast Silver Limited Ordinary</t>
  </si>
  <si>
    <t>WCMQ</t>
  </si>
  <si>
    <t>WCM Quality Global Growth Fund - Active ETF</t>
  </si>
  <si>
    <t>WCN</t>
  </si>
  <si>
    <t>White Cliff Minerals Limited Ordinary</t>
  </si>
  <si>
    <t>WDIV</t>
  </si>
  <si>
    <t>State Street SPDR S&amp;P Global Dividend ETF</t>
  </si>
  <si>
    <t>WDMF</t>
  </si>
  <si>
    <t>iShares World Equity Factor ETF</t>
  </si>
  <si>
    <t>WDS</t>
  </si>
  <si>
    <t>Woodside Energy Group Ltd Ordinary</t>
  </si>
  <si>
    <t>WEB</t>
  </si>
  <si>
    <t>Web Travel Group Limited Ordinary</t>
  </si>
  <si>
    <t>WEC</t>
  </si>
  <si>
    <t>White Energy Company Limited Ordinary</t>
  </si>
  <si>
    <t>WEL</t>
  </si>
  <si>
    <t>Winchester Energy Ltd Ordinary</t>
  </si>
  <si>
    <t>WEMG</t>
  </si>
  <si>
    <t>SPDR S&amp;P Emerging Markets Carbon Aware ETF</t>
  </si>
  <si>
    <t>WES</t>
  </si>
  <si>
    <t>Wesfarmers Limited Ordinary</t>
  </si>
  <si>
    <t>WGB</t>
  </si>
  <si>
    <t>WAM Global Limited Ordinary</t>
  </si>
  <si>
    <t>WGN</t>
  </si>
  <si>
    <t>Wagners Holding Company Limited Ordinary</t>
  </si>
  <si>
    <t>WGR</t>
  </si>
  <si>
    <t>Western Gold Resources Limited Ordinary</t>
  </si>
  <si>
    <t>WGX</t>
  </si>
  <si>
    <t>Westgold Resources Limited Ordinary</t>
  </si>
  <si>
    <t>WHC</t>
  </si>
  <si>
    <t>Whitehaven Coal Limited Ordinary</t>
  </si>
  <si>
    <t>WHF</t>
  </si>
  <si>
    <t>Whitefield Industrials Limited Ordinary</t>
  </si>
  <si>
    <t>WHI</t>
  </si>
  <si>
    <t>Whitefield Income Limited Ordinary</t>
  </si>
  <si>
    <t>WHK</t>
  </si>
  <si>
    <t>Whitehawk Limited Ordinary</t>
  </si>
  <si>
    <t>WIA</t>
  </si>
  <si>
    <t>WIA Gold Limited Ordinary</t>
  </si>
  <si>
    <t>WIN</t>
  </si>
  <si>
    <t>WIN Metals Ltd Ordinary</t>
  </si>
  <si>
    <t>WIRE</t>
  </si>
  <si>
    <t>Global X Copper Miners ETF</t>
  </si>
  <si>
    <t>WJL</t>
  </si>
  <si>
    <t>Webjet Group Limited Ordinary</t>
  </si>
  <si>
    <t>WLE</t>
  </si>
  <si>
    <t>WAM Leaders Limited Ordinary</t>
  </si>
  <si>
    <t>WMA</t>
  </si>
  <si>
    <t>WAM Alternative Assets Limited Ordinary</t>
  </si>
  <si>
    <t>WMG</t>
  </si>
  <si>
    <t>Western Mines Group Ltd Ordinary</t>
  </si>
  <si>
    <t>WMI</t>
  </si>
  <si>
    <t>WAM Microcap Limited Ordinary</t>
  </si>
  <si>
    <t>WMX</t>
  </si>
  <si>
    <t>WAM Income Maximiser Limited Ordinary</t>
  </si>
  <si>
    <t>WNR</t>
  </si>
  <si>
    <t>Wingara AG Ltd Ordinary</t>
  </si>
  <si>
    <t>WNX</t>
  </si>
  <si>
    <t>Wellnex Life Limited Ordinary</t>
  </si>
  <si>
    <t>WOA</t>
  </si>
  <si>
    <t>Wide Open Agriculture Ltd Ordinary</t>
  </si>
  <si>
    <t>WOR</t>
  </si>
  <si>
    <t>Worley Limited Ordinary</t>
  </si>
  <si>
    <t>WOT</t>
  </si>
  <si>
    <t>Wotso Ordinary/Units Stapled Securities</t>
  </si>
  <si>
    <t>WOW</t>
  </si>
  <si>
    <t>Woolworths Group Limited Ordinary</t>
  </si>
  <si>
    <t>WPR</t>
  </si>
  <si>
    <t>Waypoint Reit Ordinary/Units Stapled Securities</t>
  </si>
  <si>
    <t>WQG</t>
  </si>
  <si>
    <t>WCM Global Growth Limited Ordinary</t>
  </si>
  <si>
    <t>WR1</t>
  </si>
  <si>
    <t>Winsome Resources Limited Ordinary</t>
  </si>
  <si>
    <t>WRK</t>
  </si>
  <si>
    <t>Wrkr Ltd Ordinary</t>
  </si>
  <si>
    <t>WRLD</t>
  </si>
  <si>
    <t>BetaShares Managed Risk Global Shares Complex ETF</t>
  </si>
  <si>
    <t>WSI</t>
  </si>
  <si>
    <t>Weststar Industrial Limited Ordinary</t>
  </si>
  <si>
    <t>WSR</t>
  </si>
  <si>
    <t>Westar Resources Limited Ordinary</t>
  </si>
  <si>
    <t>WTC</t>
  </si>
  <si>
    <t>Wisetech Global Limited Ordinary</t>
  </si>
  <si>
    <t>WTL</t>
  </si>
  <si>
    <t>WT Financial Group Limited Ordinary</t>
  </si>
  <si>
    <t>WTM</t>
  </si>
  <si>
    <t>Waratah Minerals Limited Ordinary</t>
  </si>
  <si>
    <t>WTN</t>
  </si>
  <si>
    <t>Winton Land Limited Ordinary Foreign Exempt NZX</t>
  </si>
  <si>
    <t>Real Estate (Property Development)</t>
  </si>
  <si>
    <t>WVOL</t>
  </si>
  <si>
    <t>iShares MSCI World EX Aust Minimum Volatility ETF</t>
  </si>
  <si>
    <t>WWG</t>
  </si>
  <si>
    <t>Wiseway Group Limited Ordinary</t>
  </si>
  <si>
    <t>WWI</t>
  </si>
  <si>
    <t>West Wits Mining Limited Ordinary</t>
  </si>
  <si>
    <t>WWWW</t>
  </si>
  <si>
    <t>ETFS US Technology ETF</t>
  </si>
  <si>
    <t>WXHG</t>
  </si>
  <si>
    <t>SPDR S&amp;P World EX AUS Carbon Aware (Hedged) ETF</t>
  </si>
  <si>
    <t>WXOZ</t>
  </si>
  <si>
    <t>SPDR S&amp;P World EX Australia Carbon Aware ETF</t>
  </si>
  <si>
    <t>WYX</t>
  </si>
  <si>
    <t>Western Yilgarn NL Ordinary</t>
  </si>
  <si>
    <t>WZR</t>
  </si>
  <si>
    <t>Wisr Limited Ordinary</t>
  </si>
  <si>
    <t>X2M</t>
  </si>
  <si>
    <t>X2M Connect Limited Ordinary</t>
  </si>
  <si>
    <t>XALG</t>
  </si>
  <si>
    <t>Alphinity Global Equity Fund - Active ETF</t>
  </si>
  <si>
    <t>XARO</t>
  </si>
  <si>
    <t>Ardea Real Outcome Bond Complex ETF</t>
  </si>
  <si>
    <t>XASG</t>
  </si>
  <si>
    <t>Alphinity Global Sustainable Equity Fund - Active ETF</t>
  </si>
  <si>
    <t>XF1</t>
  </si>
  <si>
    <t>Xref Limited Ordinary</t>
  </si>
  <si>
    <t>XGL</t>
  </si>
  <si>
    <t>Xamble Group Limited CDI 1:1</t>
  </si>
  <si>
    <t>XGOV</t>
  </si>
  <si>
    <t>Vaneck 10+ Year Australian Government Bond ETF</t>
  </si>
  <si>
    <t>XMET</t>
  </si>
  <si>
    <t>BetaShares Energy Transition Metals ETF</t>
  </si>
  <si>
    <t>XPD</t>
  </si>
  <si>
    <t>Xpedra Resources Limited Ordinary</t>
  </si>
  <si>
    <t>XPN</t>
  </si>
  <si>
    <t>Xpon Technologies Group Limited Ordinary</t>
  </si>
  <si>
    <t>XRA</t>
  </si>
  <si>
    <t>Xenora Minerals Ltd Ordinary</t>
  </si>
  <si>
    <t>XRF</t>
  </si>
  <si>
    <t>XRF Scientific Limited Ordinary</t>
  </si>
  <si>
    <t>XRG</t>
  </si>
  <si>
    <t>Xreality Group Ltd Ordinary</t>
  </si>
  <si>
    <t>XRO</t>
  </si>
  <si>
    <t>Xero Limited Ordinary</t>
  </si>
  <si>
    <t>XST</t>
  </si>
  <si>
    <t>Xstate Resources Limited Ordinary</t>
  </si>
  <si>
    <t>XX20</t>
  </si>
  <si>
    <t>First Sentier Ex-20 Australian Share Active ETF</t>
  </si>
  <si>
    <t>XYZ</t>
  </si>
  <si>
    <t>Block, Inc. CDI 1:1 Foreign Exempt NYSE</t>
  </si>
  <si>
    <t>YAL</t>
  </si>
  <si>
    <t>Yancoal Australia Limited Ordinary</t>
  </si>
  <si>
    <t>YANK</t>
  </si>
  <si>
    <t>BetaShares Strong US Dollar Complex ETF</t>
  </si>
  <si>
    <t>YAR</t>
  </si>
  <si>
    <t>Yari Minerals Limited Ordinary</t>
  </si>
  <si>
    <t>YMAX</t>
  </si>
  <si>
    <t>BetaShares Australian Top 20 EQY Yield Maximiser Complex ETF</t>
  </si>
  <si>
    <t>YOJ</t>
  </si>
  <si>
    <t>Yojee Limited Ordinary</t>
  </si>
  <si>
    <t>YOW</t>
  </si>
  <si>
    <t>Yowie Group Ltd Ordinary</t>
  </si>
  <si>
    <t>YRL</t>
  </si>
  <si>
    <t>Yandal Resources Limited Ordinary</t>
  </si>
  <si>
    <t>YUG</t>
  </si>
  <si>
    <t>Yugo Metals Limited Ordinary</t>
  </si>
  <si>
    <t>ZAG</t>
  </si>
  <si>
    <t>Zuleika Gold Limited Ordinary</t>
  </si>
  <si>
    <t>ZEO</t>
  </si>
  <si>
    <t>Zeotech Limited Ordinary</t>
  </si>
  <si>
    <t>ZEU</t>
  </si>
  <si>
    <t>Zeus Resources Limited Ordinary</t>
  </si>
  <si>
    <t>ZGL</t>
  </si>
  <si>
    <t>Zicom Group Limited Ordinary</t>
  </si>
  <si>
    <t>ZIM</t>
  </si>
  <si>
    <t>Zimplats Holdings Limited 10c US Ordinary</t>
  </si>
  <si>
    <t>ZIP</t>
  </si>
  <si>
    <t>Zip Co Limited. Ordinary</t>
  </si>
  <si>
    <t>ZLD</t>
  </si>
  <si>
    <t>Zelira Therapeutics Limited Ordinary</t>
  </si>
  <si>
    <t>ZMI</t>
  </si>
  <si>
    <t>Zinc of Ireland NL Ordinary</t>
  </si>
  <si>
    <t>ZMM</t>
  </si>
  <si>
    <t>Zimi Limited Ordinary</t>
  </si>
  <si>
    <t>ZNC</t>
  </si>
  <si>
    <t>Zenith Minerals Limited Ordinary</t>
  </si>
  <si>
    <t>ZNO</t>
  </si>
  <si>
    <t>Zoono Group Limited Ordinary</t>
  </si>
  <si>
    <t>ZYAU</t>
  </si>
  <si>
    <t>Global X S&amp;P/ASX 200 High Dividend ETF</t>
  </si>
  <si>
    <t>ZYUS</t>
  </si>
  <si>
    <t>Global X S&amp;P 500 High Yield Low Volatility ETF</t>
  </si>
  <si>
    <t>Code</t>
  </si>
  <si>
    <t>Name</t>
  </si>
  <si>
    <t>Change</t>
  </si>
  <si>
    <t>PctChange</t>
  </si>
  <si>
    <t>^AXJO</t>
  </si>
  <si>
    <t>ASX 200</t>
  </si>
  <si>
    <t>^AORD</t>
  </si>
  <si>
    <t>All Ords</t>
  </si>
  <si>
    <t>XKO</t>
  </si>
  <si>
    <t>ASX 300</t>
  </si>
  <si>
    <t>YAP=F</t>
  </si>
  <si>
    <t>ASX SPI 200 Futures</t>
  </si>
  <si>
    <t>^GSPC</t>
  </si>
  <si>
    <t>S&amp;P 500 (US)</t>
  </si>
  <si>
    <t>^DJI</t>
  </si>
  <si>
    <t>Dow Jones (US)</t>
  </si>
  <si>
    <t>^IXIC</t>
  </si>
  <si>
    <t>NASDAQ (US)</t>
  </si>
  <si>
    <t>^VIX</t>
  </si>
  <si>
    <t>Volatility Index</t>
  </si>
  <si>
    <t>^FTSE</t>
  </si>
  <si>
    <t>FTSE 100 (UK)</t>
  </si>
  <si>
    <t>^STOXX50E</t>
  </si>
  <si>
    <t>EURO STOXX 50 (EU)</t>
  </si>
  <si>
    <t>^N225</t>
  </si>
  <si>
    <t>Nikkei 225 (Japan)</t>
  </si>
  <si>
    <t>^HSI</t>
  </si>
  <si>
    <t>Hang Seng (HK)</t>
  </si>
  <si>
    <t>AUDUSD=X</t>
  </si>
  <si>
    <t>AUD / USD</t>
  </si>
  <si>
    <t>AUDTHB=X</t>
  </si>
  <si>
    <t>AUD / THB</t>
  </si>
  <si>
    <t>AUDGBP=X</t>
  </si>
  <si>
    <t>AUD / GBP</t>
  </si>
  <si>
    <t>AUDEUR=X</t>
  </si>
  <si>
    <t>AUD / EUR</t>
  </si>
  <si>
    <t>AUDJPY=X</t>
  </si>
  <si>
    <t>AUD / JPY</t>
  </si>
  <si>
    <t>AUDNZD=X</t>
  </si>
  <si>
    <t>AUD / NZD</t>
  </si>
  <si>
    <t>USDTHB=X</t>
  </si>
  <si>
    <t>USD / THB</t>
  </si>
  <si>
    <t>BTC-AUD</t>
  </si>
  <si>
    <t>Bitcoin (AUD)</t>
  </si>
  <si>
    <t>BTC-USD</t>
  </si>
  <si>
    <t>Bitcoin (USD)</t>
  </si>
  <si>
    <t>GC=F</t>
  </si>
  <si>
    <t>Gold Futures</t>
  </si>
  <si>
    <t>SI=F</t>
  </si>
  <si>
    <t>Silver Futures</t>
  </si>
  <si>
    <t>HG=F</t>
  </si>
  <si>
    <t>Copper Futures</t>
  </si>
  <si>
    <t>CL=F</t>
  </si>
  <si>
    <t>Crude Oil (WTI)</t>
  </si>
  <si>
    <t>BZ=F</t>
  </si>
  <si>
    <t>Brent Crude Oil</t>
  </si>
  <si>
    <t>TIO=F</t>
  </si>
  <si>
    <t>Iron Ore</t>
  </si>
  <si>
    <t>Google Finance</t>
  </si>
  <si>
    <t>google.com/finance</t>
  </si>
  <si>
    <t>Sharesight (Sign-in)</t>
  </si>
  <si>
    <t>sharesight.com/au/login/</t>
  </si>
  <si>
    <t>Market Index</t>
  </si>
  <si>
    <t>marketindex.com.au</t>
  </si>
  <si>
    <t>ASX Official</t>
  </si>
  <si>
    <t>asx.com.au</t>
  </si>
  <si>
    <t>Yahoo Finance</t>
  </si>
  <si>
    <t>au.finance.yahoo.com</t>
  </si>
  <si>
    <t>Motley Fool</t>
  </si>
  <si>
    <t>fool.com.au</t>
  </si>
  <si>
    <t>HotCopper</t>
  </si>
  <si>
    <t>hotcopper.com.au</t>
  </si>
  <si>
    <t>CommSec</t>
  </si>
  <si>
    <t>commsec.com.au</t>
  </si>
  <si>
    <t>TradingView</t>
  </si>
  <si>
    <t>tradingview.com</t>
  </si>
  <si>
    <t>AFR (Financial Review)</t>
  </si>
  <si>
    <t>afr.com</t>
  </si>
  <si>
    <t>Livewire</t>
  </si>
  <si>
    <t>livewiremarkets.com</t>
  </si>
  <si>
    <t>Smallcaps</t>
  </si>
  <si>
    <t>smallcaps.com.au</t>
  </si>
  <si>
    <t>Listcorp</t>
  </si>
  <si>
    <t>listcorp.com</t>
  </si>
  <si>
    <t>Marketwatch</t>
  </si>
  <si>
    <t>marketwatch.com</t>
  </si>
  <si>
    <t>Morningstar</t>
  </si>
  <si>
    <t>morningstar.com.au</t>
  </si>
  <si>
    <t>Stockhead</t>
  </si>
  <si>
    <t>stockhead.com.au</t>
  </si>
  <si>
    <t>Intelligent Investor</t>
  </si>
  <si>
    <t>intelligentinvestor.com.au</t>
  </si>
  <si>
    <t>Rask</t>
  </si>
  <si>
    <t>rask.com.au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</si>
</sst>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"/>
    <numFmt numFmtId="165" formatCode="&quot;$&quot;#,##0.00"/>
    <numFmt numFmtId="166" formatCode="&quot;$&quot;#,##0.0000"/>
    <numFmt numFmtId="167" formatCode="_(&quot;$&quot;* #,##0.00_);_(&quot;$&quot;* \(#,##0.00\);_(&quot;$&quot;* &quot;-&quot;??_);_(@_)"/>
  </numFmts>
  <fonts count="11">
    <font>
      <sz val="10.0"/>
      <color rgb="FF000000"/>
      <name val="Arial"/>
      <scheme val="minor"/>
    </font>
    <font>
      <sz val="16.0"/>
      <color theme="1"/>
      <name val="Arial"/>
    </font>
    <font>
      <color theme="1"/>
      <name val="Arial"/>
    </font>
    <font>
      <sz val="12.0"/>
      <color theme="1"/>
      <name val="Calibri"/>
    </font>
    <font>
      <sz val="11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Arial"/>
    </font>
    <font>
      <b/>
      <sz val="12.0"/>
      <color theme="1"/>
      <name val="Arial"/>
      <scheme val="minor"/>
    </font>
    <font>
      <b/>
      <sz val="12.0"/>
      <color rgb="FF1F1F1F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4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4" xfId="0" applyAlignment="1" applyFont="1" applyNumberFormat="1">
      <alignment horizontal="center" vertical="bottom"/>
    </xf>
    <xf borderId="0" fillId="0" fontId="2" numFmtId="4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4" xfId="0" applyAlignment="1" applyFont="1" applyNumberFormat="1">
      <alignment horizontal="center" vertical="bottom"/>
    </xf>
    <xf borderId="0" fillId="0" fontId="2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5" numFmtId="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6" numFmtId="4" xfId="0" applyFont="1" applyNumberFormat="1"/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6" numFmtId="165" xfId="0" applyFont="1" applyNumberFormat="1"/>
    <xf borderId="0" fillId="0" fontId="6" numFmtId="165" xfId="0" applyFont="1" applyNumberFormat="1"/>
    <xf borderId="0" fillId="0" fontId="6" numFmtId="165" xfId="0" applyAlignment="1" applyFont="1" applyNumberFormat="1">
      <alignment readingOrder="0"/>
    </xf>
    <xf borderId="0" fillId="0" fontId="6" numFmtId="0" xfId="0" applyFont="1"/>
    <xf borderId="0" fillId="0" fontId="6" numFmtId="4" xfId="0" applyAlignment="1" applyFont="1" applyNumberFormat="1">
      <alignment readingOrder="0"/>
    </xf>
    <xf borderId="0" fillId="0" fontId="6" numFmtId="166" xfId="0" applyFont="1" applyNumberFormat="1"/>
    <xf borderId="0" fillId="0" fontId="6" numFmtId="167" xfId="0" applyFont="1" applyNumberFormat="1"/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0" fillId="0" fontId="8" numFmtId="0" xfId="0" applyFont="1"/>
    <xf borderId="0" fillId="0" fontId="7" numFmtId="0" xfId="0" applyAlignment="1" applyFont="1">
      <alignment horizontal="right" vertical="bottom"/>
    </xf>
    <xf borderId="0" fillId="0" fontId="9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horizontal="left" readingOrder="0"/>
    </xf>
    <xf borderId="0" fillId="0" fontId="10" numFmtId="0" xfId="0" applyAlignment="1" applyFont="1">
      <alignment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://livewiremarkets.com" TargetMode="External"/><Relationship Id="rId10" Type="http://schemas.openxmlformats.org/officeDocument/2006/relationships/hyperlink" Target="http://afr.com" TargetMode="External"/><Relationship Id="rId13" Type="http://schemas.openxmlformats.org/officeDocument/2006/relationships/hyperlink" Target="http://listcorp.com" TargetMode="External"/><Relationship Id="rId12" Type="http://schemas.openxmlformats.org/officeDocument/2006/relationships/hyperlink" Target="http://smallcaps.com.au" TargetMode="External"/><Relationship Id="rId1" Type="http://schemas.openxmlformats.org/officeDocument/2006/relationships/hyperlink" Target="http://google.com/finance" TargetMode="External"/><Relationship Id="rId2" Type="http://schemas.openxmlformats.org/officeDocument/2006/relationships/hyperlink" Target="http://sharesight.com/au/login/" TargetMode="External"/><Relationship Id="rId3" Type="http://schemas.openxmlformats.org/officeDocument/2006/relationships/hyperlink" Target="http://marketindex.com.au" TargetMode="External"/><Relationship Id="rId4" Type="http://schemas.openxmlformats.org/officeDocument/2006/relationships/hyperlink" Target="http://asx.com.au" TargetMode="External"/><Relationship Id="rId9" Type="http://schemas.openxmlformats.org/officeDocument/2006/relationships/hyperlink" Target="http://tradingview.com" TargetMode="External"/><Relationship Id="rId15" Type="http://schemas.openxmlformats.org/officeDocument/2006/relationships/hyperlink" Target="http://morningstar.com.au" TargetMode="External"/><Relationship Id="rId14" Type="http://schemas.openxmlformats.org/officeDocument/2006/relationships/hyperlink" Target="http://marketwatch.com" TargetMode="External"/><Relationship Id="rId17" Type="http://schemas.openxmlformats.org/officeDocument/2006/relationships/hyperlink" Target="http://intelligentinvestor.com.au" TargetMode="External"/><Relationship Id="rId16" Type="http://schemas.openxmlformats.org/officeDocument/2006/relationships/hyperlink" Target="http://stockhead.com.au" TargetMode="External"/><Relationship Id="rId5" Type="http://schemas.openxmlformats.org/officeDocument/2006/relationships/hyperlink" Target="http://au.finance.yahoo.com" TargetMode="External"/><Relationship Id="rId19" Type="http://schemas.openxmlformats.org/officeDocument/2006/relationships/drawing" Target="../drawings/drawing4.xml"/><Relationship Id="rId6" Type="http://schemas.openxmlformats.org/officeDocument/2006/relationships/hyperlink" Target="http://fool.com.au" TargetMode="External"/><Relationship Id="rId18" Type="http://schemas.openxmlformats.org/officeDocument/2006/relationships/hyperlink" Target="http://rask.com.au" TargetMode="External"/><Relationship Id="rId7" Type="http://schemas.openxmlformats.org/officeDocument/2006/relationships/hyperlink" Target="http://hotcopper.com.au" TargetMode="External"/><Relationship Id="rId8" Type="http://schemas.openxmlformats.org/officeDocument/2006/relationships/hyperlink" Target="http://commsec.com.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38"/>
    <col customWidth="1" min="2" max="2" width="41.25"/>
    <col customWidth="1" min="3" max="3" width="36.63"/>
    <col customWidth="1" min="9" max="9" width="14.0"/>
    <col customWidth="1" min="11" max="11" width="20.0"/>
    <col customWidth="1" min="12" max="12" width="15.25"/>
    <col customWidth="1" min="13" max="13" width="14.88"/>
    <col customWidth="1" min="14" max="14" width="19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6">
        <v>360.0</v>
      </c>
      <c r="B2" s="6" t="s">
        <v>14</v>
      </c>
      <c r="C2" s="5" t="s">
        <v>15</v>
      </c>
      <c r="D2" s="7">
        <f>IFERROR(__xludf.DUMMYFUNCTION("GOOGLEFINANCE(""ASX:360"", ""price"")"),31.55)</f>
        <v>31.55</v>
      </c>
      <c r="E2" s="8">
        <f>IFERROR(__xludf.DUMMYFUNCTION("GOOGLEFINANCE(""ASX:360"", ""closeyest"")"),31.0)</f>
        <v>31</v>
      </c>
      <c r="F2" s="9">
        <f>IFERROR(__xludf.DUMMYFUNCTION("GOOGLEFINANCE(""ASX:360"", ""pe"")"),174.54)</f>
        <v>174.54</v>
      </c>
      <c r="G2" s="9">
        <f>IFERROR(__xludf.DUMMYFUNCTION("GOOGLEFINANCE(""ASX:360"", ""high52"")"),55.87)</f>
        <v>55.87</v>
      </c>
      <c r="H2" s="9">
        <f>IFERROR(__xludf.DUMMYFUNCTION("GOOGLEFINANCE(""ASX:360"", ""low52"")"),14.93)</f>
        <v>14.93</v>
      </c>
      <c r="I2" s="9">
        <f>IFERROR(__xludf.DUMMYFUNCTION("GOOGLEFINANCE(""ASX:360"", ""marketcap"")"),7.439972535E9)</f>
        <v>7439972535</v>
      </c>
      <c r="J2" s="5"/>
      <c r="K2" s="5"/>
      <c r="L2" s="5"/>
      <c r="M2" s="5"/>
      <c r="N2" s="10">
        <v>179.6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6" t="s">
        <v>16</v>
      </c>
      <c r="B3" s="6" t="s">
        <v>17</v>
      </c>
      <c r="C3" s="5" t="s">
        <v>18</v>
      </c>
      <c r="D3" s="7">
        <f>IFERROR(__xludf.DUMMYFUNCTION("GOOGLEFINANCE(""ASX:10X"", ""price"")"),0.2)</f>
        <v>0.2</v>
      </c>
      <c r="E3" s="8">
        <f>IFERROR(__xludf.DUMMYFUNCTION("GOOGLEFINANCE(""ASX:10X"", ""closeyest"")"),0.2)</f>
        <v>0.2</v>
      </c>
      <c r="F3" s="5" t="str">
        <f>IFERROR(__xludf.DUMMYFUNCTION("GOOGLEFINANCE(""ASX:10X"", ""pe"")"),"#N/A")</f>
        <v>#N/A</v>
      </c>
      <c r="G3" s="9">
        <f>IFERROR(__xludf.DUMMYFUNCTION("GOOGLEFINANCE(""ASX:10X"", ""high52"")"),0.2)</f>
        <v>0.2</v>
      </c>
      <c r="H3" s="9">
        <f>IFERROR(__xludf.DUMMYFUNCTION("GOOGLEFINANCE(""ASX:10X"", ""low52"")"),0.17)</f>
        <v>0.17</v>
      </c>
      <c r="I3" s="9" t="str">
        <f>IFERROR(__xludf.DUMMYFUNCTION("GOOGLEFINANCE(""ASX:10X"", ""marketcap"")"),"#N/A")</f>
        <v>#N/A</v>
      </c>
      <c r="J3" s="9">
        <v>0.004</v>
      </c>
      <c r="K3" s="9">
        <v>0.003</v>
      </c>
      <c r="L3" s="9">
        <v>0.015</v>
      </c>
      <c r="M3" s="9">
        <v>0.002</v>
      </c>
      <c r="N3" s="11" t="s">
        <v>19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6" t="s">
        <v>20</v>
      </c>
      <c r="B4" s="6" t="s">
        <v>21</v>
      </c>
      <c r="C4" s="5" t="s">
        <v>22</v>
      </c>
      <c r="D4" s="7">
        <f>IFERROR(__xludf.DUMMYFUNCTION("GOOGLEFINANCE(""ASX:14D"", ""price"")"),0.04)</f>
        <v>0.04</v>
      </c>
      <c r="E4" s="8">
        <f>IFERROR(__xludf.DUMMYFUNCTION("GOOGLEFINANCE(""ASX:14D"", ""closeyest"")"),0.04)</f>
        <v>0.04</v>
      </c>
      <c r="F4" s="5" t="str">
        <f>IFERROR(__xludf.DUMMYFUNCTION("GOOGLEFINANCE(""ASX:14D"", ""pe"")"),"#N/A")</f>
        <v>#N/A</v>
      </c>
      <c r="G4" s="9">
        <f>IFERROR(__xludf.DUMMYFUNCTION("GOOGLEFINANCE(""ASX:14D"", ""high52"")"),0.11)</f>
        <v>0.11</v>
      </c>
      <c r="H4" s="9">
        <f>IFERROR(__xludf.DUMMYFUNCTION("GOOGLEFINANCE(""ASX:14D"", ""low52"")"),0.01)</f>
        <v>0.01</v>
      </c>
      <c r="I4" s="9">
        <f>IFERROR(__xludf.DUMMYFUNCTION("GOOGLEFINANCE(""ASX:14D"", ""marketcap"")"),1.5874639E7)</f>
        <v>15874639</v>
      </c>
      <c r="J4" s="5"/>
      <c r="K4" s="5"/>
      <c r="L4" s="5"/>
      <c r="M4" s="5"/>
      <c r="N4" s="11" t="s">
        <v>19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6" t="s">
        <v>23</v>
      </c>
      <c r="B5" s="6" t="s">
        <v>24</v>
      </c>
      <c r="C5" s="5" t="s">
        <v>25</v>
      </c>
      <c r="D5" s="7">
        <f>IFERROR(__xludf.DUMMYFUNCTION("GOOGLEFINANCE(""ASX:1AD"", ""price"")"),0.01)</f>
        <v>0.01</v>
      </c>
      <c r="E5" s="8">
        <f>IFERROR(__xludf.DUMMYFUNCTION("GOOGLEFINANCE(""ASX:1AD"", ""closeyest"")"),0.01)</f>
        <v>0.01</v>
      </c>
      <c r="F5" s="5" t="str">
        <f>IFERROR(__xludf.DUMMYFUNCTION("GOOGLEFINANCE(""ASX:1AD"", ""pe"")"),"#N/A")</f>
        <v>#N/A</v>
      </c>
      <c r="G5" s="9">
        <f>IFERROR(__xludf.DUMMYFUNCTION("GOOGLEFINANCE(""ASX:1AD"", ""high52"")"),0.02)</f>
        <v>0.02</v>
      </c>
      <c r="H5" s="9">
        <f>IFERROR(__xludf.DUMMYFUNCTION("GOOGLEFINANCE(""ASX:1AD"", ""low52"")"),0.0)</f>
        <v>0</v>
      </c>
      <c r="I5" s="9">
        <f>IFERROR(__xludf.DUMMYFUNCTION("GOOGLEFINANCE(""ASX:1AD"", ""marketcap"")"),5916855.0)</f>
        <v>5916855</v>
      </c>
      <c r="J5" s="12">
        <v>0.004</v>
      </c>
      <c r="K5" s="12">
        <v>0.003</v>
      </c>
      <c r="L5" s="12">
        <v>0.015</v>
      </c>
      <c r="M5" s="12">
        <v>0.002</v>
      </c>
      <c r="N5" s="11" t="s">
        <v>19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6" t="s">
        <v>26</v>
      </c>
      <c r="B6" s="6" t="s">
        <v>27</v>
      </c>
      <c r="C6" s="5" t="s">
        <v>28</v>
      </c>
      <c r="D6" s="7">
        <f>IFERROR(__xludf.DUMMYFUNCTION("GOOGLEFINANCE(""ASX:1AE"", ""price"")"),0.1)</f>
        <v>0.1</v>
      </c>
      <c r="E6" s="8">
        <f>IFERROR(__xludf.DUMMYFUNCTION("GOOGLEFINANCE(""ASX:1AE"", ""closeyest"")"),0.1)</f>
        <v>0.1</v>
      </c>
      <c r="F6" s="5" t="str">
        <f>IFERROR(__xludf.DUMMYFUNCTION("GOOGLEFINANCE(""ASX:1AE"", ""pe"")"),"#N/A")</f>
        <v>#N/A</v>
      </c>
      <c r="G6" s="9">
        <f>IFERROR(__xludf.DUMMYFUNCTION("GOOGLEFINANCE(""ASX:1AE"", ""high52"")"),0.12)</f>
        <v>0.12</v>
      </c>
      <c r="H6" s="9">
        <f>IFERROR(__xludf.DUMMYFUNCTION("GOOGLEFINANCE(""ASX:1AE"", ""low52"")"),0.03)</f>
        <v>0.03</v>
      </c>
      <c r="I6" s="9">
        <f>IFERROR(__xludf.DUMMYFUNCTION("GOOGLEFINANCE(""ASX:1AE"", ""marketcap"")"),1.7572108E7)</f>
        <v>17572108</v>
      </c>
      <c r="J6" s="5"/>
      <c r="K6" s="5"/>
      <c r="L6" s="5"/>
      <c r="M6" s="5"/>
      <c r="N6" s="11" t="s">
        <v>19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6" t="s">
        <v>26</v>
      </c>
      <c r="B7" s="6" t="s">
        <v>27</v>
      </c>
      <c r="C7" s="5" t="s">
        <v>28</v>
      </c>
      <c r="D7" s="7">
        <f>IFERROR(__xludf.DUMMYFUNCTION("GOOGLEFINANCE(""ASX:1AE"", ""price"")"),0.1)</f>
        <v>0.1</v>
      </c>
      <c r="E7" s="8">
        <f>IFERROR(__xludf.DUMMYFUNCTION("GOOGLEFINANCE(""ASX:1AE"", ""closeyest"")"),0.1)</f>
        <v>0.1</v>
      </c>
      <c r="F7" s="5" t="str">
        <f>IFERROR(__xludf.DUMMYFUNCTION("GOOGLEFINANCE(""ASX:1AE"", ""pe"")"),"#N/A")</f>
        <v>#N/A</v>
      </c>
      <c r="G7" s="9">
        <f>IFERROR(__xludf.DUMMYFUNCTION("GOOGLEFINANCE(""ASX:1AE"", ""high52"")"),0.12)</f>
        <v>0.12</v>
      </c>
      <c r="H7" s="9">
        <f>IFERROR(__xludf.DUMMYFUNCTION("GOOGLEFINANCE(""ASX:1AE"", ""low52"")"),0.03)</f>
        <v>0.03</v>
      </c>
      <c r="I7" s="9">
        <f>IFERROR(__xludf.DUMMYFUNCTION("GOOGLEFINANCE(""ASX:1AE"", ""marketcap"")"),1.7572108E7)</f>
        <v>17572108</v>
      </c>
      <c r="J7" s="5"/>
      <c r="K7" s="5"/>
      <c r="L7" s="5"/>
      <c r="M7" s="5"/>
      <c r="N7" s="11" t="s">
        <v>19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13" t="s">
        <v>26</v>
      </c>
      <c r="B8" s="13" t="s">
        <v>27</v>
      </c>
      <c r="C8" s="14" t="s">
        <v>28</v>
      </c>
      <c r="D8" s="15">
        <f>IFERROR(__xludf.DUMMYFUNCTION("GOOGLEFINANCE(""ASX:1AE"", ""price"")"),0.1)</f>
        <v>0.1</v>
      </c>
      <c r="E8" s="8">
        <f>IFERROR(__xludf.DUMMYFUNCTION("GOOGLEFINANCE(""ASX:1AE"", ""closeyest"")"),0.1)</f>
        <v>0.1</v>
      </c>
      <c r="F8" s="5" t="str">
        <f>IFERROR(__xludf.DUMMYFUNCTION("GOOGLEFINANCE(""ASX:1AE"", ""pe"")"),"#N/A")</f>
        <v>#N/A</v>
      </c>
      <c r="G8" s="9">
        <f>IFERROR(__xludf.DUMMYFUNCTION("GOOGLEFINANCE(""ASX:1AE"", ""high52"")"),0.12)</f>
        <v>0.12</v>
      </c>
      <c r="H8" s="9">
        <f>IFERROR(__xludf.DUMMYFUNCTION("GOOGLEFINANCE(""ASX:1AE"", ""low52"")"),0.03)</f>
        <v>0.03</v>
      </c>
      <c r="I8" s="9">
        <f>IFERROR(__xludf.DUMMYFUNCTION("GOOGLEFINANCE(""ASX:1AE"", ""marketcap"")"),1.7572108E7)</f>
        <v>17572108</v>
      </c>
      <c r="J8" s="5"/>
      <c r="K8" s="5"/>
      <c r="L8" s="5"/>
      <c r="M8" s="5"/>
      <c r="N8" s="11" t="s">
        <v>19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6" t="s">
        <v>29</v>
      </c>
      <c r="B9" s="6" t="s">
        <v>30</v>
      </c>
      <c r="C9" s="5" t="s">
        <v>25</v>
      </c>
      <c r="D9" s="7">
        <f>IFERROR(__xludf.DUMMYFUNCTION("GOOGLEFINANCE(""ASX:1AI"", ""price"")"),0.02)</f>
        <v>0.02</v>
      </c>
      <c r="E9" s="8">
        <f>IFERROR(__xludf.DUMMYFUNCTION("GOOGLEFINANCE(""ASX:1AI"", ""closeyest"")"),0.01)</f>
        <v>0.01</v>
      </c>
      <c r="F9" s="5" t="str">
        <f>IFERROR(__xludf.DUMMYFUNCTION("GOOGLEFINANCE(""ASX:1AI"", ""pe"")"),"#N/A")</f>
        <v>#N/A</v>
      </c>
      <c r="G9" s="9">
        <f>IFERROR(__xludf.DUMMYFUNCTION("GOOGLEFINANCE(""ASX:1AI"", ""high52"")"),0.02)</f>
        <v>0.02</v>
      </c>
      <c r="H9" s="9">
        <f>IFERROR(__xludf.DUMMYFUNCTION("GOOGLEFINANCE(""ASX:1AI"", ""low52"")"),0.01)</f>
        <v>0.01</v>
      </c>
      <c r="I9" s="9">
        <f>IFERROR(__xludf.DUMMYFUNCTION("GOOGLEFINANCE(""ASX:1AI"", ""marketcap"")"),3.5463974E7)</f>
        <v>35463974</v>
      </c>
      <c r="J9" s="5"/>
      <c r="K9" s="5"/>
      <c r="L9" s="5"/>
      <c r="M9" s="5"/>
      <c r="N9" s="11" t="s">
        <v>19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6" t="s">
        <v>31</v>
      </c>
      <c r="B10" s="6" t="s">
        <v>32</v>
      </c>
      <c r="C10" s="5" t="s">
        <v>33</v>
      </c>
      <c r="D10" s="7">
        <f>IFERROR(__xludf.DUMMYFUNCTION("GOOGLEFINANCE(""ASX:1CG"", ""price"")"),0.01)</f>
        <v>0.01</v>
      </c>
      <c r="E10" s="8">
        <f>IFERROR(__xludf.DUMMYFUNCTION("GOOGLEFINANCE(""ASX:1CG"", ""closeyest"")"),0.01)</f>
        <v>0.01</v>
      </c>
      <c r="F10" s="5" t="str">
        <f>IFERROR(__xludf.DUMMYFUNCTION("GOOGLEFINANCE(""ASX:1CG"", ""pe"")"),"#N/A")</f>
        <v>#N/A</v>
      </c>
      <c r="G10" s="9">
        <f>IFERROR(__xludf.DUMMYFUNCTION("GOOGLEFINANCE(""ASX:1CG"", ""high52"")"),0.01)</f>
        <v>0.01</v>
      </c>
      <c r="H10" s="9">
        <f>IFERROR(__xludf.DUMMYFUNCTION("GOOGLEFINANCE(""ASX:1CG"", ""low52"")"),0.01)</f>
        <v>0.01</v>
      </c>
      <c r="I10" s="9">
        <f>IFERROR(__xludf.DUMMYFUNCTION("GOOGLEFINANCE(""ASX:1CG"", ""marketcap"")"),1.4380149E7)</f>
        <v>14380149</v>
      </c>
      <c r="J10" s="5"/>
      <c r="K10" s="5"/>
      <c r="L10" s="5"/>
      <c r="M10" s="5"/>
      <c r="N10" s="11" t="s">
        <v>19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6" t="s">
        <v>34</v>
      </c>
      <c r="B11" s="6" t="s">
        <v>35</v>
      </c>
      <c r="C11" s="5" t="s">
        <v>36</v>
      </c>
      <c r="D11" s="7">
        <f>IFERROR(__xludf.DUMMYFUNCTION("GOOGLEFINANCE(""ASX:1GOV"", ""price"")"),51.42)</f>
        <v>51.42</v>
      </c>
      <c r="E11" s="8">
        <f>IFERROR(__xludf.DUMMYFUNCTION("GOOGLEFINANCE(""ASX:1GOV"", ""closeyest"")"),51.4)</f>
        <v>51.4</v>
      </c>
      <c r="F11" s="5" t="str">
        <f>IFERROR(__xludf.DUMMYFUNCTION("GOOGLEFINANCE(""ASX:1GOV"", ""pe"")"),"#N/A")</f>
        <v>#N/A</v>
      </c>
      <c r="G11" s="9">
        <f>IFERROR(__xludf.DUMMYFUNCTION("GOOGLEFINANCE(""ASX:1GOV"", ""high52"")"),52.5)</f>
        <v>52.5</v>
      </c>
      <c r="H11" s="9">
        <f>IFERROR(__xludf.DUMMYFUNCTION("GOOGLEFINANCE(""ASX:1GOV"", ""low52"")"),50.85)</f>
        <v>50.85</v>
      </c>
      <c r="I11" s="9" t="str">
        <f>IFERROR(__xludf.DUMMYFUNCTION("GOOGLEFINANCE(""ASX:1GOV"", ""marketcap"")"),"#N/A")</f>
        <v>#N/A</v>
      </c>
      <c r="J11" s="5"/>
      <c r="K11" s="5"/>
      <c r="L11" s="5"/>
      <c r="M11" s="5"/>
      <c r="N11" s="11" t="s">
        <v>19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6" t="s">
        <v>37</v>
      </c>
      <c r="B12" s="6" t="s">
        <v>38</v>
      </c>
      <c r="C12" s="5" t="s">
        <v>39</v>
      </c>
      <c r="D12" s="7">
        <f>IFERROR(__xludf.DUMMYFUNCTION("GOOGLEFINANCE(""ASX:1MC"", ""price"")"),0.05)</f>
        <v>0.05</v>
      </c>
      <c r="E12" s="8">
        <f>IFERROR(__xludf.DUMMYFUNCTION("GOOGLEFINANCE(""ASX:1MC"", ""closeyest"")"),0.05)</f>
        <v>0.05</v>
      </c>
      <c r="F12" s="5" t="str">
        <f>IFERROR(__xludf.DUMMYFUNCTION("GOOGLEFINANCE(""ASX:1MC"", ""pe"")"),"#N/A")</f>
        <v>#N/A</v>
      </c>
      <c r="G12" s="9">
        <f>IFERROR(__xludf.DUMMYFUNCTION("GOOGLEFINANCE(""ASX:1MC"", ""high52"")"),0.11)</f>
        <v>0.11</v>
      </c>
      <c r="H12" s="9">
        <f>IFERROR(__xludf.DUMMYFUNCTION("GOOGLEFINANCE(""ASX:1MC"", ""low52"")"),0.01)</f>
        <v>0.01</v>
      </c>
      <c r="I12" s="9">
        <f>IFERROR(__xludf.DUMMYFUNCTION("GOOGLEFINANCE(""ASX:1MC"", ""marketcap"")"),1.8701459E7)</f>
        <v>18701459</v>
      </c>
      <c r="J12" s="5"/>
      <c r="K12" s="5"/>
      <c r="L12" s="5"/>
      <c r="M12" s="5"/>
      <c r="N12" s="11" t="s">
        <v>19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6" t="s">
        <v>40</v>
      </c>
      <c r="B13" s="6" t="s">
        <v>41</v>
      </c>
      <c r="C13" s="5" t="s">
        <v>15</v>
      </c>
      <c r="D13" s="7">
        <f>IFERROR(__xludf.DUMMYFUNCTION("GOOGLEFINANCE(""ASX:1TT"", ""price"")"),0.0)</f>
        <v>0</v>
      </c>
      <c r="E13" s="8">
        <f>IFERROR(__xludf.DUMMYFUNCTION("GOOGLEFINANCE(""ASX:1TT"", ""closeyest"")"),0.0)</f>
        <v>0</v>
      </c>
      <c r="F13" s="5" t="str">
        <f>IFERROR(__xludf.DUMMYFUNCTION("GOOGLEFINANCE(""ASX:1TT"", ""pe"")"),"#N/A")</f>
        <v>#N/A</v>
      </c>
      <c r="G13" s="9">
        <f>IFERROR(__xludf.DUMMYFUNCTION("GOOGLEFINANCE(""ASX:1TT"", ""high52"")"),0.1)</f>
        <v>0.1</v>
      </c>
      <c r="H13" s="9">
        <f>IFERROR(__xludf.DUMMYFUNCTION("GOOGLEFINANCE(""ASX:1TT"", ""low52"")"),0.0)</f>
        <v>0</v>
      </c>
      <c r="I13" s="9">
        <f>IFERROR(__xludf.DUMMYFUNCTION("GOOGLEFINANCE(""ASX:1TT"", ""marketcap"")"),78184.0)</f>
        <v>78184</v>
      </c>
      <c r="J13" s="12">
        <v>0.001</v>
      </c>
      <c r="K13" s="12">
        <v>0.0015</v>
      </c>
      <c r="L13" s="12">
        <v>0.1</v>
      </c>
      <c r="M13" s="12">
        <v>0.001</v>
      </c>
      <c r="N13" s="11" t="s">
        <v>19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6" t="s">
        <v>42</v>
      </c>
      <c r="B14" s="6" t="s">
        <v>43</v>
      </c>
      <c r="C14" s="5" t="s">
        <v>36</v>
      </c>
      <c r="D14" s="7">
        <f>IFERROR(__xludf.DUMMYFUNCTION("GOOGLEFINANCE(""ASX:28BB"", ""price"")"),24.95)</f>
        <v>24.95</v>
      </c>
      <c r="E14" s="8">
        <f>IFERROR(__xludf.DUMMYFUNCTION("GOOGLEFINANCE(""ASX:28BB"", ""closeyest"")"),24.95)</f>
        <v>24.95</v>
      </c>
      <c r="F14" s="5" t="str">
        <f>IFERROR(__xludf.DUMMYFUNCTION("GOOGLEFINANCE(""ASX:28BB"", ""pe"")"),"#N/A")</f>
        <v>#N/A</v>
      </c>
      <c r="G14" s="9">
        <f>IFERROR(__xludf.DUMMYFUNCTION("GOOGLEFINANCE(""ASX:28BB"", ""high52"")"),25.28)</f>
        <v>25.28</v>
      </c>
      <c r="H14" s="9">
        <f>IFERROR(__xludf.DUMMYFUNCTION("GOOGLEFINANCE(""ASX:28BB"", ""low52"")"),24.88)</f>
        <v>24.88</v>
      </c>
      <c r="I14" s="9" t="str">
        <f>IFERROR(__xludf.DUMMYFUNCTION("GOOGLEFINANCE(""ASX:28BB"", ""marketcap"")"),"#N/A")</f>
        <v>#N/A</v>
      </c>
      <c r="J14" s="5"/>
      <c r="K14" s="5"/>
      <c r="L14" s="5"/>
      <c r="M14" s="5"/>
      <c r="N14" s="11" t="s">
        <v>19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6" t="s">
        <v>44</v>
      </c>
      <c r="B15" s="6" t="s">
        <v>45</v>
      </c>
      <c r="C15" s="5" t="s">
        <v>36</v>
      </c>
      <c r="D15" s="7">
        <f>IFERROR(__xludf.DUMMYFUNCTION("GOOGLEFINANCE(""ASX:29BB"", ""price"")"),24.8)</f>
        <v>24.8</v>
      </c>
      <c r="E15" s="8">
        <f>IFERROR(__xludf.DUMMYFUNCTION("GOOGLEFINANCE(""ASX:29BB"", ""closeyest"")"),24.8)</f>
        <v>24.8</v>
      </c>
      <c r="F15" s="5" t="str">
        <f>IFERROR(__xludf.DUMMYFUNCTION("GOOGLEFINANCE(""ASX:29BB"", ""pe"")"),"#N/A")</f>
        <v>#N/A</v>
      </c>
      <c r="G15" s="9">
        <f>IFERROR(__xludf.DUMMYFUNCTION("GOOGLEFINANCE(""ASX:29BB"", ""high52"")"),25.3)</f>
        <v>25.3</v>
      </c>
      <c r="H15" s="9">
        <f>IFERROR(__xludf.DUMMYFUNCTION("GOOGLEFINANCE(""ASX:29BB"", ""low52"")"),24.8)</f>
        <v>24.8</v>
      </c>
      <c r="I15" s="9" t="str">
        <f>IFERROR(__xludf.DUMMYFUNCTION("GOOGLEFINANCE(""ASX:29BB"", ""marketcap"")"),"#N/A")</f>
        <v>#N/A</v>
      </c>
      <c r="J15" s="5"/>
      <c r="K15" s="5"/>
      <c r="L15" s="5"/>
      <c r="M15" s="5"/>
      <c r="N15" s="11" t="s">
        <v>19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6" t="s">
        <v>46</v>
      </c>
      <c r="B16" s="6" t="s">
        <v>47</v>
      </c>
      <c r="C16" s="5" t="s">
        <v>18</v>
      </c>
      <c r="D16" s="7">
        <f>IFERROR(__xludf.DUMMYFUNCTION("GOOGLEFINANCE(""ASX:29M"", ""price"")"),0.64)</f>
        <v>0.64</v>
      </c>
      <c r="E16" s="8">
        <f>IFERROR(__xludf.DUMMYFUNCTION("GOOGLEFINANCE(""ASX:29M"", ""closeyest"")"),0.62)</f>
        <v>0.62</v>
      </c>
      <c r="F16" s="5" t="str">
        <f>IFERROR(__xludf.DUMMYFUNCTION("GOOGLEFINANCE(""ASX:29M"", ""pe"")"),"#N/A")</f>
        <v>#N/A</v>
      </c>
      <c r="G16" s="9">
        <f>IFERROR(__xludf.DUMMYFUNCTION("GOOGLEFINANCE(""ASX:29M"", ""high52"")"),0.65)</f>
        <v>0.65</v>
      </c>
      <c r="H16" s="9">
        <f>IFERROR(__xludf.DUMMYFUNCTION("GOOGLEFINANCE(""ASX:29M"", ""low52"")"),0.11)</f>
        <v>0.11</v>
      </c>
      <c r="I16" s="9">
        <f>IFERROR(__xludf.DUMMYFUNCTION("GOOGLEFINANCE(""ASX:29M"", ""marketcap"")"),8.71433346E8)</f>
        <v>871433346</v>
      </c>
      <c r="J16" s="5"/>
      <c r="K16" s="5"/>
      <c r="L16" s="5"/>
      <c r="M16" s="5"/>
      <c r="N16" s="11" t="s">
        <v>19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6" t="s">
        <v>48</v>
      </c>
      <c r="B17" s="6" t="s">
        <v>49</v>
      </c>
      <c r="C17" s="5" t="s">
        <v>36</v>
      </c>
      <c r="D17" s="7">
        <f>IFERROR(__xludf.DUMMYFUNCTION("GOOGLEFINANCE(""ASX:30BB"", ""price"")"),24.75)</f>
        <v>24.75</v>
      </c>
      <c r="E17" s="8">
        <f>IFERROR(__xludf.DUMMYFUNCTION("GOOGLEFINANCE(""ASX:30BB"", ""closeyest"")"),24.72)</f>
        <v>24.72</v>
      </c>
      <c r="F17" s="5" t="str">
        <f>IFERROR(__xludf.DUMMYFUNCTION("GOOGLEFINANCE(""ASX:30BB"", ""pe"")"),"#N/A")</f>
        <v>#N/A</v>
      </c>
      <c r="G17" s="9">
        <f>IFERROR(__xludf.DUMMYFUNCTION("GOOGLEFINANCE(""ASX:30BB"", ""high52"")"),25.47)</f>
        <v>25.47</v>
      </c>
      <c r="H17" s="9">
        <f>IFERROR(__xludf.DUMMYFUNCTION("GOOGLEFINANCE(""ASX:30BB"", ""low52"")"),24.64)</f>
        <v>24.64</v>
      </c>
      <c r="I17" s="9" t="str">
        <f>IFERROR(__xludf.DUMMYFUNCTION("GOOGLEFINANCE(""ASX:30BB"", ""marketcap"")"),"#N/A")</f>
        <v>#N/A</v>
      </c>
      <c r="J17" s="5"/>
      <c r="K17" s="5"/>
      <c r="L17" s="5"/>
      <c r="M17" s="5"/>
      <c r="N17" s="11" t="s">
        <v>19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6" t="s">
        <v>50</v>
      </c>
      <c r="B18" s="6" t="s">
        <v>51</v>
      </c>
      <c r="C18" s="5" t="s">
        <v>52</v>
      </c>
      <c r="D18" s="7">
        <f>IFERROR(__xludf.DUMMYFUNCTION("GOOGLEFINANCE(""ASX:3DA"", ""price"")"),0.32)</f>
        <v>0.32</v>
      </c>
      <c r="E18" s="8">
        <f>IFERROR(__xludf.DUMMYFUNCTION("GOOGLEFINANCE(""ASX:3DA"", ""closeyest"")"),0.27)</f>
        <v>0.27</v>
      </c>
      <c r="F18" s="5" t="str">
        <f>IFERROR(__xludf.DUMMYFUNCTION("GOOGLEFINANCE(""ASX:3DA"", ""pe"")"),"#N/A")</f>
        <v>#N/A</v>
      </c>
      <c r="G18" s="9">
        <f>IFERROR(__xludf.DUMMYFUNCTION("GOOGLEFINANCE(""ASX:3DA"", ""high52"")"),0.54)</f>
        <v>0.54</v>
      </c>
      <c r="H18" s="9">
        <f>IFERROR(__xludf.DUMMYFUNCTION("GOOGLEFINANCE(""ASX:3DA"", ""low52"")"),0.19)</f>
        <v>0.19</v>
      </c>
      <c r="I18" s="9">
        <f>IFERROR(__xludf.DUMMYFUNCTION("GOOGLEFINANCE(""ASX:3DA"", ""marketcap"")"),3.00063327E8)</f>
        <v>300063327</v>
      </c>
      <c r="J18" s="5"/>
      <c r="K18" s="5"/>
      <c r="L18" s="5"/>
      <c r="M18" s="5"/>
      <c r="N18" s="11" t="s">
        <v>19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6" t="s">
        <v>53</v>
      </c>
      <c r="B19" s="6" t="s">
        <v>54</v>
      </c>
      <c r="C19" s="5" t="s">
        <v>15</v>
      </c>
      <c r="D19" s="7">
        <f>IFERROR(__xludf.DUMMYFUNCTION("GOOGLEFINANCE(""ASX:3DP"", ""price"")"),0.04)</f>
        <v>0.04</v>
      </c>
      <c r="E19" s="8">
        <f>IFERROR(__xludf.DUMMYFUNCTION("GOOGLEFINANCE(""ASX:3DP"", ""closeyest"")"),0.04)</f>
        <v>0.04</v>
      </c>
      <c r="F19" s="5" t="str">
        <f>IFERROR(__xludf.DUMMYFUNCTION("GOOGLEFINANCE(""ASX:3DP"", ""pe"")"),"#N/A")</f>
        <v>#N/A</v>
      </c>
      <c r="G19" s="9">
        <f>IFERROR(__xludf.DUMMYFUNCTION("GOOGLEFINANCE(""ASX:3DP"", ""high52"")"),0.11)</f>
        <v>0.11</v>
      </c>
      <c r="H19" s="9">
        <f>IFERROR(__xludf.DUMMYFUNCTION("GOOGLEFINANCE(""ASX:3DP"", ""low52"")"),0.04)</f>
        <v>0.04</v>
      </c>
      <c r="I19" s="9">
        <f>IFERROR(__xludf.DUMMYFUNCTION("GOOGLEFINANCE(""ASX:3DP"", ""marketcap"")"),2.9063273E7)</f>
        <v>29063273</v>
      </c>
      <c r="J19" s="5"/>
      <c r="K19" s="5"/>
      <c r="L19" s="5"/>
      <c r="M19" s="5"/>
      <c r="N19" s="11" t="s">
        <v>19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6" t="s">
        <v>55</v>
      </c>
      <c r="B20" s="6" t="s">
        <v>56</v>
      </c>
      <c r="C20" s="5" t="s">
        <v>15</v>
      </c>
      <c r="D20" s="7">
        <f>IFERROR(__xludf.DUMMYFUNCTION("GOOGLEFINANCE(""ASX:3PL"", ""price"")"),0.64)</f>
        <v>0.64</v>
      </c>
      <c r="E20" s="8">
        <f>IFERROR(__xludf.DUMMYFUNCTION("GOOGLEFINANCE(""ASX:3PL"", ""closeyest"")"),0.62)</f>
        <v>0.62</v>
      </c>
      <c r="F20" s="9">
        <f>IFERROR(__xludf.DUMMYFUNCTION("GOOGLEFINANCE(""ASX:3PL"", ""pe"")"),824.68)</f>
        <v>824.68</v>
      </c>
      <c r="G20" s="9">
        <f>IFERROR(__xludf.DUMMYFUNCTION("GOOGLEFINANCE(""ASX:3PL"", ""high52"")"),0.82)</f>
        <v>0.82</v>
      </c>
      <c r="H20" s="9">
        <f>IFERROR(__xludf.DUMMYFUNCTION("GOOGLEFINANCE(""ASX:3PL"", ""low52"")"),0.55)</f>
        <v>0.55</v>
      </c>
      <c r="I20" s="9">
        <f>IFERROR(__xludf.DUMMYFUNCTION("GOOGLEFINANCE(""ASX:3PL"", ""marketcap"")"),1.73295561E8)</f>
        <v>173295561</v>
      </c>
      <c r="J20" s="5"/>
      <c r="K20" s="5"/>
      <c r="L20" s="5"/>
      <c r="M20" s="5"/>
      <c r="N20" s="10">
        <v>805.19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6" t="s">
        <v>57</v>
      </c>
      <c r="B21" s="6" t="s">
        <v>58</v>
      </c>
      <c r="C21" s="5" t="s">
        <v>59</v>
      </c>
      <c r="D21" s="7">
        <f>IFERROR(__xludf.DUMMYFUNCTION("GOOGLEFINANCE(""ASX:4DS"", ""price"")"),0.01)</f>
        <v>0.01</v>
      </c>
      <c r="E21" s="8">
        <f>IFERROR(__xludf.DUMMYFUNCTION("GOOGLEFINANCE(""ASX:4DS"", ""closeyest"")"),0.01)</f>
        <v>0.01</v>
      </c>
      <c r="F21" s="5" t="str">
        <f>IFERROR(__xludf.DUMMYFUNCTION("GOOGLEFINANCE(""ASX:4DS"", ""pe"")"),"#N/A")</f>
        <v>#N/A</v>
      </c>
      <c r="G21" s="9">
        <f>IFERROR(__xludf.DUMMYFUNCTION("GOOGLEFINANCE(""ASX:4DS"", ""high52"")"),0.08)</f>
        <v>0.08</v>
      </c>
      <c r="H21" s="9">
        <f>IFERROR(__xludf.DUMMYFUNCTION("GOOGLEFINANCE(""ASX:4DS"", ""low52"")"),0.01)</f>
        <v>0.01</v>
      </c>
      <c r="I21" s="9">
        <f>IFERROR(__xludf.DUMMYFUNCTION("GOOGLEFINANCE(""ASX:4DS"", ""marketcap"")"),2.7203868E7)</f>
        <v>27203868</v>
      </c>
      <c r="J21" s="5"/>
      <c r="K21" s="5"/>
      <c r="L21" s="5"/>
      <c r="M21" s="5"/>
      <c r="N21" s="11" t="s">
        <v>19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6" t="s">
        <v>60</v>
      </c>
      <c r="B22" s="6" t="s">
        <v>61</v>
      </c>
      <c r="C22" s="5" t="s">
        <v>62</v>
      </c>
      <c r="D22" s="7">
        <f>IFERROR(__xludf.DUMMYFUNCTION("GOOGLEFINANCE(""ASX:4DX"", ""price"")"),4.69)</f>
        <v>4.69</v>
      </c>
      <c r="E22" s="8">
        <f>IFERROR(__xludf.DUMMYFUNCTION("GOOGLEFINANCE(""ASX:4DX"", ""closeyest"")"),4.19)</f>
        <v>4.19</v>
      </c>
      <c r="F22" s="5" t="str">
        <f>IFERROR(__xludf.DUMMYFUNCTION("GOOGLEFINANCE(""ASX:4DX"", ""pe"")"),"#N/A")</f>
        <v>#N/A</v>
      </c>
      <c r="G22" s="9">
        <f>IFERROR(__xludf.DUMMYFUNCTION("GOOGLEFINANCE(""ASX:4DX"", ""high52"")"),4.84)</f>
        <v>4.84</v>
      </c>
      <c r="H22" s="9">
        <f>IFERROR(__xludf.DUMMYFUNCTION("GOOGLEFINANCE(""ASX:4DX"", ""low52"")"),0.23)</f>
        <v>0.23</v>
      </c>
      <c r="I22" s="9">
        <f>IFERROR(__xludf.DUMMYFUNCTION("GOOGLEFINANCE(""ASX:4DX"", ""marketcap"")"),2.463747547E9)</f>
        <v>2463747547</v>
      </c>
      <c r="J22" s="5"/>
      <c r="K22" s="5"/>
      <c r="L22" s="5"/>
      <c r="M22" s="5"/>
      <c r="N22" s="11" t="s">
        <v>19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6" t="s">
        <v>63</v>
      </c>
      <c r="B23" s="6" t="s">
        <v>64</v>
      </c>
      <c r="C23" s="5" t="s">
        <v>39</v>
      </c>
      <c r="D23" s="7">
        <f>IFERROR(__xludf.DUMMYFUNCTION("GOOGLEFINANCE(""ASX:5EA"", ""price"")"),0.52)</f>
        <v>0.52</v>
      </c>
      <c r="E23" s="8">
        <f>IFERROR(__xludf.DUMMYFUNCTION("GOOGLEFINANCE(""ASX:5EA"", ""closeyest"")"),0.54)</f>
        <v>0.54</v>
      </c>
      <c r="F23" s="5" t="str">
        <f>IFERROR(__xludf.DUMMYFUNCTION("GOOGLEFINANCE(""ASX:5EA"", ""pe"")"),"#N/A")</f>
        <v>#N/A</v>
      </c>
      <c r="G23" s="9">
        <f>IFERROR(__xludf.DUMMYFUNCTION("GOOGLEFINANCE(""ASX:5EA"", ""high52"")"),2.42)</f>
        <v>2.42</v>
      </c>
      <c r="H23" s="9">
        <f>IFERROR(__xludf.DUMMYFUNCTION("GOOGLEFINANCE(""ASX:5EA"", ""low52"")"),0.5)</f>
        <v>0.5</v>
      </c>
      <c r="I23" s="9">
        <f>IFERROR(__xludf.DUMMYFUNCTION("GOOGLEFINANCE(""ASX:5EA"", ""marketcap"")"),8.2761817E7)</f>
        <v>82761817</v>
      </c>
      <c r="J23" s="5"/>
      <c r="K23" s="5"/>
      <c r="L23" s="5"/>
      <c r="M23" s="5"/>
      <c r="N23" s="11" t="s">
        <v>19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6" t="s">
        <v>65</v>
      </c>
      <c r="B24" s="6" t="s">
        <v>66</v>
      </c>
      <c r="C24" s="5" t="s">
        <v>67</v>
      </c>
      <c r="D24" s="7">
        <f>IFERROR(__xludf.DUMMYFUNCTION("GOOGLEFINANCE(""ASX:5GG"", ""price"")"),0.03)</f>
        <v>0.03</v>
      </c>
      <c r="E24" s="8">
        <f>IFERROR(__xludf.DUMMYFUNCTION("GOOGLEFINANCE(""ASX:5GG"", ""closeyest"")"),0.03)</f>
        <v>0.03</v>
      </c>
      <c r="F24" s="5" t="str">
        <f>IFERROR(__xludf.DUMMYFUNCTION("GOOGLEFINANCE(""ASX:5GG"", ""pe"")"),"#N/A")</f>
        <v>#N/A</v>
      </c>
      <c r="G24" s="9">
        <f>IFERROR(__xludf.DUMMYFUNCTION("GOOGLEFINANCE(""ASX:5GG"", ""high52"")"),0.06)</f>
        <v>0.06</v>
      </c>
      <c r="H24" s="9">
        <f>IFERROR(__xludf.DUMMYFUNCTION("GOOGLEFINANCE(""ASX:5GG"", ""low52"")"),0.02)</f>
        <v>0.02</v>
      </c>
      <c r="I24" s="9">
        <f>IFERROR(__xludf.DUMMYFUNCTION("GOOGLEFINANCE(""ASX:5GG"", ""marketcap"")"),1.3341692E7)</f>
        <v>13341692</v>
      </c>
      <c r="J24" s="5"/>
      <c r="K24" s="5"/>
      <c r="L24" s="5"/>
      <c r="M24" s="5"/>
      <c r="N24" s="11" t="s">
        <v>19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6" t="s">
        <v>65</v>
      </c>
      <c r="B25" s="6" t="s">
        <v>66</v>
      </c>
      <c r="C25" s="5" t="s">
        <v>67</v>
      </c>
      <c r="D25" s="7">
        <f>IFERROR(__xludf.DUMMYFUNCTION("GOOGLEFINANCE(""ASX:5GG"", ""price"")"),0.03)</f>
        <v>0.03</v>
      </c>
      <c r="E25" s="8">
        <f>IFERROR(__xludf.DUMMYFUNCTION("GOOGLEFINANCE(""ASX:5GG"", ""closeyest"")"),0.03)</f>
        <v>0.03</v>
      </c>
      <c r="F25" s="5" t="str">
        <f>IFERROR(__xludf.DUMMYFUNCTION("GOOGLEFINANCE(""ASX:5GG"", ""pe"")"),"#N/A")</f>
        <v>#N/A</v>
      </c>
      <c r="G25" s="9">
        <f>IFERROR(__xludf.DUMMYFUNCTION("GOOGLEFINANCE(""ASX:5GG"", ""high52"")"),0.06)</f>
        <v>0.06</v>
      </c>
      <c r="H25" s="9">
        <f>IFERROR(__xludf.DUMMYFUNCTION("GOOGLEFINANCE(""ASX:5GG"", ""low52"")"),0.02)</f>
        <v>0.02</v>
      </c>
      <c r="I25" s="9">
        <f>IFERROR(__xludf.DUMMYFUNCTION("GOOGLEFINANCE(""ASX:5GG"", ""marketcap"")"),1.3341692E7)</f>
        <v>13341692</v>
      </c>
      <c r="J25" s="5"/>
      <c r="K25" s="5"/>
      <c r="L25" s="5"/>
      <c r="M25" s="5"/>
      <c r="N25" s="11" t="s">
        <v>19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13" t="s">
        <v>65</v>
      </c>
      <c r="B26" s="13" t="s">
        <v>66</v>
      </c>
      <c r="C26" s="14" t="s">
        <v>67</v>
      </c>
      <c r="D26" s="15">
        <f>IFERROR(__xludf.DUMMYFUNCTION("GOOGLEFINANCE(""ASX:5GG"", ""price"")"),0.03)</f>
        <v>0.03</v>
      </c>
      <c r="E26" s="8">
        <f>IFERROR(__xludf.DUMMYFUNCTION("GOOGLEFINANCE(""ASX:5GG"", ""closeyest"")"),0.03)</f>
        <v>0.03</v>
      </c>
      <c r="F26" s="5" t="str">
        <f>IFERROR(__xludf.DUMMYFUNCTION("GOOGLEFINANCE(""ASX:5GG"", ""pe"")"),"#N/A")</f>
        <v>#N/A</v>
      </c>
      <c r="G26" s="9">
        <f>IFERROR(__xludf.DUMMYFUNCTION("GOOGLEFINANCE(""ASX:5GG"", ""high52"")"),0.06)</f>
        <v>0.06</v>
      </c>
      <c r="H26" s="9">
        <f>IFERROR(__xludf.DUMMYFUNCTION("GOOGLEFINANCE(""ASX:5GG"", ""low52"")"),0.02)</f>
        <v>0.02</v>
      </c>
      <c r="I26" s="9">
        <f>IFERROR(__xludf.DUMMYFUNCTION("GOOGLEFINANCE(""ASX:5GG"", ""marketcap"")"),1.3341692E7)</f>
        <v>13341692</v>
      </c>
      <c r="J26" s="5"/>
      <c r="K26" s="5"/>
      <c r="L26" s="5"/>
      <c r="M26" s="5"/>
      <c r="N26" s="11" t="s">
        <v>19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6" t="s">
        <v>68</v>
      </c>
      <c r="B27" s="6" t="s">
        <v>69</v>
      </c>
      <c r="C27" s="5" t="s">
        <v>70</v>
      </c>
      <c r="D27" s="7">
        <f>IFERROR(__xludf.DUMMYFUNCTION("GOOGLEFINANCE(""ASX:5GN"", ""price"")"),0.14)</f>
        <v>0.14</v>
      </c>
      <c r="E27" s="8">
        <f>IFERROR(__xludf.DUMMYFUNCTION("GOOGLEFINANCE(""ASX:5GN"", ""closeyest"")"),0.14)</f>
        <v>0.14</v>
      </c>
      <c r="F27" s="5" t="str">
        <f>IFERROR(__xludf.DUMMYFUNCTION("GOOGLEFINANCE(""ASX:5GN"", ""pe"")"),"#N/A")</f>
        <v>#N/A</v>
      </c>
      <c r="G27" s="9">
        <f>IFERROR(__xludf.DUMMYFUNCTION("GOOGLEFINANCE(""ASX:5GN"", ""high52"")"),0.17)</f>
        <v>0.17</v>
      </c>
      <c r="H27" s="9">
        <f>IFERROR(__xludf.DUMMYFUNCTION("GOOGLEFINANCE(""ASX:5GN"", ""low52"")"),0.13)</f>
        <v>0.13</v>
      </c>
      <c r="I27" s="9">
        <f>IFERROR(__xludf.DUMMYFUNCTION("GOOGLEFINANCE(""ASX:5GN"", ""marketcap"")"),3.5161723E7)</f>
        <v>35161723</v>
      </c>
      <c r="J27" s="5"/>
      <c r="K27" s="5"/>
      <c r="L27" s="5"/>
      <c r="M27" s="5"/>
      <c r="N27" s="11" t="s">
        <v>19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6" t="s">
        <v>71</v>
      </c>
      <c r="B28" s="6" t="s">
        <v>72</v>
      </c>
      <c r="C28" s="5" t="s">
        <v>36</v>
      </c>
      <c r="D28" s="7">
        <f>IFERROR(__xludf.DUMMYFUNCTION("GOOGLEFINANCE(""ASX:5GOV"", ""price"")"),51.8)</f>
        <v>51.8</v>
      </c>
      <c r="E28" s="8">
        <f>IFERROR(__xludf.DUMMYFUNCTION("GOOGLEFINANCE(""ASX:5GOV"", ""closeyest"")"),51.8)</f>
        <v>51.8</v>
      </c>
      <c r="F28" s="5" t="str">
        <f>IFERROR(__xludf.DUMMYFUNCTION("GOOGLEFINANCE(""ASX:5GOV"", ""pe"")"),"#N/A")</f>
        <v>#N/A</v>
      </c>
      <c r="G28" s="9">
        <f>IFERROR(__xludf.DUMMYFUNCTION("GOOGLEFINANCE(""ASX:5GOV"", ""high52"")"),53.94)</f>
        <v>53.94</v>
      </c>
      <c r="H28" s="9">
        <f>IFERROR(__xludf.DUMMYFUNCTION("GOOGLEFINANCE(""ASX:5GOV"", ""low52"")"),50.66)</f>
        <v>50.66</v>
      </c>
      <c r="I28" s="9" t="str">
        <f>IFERROR(__xludf.DUMMYFUNCTION("GOOGLEFINANCE(""ASX:5GOV"", ""marketcap"")"),"#N/A")</f>
        <v>#N/A</v>
      </c>
      <c r="J28" s="5"/>
      <c r="K28" s="5"/>
      <c r="L28" s="5"/>
      <c r="M28" s="5"/>
      <c r="N28" s="11" t="s">
        <v>19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6" t="s">
        <v>73</v>
      </c>
      <c r="B29" s="6" t="s">
        <v>74</v>
      </c>
      <c r="C29" s="5" t="s">
        <v>75</v>
      </c>
      <c r="D29" s="7">
        <f>IFERROR(__xludf.DUMMYFUNCTION("GOOGLEFINANCE(""ASX:6KA"", ""price"")"),0.81)</f>
        <v>0.81</v>
      </c>
      <c r="E29" s="8">
        <f>IFERROR(__xludf.DUMMYFUNCTION("GOOGLEFINANCE(""ASX:6KA"", ""closeyest"")"),0.8)</f>
        <v>0.8</v>
      </c>
      <c r="F29" s="5" t="str">
        <f>IFERROR(__xludf.DUMMYFUNCTION("GOOGLEFINANCE(""ASX:6KA"", ""pe"")"),"#N/A")</f>
        <v>#N/A</v>
      </c>
      <c r="G29" s="9">
        <f>IFERROR(__xludf.DUMMYFUNCTION("GOOGLEFINANCE(""ASX:6KA"", ""high52"")"),1.03)</f>
        <v>1.03</v>
      </c>
      <c r="H29" s="9">
        <f>IFERROR(__xludf.DUMMYFUNCTION("GOOGLEFINANCE(""ASX:6KA"", ""low52"")"),0.72)</f>
        <v>0.72</v>
      </c>
      <c r="I29" s="9" t="str">
        <f>IFERROR(__xludf.DUMMYFUNCTION("GOOGLEFINANCE(""ASX:6KA"", ""marketcap"")"),"#N/A")</f>
        <v>#N/A</v>
      </c>
      <c r="J29" s="5"/>
      <c r="K29" s="5"/>
      <c r="L29" s="5"/>
      <c r="M29" s="5"/>
      <c r="N29" s="11" t="s">
        <v>19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6" t="s">
        <v>76</v>
      </c>
      <c r="B30" s="6" t="s">
        <v>77</v>
      </c>
      <c r="C30" s="5" t="s">
        <v>78</v>
      </c>
      <c r="D30" s="7">
        <f>IFERROR(__xludf.DUMMYFUNCTION("GOOGLEFINANCE(""ASX:88E"", ""price"")"),0.02)</f>
        <v>0.02</v>
      </c>
      <c r="E30" s="8">
        <f>IFERROR(__xludf.DUMMYFUNCTION("GOOGLEFINANCE(""ASX:88E"", ""closeyest"")"),0.02)</f>
        <v>0.02</v>
      </c>
      <c r="F30" s="5" t="str">
        <f>IFERROR(__xludf.DUMMYFUNCTION("GOOGLEFINANCE(""ASX:88E"", ""pe"")"),"#N/A")</f>
        <v>#N/A</v>
      </c>
      <c r="G30" s="9">
        <f>IFERROR(__xludf.DUMMYFUNCTION("GOOGLEFINANCE(""ASX:88E"", ""high52"")"),0.05)</f>
        <v>0.05</v>
      </c>
      <c r="H30" s="9">
        <f>IFERROR(__xludf.DUMMYFUNCTION("GOOGLEFINANCE(""ASX:88E"", ""low52"")"),0.02)</f>
        <v>0.02</v>
      </c>
      <c r="I30" s="9">
        <f>IFERROR(__xludf.DUMMYFUNCTION("GOOGLEFINANCE(""ASX:88E"", ""marketcap"")"),2.5519577E7)</f>
        <v>25519577</v>
      </c>
      <c r="J30" s="5"/>
      <c r="K30" s="5"/>
      <c r="L30" s="5"/>
      <c r="M30" s="5"/>
      <c r="N30" s="11" t="s">
        <v>19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6" t="s">
        <v>79</v>
      </c>
      <c r="B31" s="6" t="s">
        <v>80</v>
      </c>
      <c r="C31" s="5" t="s">
        <v>15</v>
      </c>
      <c r="D31" s="7">
        <f>IFERROR(__xludf.DUMMYFUNCTION("GOOGLEFINANCE(""ASX:8CO"", ""price"")"),0.03)</f>
        <v>0.03</v>
      </c>
      <c r="E31" s="8">
        <f>IFERROR(__xludf.DUMMYFUNCTION("GOOGLEFINANCE(""ASX:8CO"", ""closeyest"")"),0.04)</f>
        <v>0.04</v>
      </c>
      <c r="F31" s="5" t="str">
        <f>IFERROR(__xludf.DUMMYFUNCTION("GOOGLEFINANCE(""ASX:8CO"", ""pe"")"),"#N/A")</f>
        <v>#N/A</v>
      </c>
      <c r="G31" s="9">
        <f>IFERROR(__xludf.DUMMYFUNCTION("GOOGLEFINANCE(""ASX:8CO"", ""high52"")"),0.05)</f>
        <v>0.05</v>
      </c>
      <c r="H31" s="9">
        <f>IFERROR(__xludf.DUMMYFUNCTION("GOOGLEFINANCE(""ASX:8CO"", ""low52"")"),0.01)</f>
        <v>0.01</v>
      </c>
      <c r="I31" s="9">
        <f>IFERROR(__xludf.DUMMYFUNCTION("GOOGLEFINANCE(""ASX:8CO"", ""marketcap"")"),6633206.0)</f>
        <v>6633206</v>
      </c>
      <c r="J31" s="5"/>
      <c r="K31" s="5"/>
      <c r="L31" s="5"/>
      <c r="M31" s="5"/>
      <c r="N31" s="11" t="s">
        <v>19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6" t="s">
        <v>81</v>
      </c>
      <c r="B32" s="6" t="s">
        <v>82</v>
      </c>
      <c r="C32" s="5" t="s">
        <v>83</v>
      </c>
      <c r="D32" s="7">
        <f>IFERROR(__xludf.DUMMYFUNCTION("GOOGLEFINANCE(""ASX:8IH"", ""price"")"),0.02)</f>
        <v>0.02</v>
      </c>
      <c r="E32" s="8">
        <f>IFERROR(__xludf.DUMMYFUNCTION("GOOGLEFINANCE(""ASX:8IH"", ""closeyest"")"),0.02)</f>
        <v>0.02</v>
      </c>
      <c r="F32" s="9">
        <f>IFERROR(__xludf.DUMMYFUNCTION("GOOGLEFINANCE(""ASX:8IH"", ""pe"")"),8.1)</f>
        <v>8.1</v>
      </c>
      <c r="G32" s="9">
        <f>IFERROR(__xludf.DUMMYFUNCTION("GOOGLEFINANCE(""ASX:8IH"", ""high52"")"),0.05)</f>
        <v>0.05</v>
      </c>
      <c r="H32" s="9">
        <f>IFERROR(__xludf.DUMMYFUNCTION("GOOGLEFINANCE(""ASX:8IH"", ""low52"")"),0.01)</f>
        <v>0.01</v>
      </c>
      <c r="I32" s="9">
        <f>IFERROR(__xludf.DUMMYFUNCTION("GOOGLEFINANCE(""ASX:8IH"", ""marketcap"")"),5030920.0)</f>
        <v>5030920</v>
      </c>
      <c r="J32" s="5"/>
      <c r="K32" s="5"/>
      <c r="L32" s="5"/>
      <c r="M32" s="5"/>
      <c r="N32" s="10">
        <v>8.06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6" t="s">
        <v>84</v>
      </c>
      <c r="B33" s="6" t="s">
        <v>85</v>
      </c>
      <c r="C33" s="5" t="s">
        <v>39</v>
      </c>
      <c r="D33" s="7">
        <f>IFERROR(__xludf.DUMMYFUNCTION("GOOGLEFINANCE(""ASX:A11"", ""price"")"),0.22)</f>
        <v>0.22</v>
      </c>
      <c r="E33" s="8">
        <f>IFERROR(__xludf.DUMMYFUNCTION("GOOGLEFINANCE(""ASX:A11"", ""closeyest"")"),0.23)</f>
        <v>0.23</v>
      </c>
      <c r="F33" s="5" t="str">
        <f>IFERROR(__xludf.DUMMYFUNCTION("GOOGLEFINANCE(""ASX:A11"", ""pe"")"),"#N/A")</f>
        <v>#N/A</v>
      </c>
      <c r="G33" s="9">
        <f>IFERROR(__xludf.DUMMYFUNCTION("GOOGLEFINANCE(""ASX:A11"", ""high52"")"),0.28)</f>
        <v>0.28</v>
      </c>
      <c r="H33" s="9">
        <f>IFERROR(__xludf.DUMMYFUNCTION("GOOGLEFINANCE(""ASX:A11"", ""low52"")"),0.11)</f>
        <v>0.11</v>
      </c>
      <c r="I33" s="9">
        <f>IFERROR(__xludf.DUMMYFUNCTION("GOOGLEFINANCE(""ASX:A11"", ""marketcap"")"),8.0229561E7)</f>
        <v>80229561</v>
      </c>
      <c r="J33" s="5"/>
      <c r="K33" s="5"/>
      <c r="L33" s="5"/>
      <c r="M33" s="5"/>
      <c r="N33" s="11" t="s">
        <v>19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6" t="s">
        <v>86</v>
      </c>
      <c r="B34" s="6" t="s">
        <v>87</v>
      </c>
      <c r="C34" s="5" t="s">
        <v>88</v>
      </c>
      <c r="D34" s="7">
        <f>IFERROR(__xludf.DUMMYFUNCTION("GOOGLEFINANCE(""ASX:A1G"", ""price"")"),0.64)</f>
        <v>0.64</v>
      </c>
      <c r="E34" s="8">
        <f>IFERROR(__xludf.DUMMYFUNCTION("GOOGLEFINANCE(""ASX:A1G"", ""closeyest"")"),0.64)</f>
        <v>0.64</v>
      </c>
      <c r="F34" s="5" t="str">
        <f>IFERROR(__xludf.DUMMYFUNCTION("GOOGLEFINANCE(""ASX:A1G"", ""pe"")"),"#N/A")</f>
        <v>#N/A</v>
      </c>
      <c r="G34" s="9">
        <f>IFERROR(__xludf.DUMMYFUNCTION("GOOGLEFINANCE(""ASX:A1G"", ""high52"")"),0.69)</f>
        <v>0.69</v>
      </c>
      <c r="H34" s="9">
        <f>IFERROR(__xludf.DUMMYFUNCTION("GOOGLEFINANCE(""ASX:A1G"", ""low52"")"),0.06)</f>
        <v>0.06</v>
      </c>
      <c r="I34" s="9">
        <f>IFERROR(__xludf.DUMMYFUNCTION("GOOGLEFINANCE(""ASX:A1G"", ""marketcap"")"),3.53681215E8)</f>
        <v>353681215</v>
      </c>
      <c r="J34" s="5"/>
      <c r="K34" s="5"/>
      <c r="L34" s="5"/>
      <c r="M34" s="5"/>
      <c r="N34" s="11" t="s">
        <v>19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6" t="s">
        <v>89</v>
      </c>
      <c r="B35" s="6" t="s">
        <v>90</v>
      </c>
      <c r="C35" s="5" t="s">
        <v>18</v>
      </c>
      <c r="D35" s="7">
        <f>IFERROR(__xludf.DUMMYFUNCTION("GOOGLEFINANCE(""ASX:A1M"", ""price"")"),0.6)</f>
        <v>0.6</v>
      </c>
      <c r="E35" s="8">
        <f>IFERROR(__xludf.DUMMYFUNCTION("GOOGLEFINANCE(""ASX:A1M"", ""closeyest"")"),0.6)</f>
        <v>0.6</v>
      </c>
      <c r="F35" s="9">
        <f>IFERROR(__xludf.DUMMYFUNCTION("GOOGLEFINANCE(""ASX:A1M"", ""pe"")"),24.17)</f>
        <v>24.17</v>
      </c>
      <c r="G35" s="9">
        <f>IFERROR(__xludf.DUMMYFUNCTION("GOOGLEFINANCE(""ASX:A1M"", ""high52"")"),0.63)</f>
        <v>0.63</v>
      </c>
      <c r="H35" s="9">
        <f>IFERROR(__xludf.DUMMYFUNCTION("GOOGLEFINANCE(""ASX:A1M"", ""low52"")"),0.28)</f>
        <v>0.28</v>
      </c>
      <c r="I35" s="9">
        <f>IFERROR(__xludf.DUMMYFUNCTION("GOOGLEFINANCE(""ASX:A1M"", ""marketcap"")"),4.70628957E8)</f>
        <v>470628957</v>
      </c>
      <c r="J35" s="5"/>
      <c r="K35" s="5"/>
      <c r="L35" s="5"/>
      <c r="M35" s="5"/>
      <c r="N35" s="10">
        <v>24.17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6" t="s">
        <v>91</v>
      </c>
      <c r="B36" s="6" t="s">
        <v>92</v>
      </c>
      <c r="C36" s="5" t="s">
        <v>93</v>
      </c>
      <c r="D36" s="7">
        <f>IFERROR(__xludf.DUMMYFUNCTION("GOOGLEFINANCE(""ASX:A1N"", ""price"")"),0.42)</f>
        <v>0.42</v>
      </c>
      <c r="E36" s="8">
        <f>IFERROR(__xludf.DUMMYFUNCTION("GOOGLEFINANCE(""ASX:A1N"", ""closeyest"")"),0.43)</f>
        <v>0.43</v>
      </c>
      <c r="F36" s="5" t="str">
        <f>IFERROR(__xludf.DUMMYFUNCTION("GOOGLEFINANCE(""ASX:A1N"", ""pe"")"),"#N/A")</f>
        <v>#N/A</v>
      </c>
      <c r="G36" s="9">
        <f>IFERROR(__xludf.DUMMYFUNCTION("GOOGLEFINANCE(""ASX:A1N"", ""high52"")"),0.72)</f>
        <v>0.72</v>
      </c>
      <c r="H36" s="9">
        <f>IFERROR(__xludf.DUMMYFUNCTION("GOOGLEFINANCE(""ASX:A1N"", ""low52"")"),0.37)</f>
        <v>0.37</v>
      </c>
      <c r="I36" s="9">
        <f>IFERROR(__xludf.DUMMYFUNCTION("GOOGLEFINANCE(""ASX:A1N"", ""marketcap"")"),1.31481079E8)</f>
        <v>131481079</v>
      </c>
      <c r="J36" s="5"/>
      <c r="K36" s="5"/>
      <c r="L36" s="5"/>
      <c r="M36" s="5"/>
      <c r="N36" s="11" t="s">
        <v>19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6" t="s">
        <v>94</v>
      </c>
      <c r="B37" s="6" t="s">
        <v>95</v>
      </c>
      <c r="C37" s="5" t="s">
        <v>36</v>
      </c>
      <c r="D37" s="7">
        <f>IFERROR(__xludf.DUMMYFUNCTION("GOOGLEFINANCE(""ASX:A200"", ""price"")"),144.56)</f>
        <v>144.56</v>
      </c>
      <c r="E37" s="8">
        <f>IFERROR(__xludf.DUMMYFUNCTION("GOOGLEFINANCE(""ASX:A200"", ""closeyest"")"),144.46)</f>
        <v>144.46</v>
      </c>
      <c r="F37" s="5" t="str">
        <f>IFERROR(__xludf.DUMMYFUNCTION("GOOGLEFINANCE(""ASX:A200"", ""pe"")"),"#N/A")</f>
        <v>#N/A</v>
      </c>
      <c r="G37" s="9">
        <f>IFERROR(__xludf.DUMMYFUNCTION("GOOGLEFINANCE(""ASX:A200"", ""high52"")"),151.97)</f>
        <v>151.97</v>
      </c>
      <c r="H37" s="9">
        <f>IFERROR(__xludf.DUMMYFUNCTION("GOOGLEFINANCE(""ASX:A200"", ""low52"")"),119.7)</f>
        <v>119.7</v>
      </c>
      <c r="I37" s="9" t="str">
        <f>IFERROR(__xludf.DUMMYFUNCTION("GOOGLEFINANCE(""ASX:A200"", ""marketcap"")"),"#N/A")</f>
        <v>#N/A</v>
      </c>
      <c r="J37" s="5"/>
      <c r="K37" s="5"/>
      <c r="L37" s="5"/>
      <c r="M37" s="5"/>
      <c r="N37" s="11" t="s">
        <v>19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6" t="s">
        <v>96</v>
      </c>
      <c r="B38" s="6" t="s">
        <v>97</v>
      </c>
      <c r="C38" s="5" t="s">
        <v>98</v>
      </c>
      <c r="D38" s="7">
        <f>IFERROR(__xludf.DUMMYFUNCTION("GOOGLEFINANCE(""ASX:A2M"", ""price"")"),9.07)</f>
        <v>9.07</v>
      </c>
      <c r="E38" s="8">
        <f>IFERROR(__xludf.DUMMYFUNCTION("GOOGLEFINANCE(""ASX:A2M"", ""closeyest"")"),9.05)</f>
        <v>9.05</v>
      </c>
      <c r="F38" s="5" t="str">
        <f>IFERROR(__xludf.DUMMYFUNCTION("GOOGLEFINANCE(""ASX:A2M"", ""pe"")"),"#N/A")</f>
        <v>#N/A</v>
      </c>
      <c r="G38" s="9">
        <f>IFERROR(__xludf.DUMMYFUNCTION("GOOGLEFINANCE(""ASX:A2M"", ""high52"")"),9.78)</f>
        <v>9.78</v>
      </c>
      <c r="H38" s="9">
        <f>IFERROR(__xludf.DUMMYFUNCTION("GOOGLEFINANCE(""ASX:A2M"", ""low52"")"),5.43)</f>
        <v>5.43</v>
      </c>
      <c r="I38" s="9">
        <f>IFERROR(__xludf.DUMMYFUNCTION("GOOGLEFINANCE(""ASX:A2M"", ""marketcap"")"),7.848529E9)</f>
        <v>7848529000</v>
      </c>
      <c r="J38" s="5"/>
      <c r="K38" s="5"/>
      <c r="L38" s="5"/>
      <c r="M38" s="5"/>
      <c r="N38" s="11" t="s">
        <v>19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6" t="s">
        <v>99</v>
      </c>
      <c r="B39" s="6" t="s">
        <v>100</v>
      </c>
      <c r="C39" s="5" t="s">
        <v>36</v>
      </c>
      <c r="D39" s="7">
        <f>IFERROR(__xludf.DUMMYFUNCTION("GOOGLEFINANCE(""ASX:A300"", ""price"")"),50.66)</f>
        <v>50.66</v>
      </c>
      <c r="E39" s="8">
        <f>IFERROR(__xludf.DUMMYFUNCTION("GOOGLEFINANCE(""ASX:A300"", ""closeyest"")"),50.57)</f>
        <v>50.57</v>
      </c>
      <c r="F39" s="5" t="str">
        <f>IFERROR(__xludf.DUMMYFUNCTION("GOOGLEFINANCE(""ASX:A300"", ""pe"")"),"#N/A")</f>
        <v>#N/A</v>
      </c>
      <c r="G39" s="9">
        <f>IFERROR(__xludf.DUMMYFUNCTION("GOOGLEFINANCE(""ASX:A300"", ""high52"")"),53.0)</f>
        <v>53</v>
      </c>
      <c r="H39" s="9">
        <f>IFERROR(__xludf.DUMMYFUNCTION("GOOGLEFINANCE(""ASX:A300"", ""low52"")"),49.0)</f>
        <v>49</v>
      </c>
      <c r="I39" s="9" t="str">
        <f>IFERROR(__xludf.DUMMYFUNCTION("GOOGLEFINANCE(""ASX:A300"", ""marketcap"")"),"#N/A")</f>
        <v>#N/A</v>
      </c>
      <c r="J39" s="5"/>
      <c r="K39" s="5"/>
      <c r="L39" s="5"/>
      <c r="M39" s="5"/>
      <c r="N39" s="11" t="s">
        <v>19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6" t="s">
        <v>101</v>
      </c>
      <c r="B40" s="6" t="s">
        <v>102</v>
      </c>
      <c r="C40" s="5" t="s">
        <v>103</v>
      </c>
      <c r="D40" s="7">
        <f>IFERROR(__xludf.DUMMYFUNCTION("GOOGLEFINANCE(""ASX:A3D"", ""price"")"),0.05)</f>
        <v>0.05</v>
      </c>
      <c r="E40" s="8">
        <f>IFERROR(__xludf.DUMMYFUNCTION("GOOGLEFINANCE(""ASX:A3D"", ""closeyest"")"),0.06)</f>
        <v>0.06</v>
      </c>
      <c r="F40" s="5" t="str">
        <f>IFERROR(__xludf.DUMMYFUNCTION("GOOGLEFINANCE(""ASX:A3D"", ""pe"")"),"#N/A")</f>
        <v>#N/A</v>
      </c>
      <c r="G40" s="9">
        <f>IFERROR(__xludf.DUMMYFUNCTION("GOOGLEFINANCE(""ASX:A3D"", ""high52"")"),0.09)</f>
        <v>0.09</v>
      </c>
      <c r="H40" s="9">
        <f>IFERROR(__xludf.DUMMYFUNCTION("GOOGLEFINANCE(""ASX:A3D"", ""low52"")"),0.03)</f>
        <v>0.03</v>
      </c>
      <c r="I40" s="9">
        <f>IFERROR(__xludf.DUMMYFUNCTION("GOOGLEFINANCE(""ASX:A3D"", ""marketcap"")"),2.6761124E7)</f>
        <v>26761124</v>
      </c>
      <c r="J40" s="5"/>
      <c r="K40" s="5"/>
      <c r="L40" s="5"/>
      <c r="M40" s="5"/>
      <c r="N40" s="11" t="s">
        <v>19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6" t="s">
        <v>104</v>
      </c>
      <c r="B41" s="6" t="s">
        <v>105</v>
      </c>
      <c r="C41" s="5" t="s">
        <v>106</v>
      </c>
      <c r="D41" s="7">
        <f>IFERROR(__xludf.DUMMYFUNCTION("GOOGLEFINANCE(""ASX:A4N"", ""price"")"),0.84)</f>
        <v>0.84</v>
      </c>
      <c r="E41" s="8">
        <f>IFERROR(__xludf.DUMMYFUNCTION("GOOGLEFINANCE(""ASX:A4N"", ""closeyest"")"),0.82)</f>
        <v>0.82</v>
      </c>
      <c r="F41" s="5" t="str">
        <f>IFERROR(__xludf.DUMMYFUNCTION("GOOGLEFINANCE(""ASX:A4N"", ""pe"")"),"#N/A")</f>
        <v>#N/A</v>
      </c>
      <c r="G41" s="9">
        <f>IFERROR(__xludf.DUMMYFUNCTION("GOOGLEFINANCE(""ASX:A4N"", ""high52"")"),1.05)</f>
        <v>1.05</v>
      </c>
      <c r="H41" s="9">
        <f>IFERROR(__xludf.DUMMYFUNCTION("GOOGLEFINANCE(""ASX:A4N"", ""low52"")"),0.64)</f>
        <v>0.64</v>
      </c>
      <c r="I41" s="9">
        <f>IFERROR(__xludf.DUMMYFUNCTION("GOOGLEFINANCE(""ASX:A4N"", ""marketcap"")"),9.4686242E8)</f>
        <v>946862420</v>
      </c>
      <c r="J41" s="5"/>
      <c r="K41" s="5"/>
      <c r="L41" s="5"/>
      <c r="M41" s="5"/>
      <c r="N41" s="11" t="s">
        <v>19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6" t="s">
        <v>107</v>
      </c>
      <c r="B42" s="6" t="s">
        <v>108</v>
      </c>
      <c r="C42" s="5" t="s">
        <v>88</v>
      </c>
      <c r="D42" s="7">
        <f>IFERROR(__xludf.DUMMYFUNCTION("GOOGLEFINANCE(""ASX:A8G"", ""price"")"),0.1)</f>
        <v>0.1</v>
      </c>
      <c r="E42" s="8">
        <f>IFERROR(__xludf.DUMMYFUNCTION("GOOGLEFINANCE(""ASX:A8G"", ""closeyest"")"),0.09)</f>
        <v>0.09</v>
      </c>
      <c r="F42" s="5" t="str">
        <f>IFERROR(__xludf.DUMMYFUNCTION("GOOGLEFINANCE(""ASX:A8G"", ""pe"")"),"#N/A")</f>
        <v>#N/A</v>
      </c>
      <c r="G42" s="9">
        <f>IFERROR(__xludf.DUMMYFUNCTION("GOOGLEFINANCE(""ASX:A8G"", ""high52"")"),0.17)</f>
        <v>0.17</v>
      </c>
      <c r="H42" s="9">
        <f>IFERROR(__xludf.DUMMYFUNCTION("GOOGLEFINANCE(""ASX:A8G"", ""low52"")"),0.06)</f>
        <v>0.06</v>
      </c>
      <c r="I42" s="9">
        <f>IFERROR(__xludf.DUMMYFUNCTION("GOOGLEFINANCE(""ASX:A8G"", ""marketcap"")"),5467366.0)</f>
        <v>5467366</v>
      </c>
      <c r="J42" s="9">
        <v>3.77</v>
      </c>
      <c r="K42" s="9">
        <v>3.85</v>
      </c>
      <c r="L42" s="9">
        <v>4.11</v>
      </c>
      <c r="M42" s="9">
        <v>3.38</v>
      </c>
      <c r="N42" s="11" t="s">
        <v>19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6" t="s">
        <v>109</v>
      </c>
      <c r="B43" s="6" t="s">
        <v>110</v>
      </c>
      <c r="C43" s="5" t="s">
        <v>111</v>
      </c>
      <c r="D43" s="7">
        <f>IFERROR(__xludf.DUMMYFUNCTION("GOOGLEFINANCE(""ASX:AA2"", ""price"")"),0.3)</f>
        <v>0.3</v>
      </c>
      <c r="E43" s="8">
        <f>IFERROR(__xludf.DUMMYFUNCTION("GOOGLEFINANCE(""ASX:AA2"", ""closeyest"")"),0.3)</f>
        <v>0.3</v>
      </c>
      <c r="F43" s="5" t="str">
        <f>IFERROR(__xludf.DUMMYFUNCTION("GOOGLEFINANCE(""ASX:AA2"", ""pe"")"),"#N/A")</f>
        <v>#N/A</v>
      </c>
      <c r="G43" s="9">
        <f>IFERROR(__xludf.DUMMYFUNCTION("GOOGLEFINANCE(""ASX:AA2"", ""high52"")"),0.39)</f>
        <v>0.39</v>
      </c>
      <c r="H43" s="9">
        <f>IFERROR(__xludf.DUMMYFUNCTION("GOOGLEFINANCE(""ASX:AA2"", ""low52"")"),0.25)</f>
        <v>0.25</v>
      </c>
      <c r="I43" s="9">
        <f>IFERROR(__xludf.DUMMYFUNCTION("GOOGLEFINANCE(""ASX:AA2"", ""marketcap"")"),4.0543519E7)</f>
        <v>40543519</v>
      </c>
      <c r="J43" s="5"/>
      <c r="K43" s="5"/>
      <c r="L43" s="5"/>
      <c r="M43" s="5"/>
      <c r="N43" s="11" t="s">
        <v>19</v>
      </c>
      <c r="O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6" t="s">
        <v>112</v>
      </c>
      <c r="B44" s="6" t="s">
        <v>113</v>
      </c>
      <c r="C44" s="5" t="s">
        <v>36</v>
      </c>
      <c r="D44" s="7">
        <f>IFERROR(__xludf.DUMMYFUNCTION("GOOGLEFINANCE(""ASX:AAA"", ""price"")"),50.12)</f>
        <v>50.12</v>
      </c>
      <c r="E44" s="8">
        <f>IFERROR(__xludf.DUMMYFUNCTION("GOOGLEFINANCE(""ASX:AAA"", ""closeyest"")"),50.11)</f>
        <v>50.11</v>
      </c>
      <c r="F44" s="5" t="str">
        <f>IFERROR(__xludf.DUMMYFUNCTION("GOOGLEFINANCE(""ASX:AAA"", ""pe"")"),"#N/A")</f>
        <v>#N/A</v>
      </c>
      <c r="G44" s="9">
        <f>IFERROR(__xludf.DUMMYFUNCTION("GOOGLEFINANCE(""ASX:AAA"", ""high52"")"),50.3)</f>
        <v>50.3</v>
      </c>
      <c r="H44" s="9">
        <f>IFERROR(__xludf.DUMMYFUNCTION("GOOGLEFINANCE(""ASX:AAA"", ""low52"")"),50.07)</f>
        <v>50.07</v>
      </c>
      <c r="I44" s="9" t="str">
        <f>IFERROR(__xludf.DUMMYFUNCTION("GOOGLEFINANCE(""ASX:AAA"", ""marketcap"")"),"#N/A")</f>
        <v>#N/A</v>
      </c>
      <c r="J44" s="5"/>
      <c r="K44" s="5"/>
      <c r="L44" s="5"/>
      <c r="M44" s="5"/>
      <c r="N44" s="11" t="s">
        <v>19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6" t="s">
        <v>114</v>
      </c>
      <c r="B45" s="6" t="s">
        <v>115</v>
      </c>
      <c r="C45" s="5" t="s">
        <v>98</v>
      </c>
      <c r="D45" s="7">
        <f>IFERROR(__xludf.DUMMYFUNCTION("GOOGLEFINANCE(""ASX:AAC"", ""price"")"),1.38)</f>
        <v>1.38</v>
      </c>
      <c r="E45" s="8">
        <f>IFERROR(__xludf.DUMMYFUNCTION("GOOGLEFINANCE(""ASX:AAC"", ""closeyest"")"),1.38)</f>
        <v>1.38</v>
      </c>
      <c r="F45" s="9">
        <f>IFERROR(__xludf.DUMMYFUNCTION("GOOGLEFINANCE(""ASX:AAC"", ""pe"")"),14.57)</f>
        <v>14.57</v>
      </c>
      <c r="G45" s="9">
        <f>IFERROR(__xludf.DUMMYFUNCTION("GOOGLEFINANCE(""ASX:AAC"", ""high52"")"),1.58)</f>
        <v>1.58</v>
      </c>
      <c r="H45" s="9">
        <f>IFERROR(__xludf.DUMMYFUNCTION("GOOGLEFINANCE(""ASX:AAC"", ""low52"")"),1.33)</f>
        <v>1.33</v>
      </c>
      <c r="I45" s="9">
        <f>IFERROR(__xludf.DUMMYFUNCTION("GOOGLEFINANCE(""ASX:AAC"", ""marketcap"")"),8.31818043E8)</f>
        <v>831818043</v>
      </c>
      <c r="J45" s="5"/>
      <c r="K45" s="5"/>
      <c r="L45" s="5"/>
      <c r="M45" s="5"/>
      <c r="N45" s="10">
        <v>15.31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6" t="s">
        <v>116</v>
      </c>
      <c r="B46" s="6" t="s">
        <v>117</v>
      </c>
      <c r="C46" s="5" t="s">
        <v>118</v>
      </c>
      <c r="D46" s="7">
        <f>IFERROR(__xludf.DUMMYFUNCTION("GOOGLEFINANCE(""ASX:AAI"", ""price"")"),92.34)</f>
        <v>92.34</v>
      </c>
      <c r="E46" s="8">
        <f>IFERROR(__xludf.DUMMYFUNCTION("GOOGLEFINANCE(""ASX:AAI"", ""closeyest"")"),90.47)</f>
        <v>90.47</v>
      </c>
      <c r="F46" s="5" t="str">
        <f>IFERROR(__xludf.DUMMYFUNCTION("GOOGLEFINANCE(""ASX:AAI"", ""pe"")"),"#N/A")</f>
        <v>#N/A</v>
      </c>
      <c r="G46" s="9">
        <f>IFERROR(__xludf.DUMMYFUNCTION("GOOGLEFINANCE(""ASX:AAI"", ""high52"")"),94.31)</f>
        <v>94.31</v>
      </c>
      <c r="H46" s="9">
        <f>IFERROR(__xludf.DUMMYFUNCTION("GOOGLEFINANCE(""ASX:AAI"", ""low52"")"),36.2)</f>
        <v>36.2</v>
      </c>
      <c r="I46" s="9">
        <f>IFERROR(__xludf.DUMMYFUNCTION("GOOGLEFINANCE(""ASX:AAI"", ""marketcap"")"),1.6459752195E10)</f>
        <v>16459752195</v>
      </c>
      <c r="J46" s="5"/>
      <c r="K46" s="5"/>
      <c r="L46" s="5"/>
      <c r="M46" s="5"/>
      <c r="N46" s="11" t="s">
        <v>19</v>
      </c>
      <c r="O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6" t="s">
        <v>119</v>
      </c>
      <c r="B47" s="6" t="s">
        <v>120</v>
      </c>
      <c r="C47" s="5" t="s">
        <v>18</v>
      </c>
      <c r="D47" s="7">
        <f>IFERROR(__xludf.DUMMYFUNCTION("GOOGLEFINANCE(""ASX:AAJ"", ""price"")"),0.02)</f>
        <v>0.02</v>
      </c>
      <c r="E47" s="8">
        <f>IFERROR(__xludf.DUMMYFUNCTION("GOOGLEFINANCE(""ASX:AAJ"", ""closeyest"")"),0.02)</f>
        <v>0.02</v>
      </c>
      <c r="F47" s="5" t="str">
        <f>IFERROR(__xludf.DUMMYFUNCTION("GOOGLEFINANCE(""ASX:AAJ"", ""pe"")"),"#N/A")</f>
        <v>#N/A</v>
      </c>
      <c r="G47" s="9">
        <f>IFERROR(__xludf.DUMMYFUNCTION("GOOGLEFINANCE(""ASX:AAJ"", ""high52"")"),0.03)</f>
        <v>0.03</v>
      </c>
      <c r="H47" s="9">
        <f>IFERROR(__xludf.DUMMYFUNCTION("GOOGLEFINANCE(""ASX:AAJ"", ""low52"")"),0.01)</f>
        <v>0.01</v>
      </c>
      <c r="I47" s="9">
        <f>IFERROR(__xludf.DUMMYFUNCTION("GOOGLEFINANCE(""ASX:AAJ"", ""marketcap"")"),4953899.0)</f>
        <v>4953899</v>
      </c>
      <c r="J47" s="5"/>
      <c r="K47" s="5"/>
      <c r="L47" s="5"/>
      <c r="M47" s="5"/>
      <c r="N47" s="11" t="s">
        <v>19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6" t="s">
        <v>121</v>
      </c>
      <c r="B48" s="6" t="s">
        <v>122</v>
      </c>
      <c r="C48" s="5" t="s">
        <v>123</v>
      </c>
      <c r="D48" s="7">
        <f>IFERROR(__xludf.DUMMYFUNCTION("GOOGLEFINANCE(""ASX:AAL"", ""price"")"),0.44)</f>
        <v>0.44</v>
      </c>
      <c r="E48" s="8">
        <f>IFERROR(__xludf.DUMMYFUNCTION("GOOGLEFINANCE(""ASX:AAL"", ""closeyest"")"),0.43)</f>
        <v>0.43</v>
      </c>
      <c r="F48" s="9">
        <f>IFERROR(__xludf.DUMMYFUNCTION("GOOGLEFINANCE(""ASX:AAL"", ""pe"")"),10.39)</f>
        <v>10.39</v>
      </c>
      <c r="G48" s="9">
        <f>IFERROR(__xludf.DUMMYFUNCTION("GOOGLEFINANCE(""ASX:AAL"", ""high52"")"),0.59)</f>
        <v>0.59</v>
      </c>
      <c r="H48" s="9">
        <f>IFERROR(__xludf.DUMMYFUNCTION("GOOGLEFINANCE(""ASX:AAL"", ""low52"")"),0.32)</f>
        <v>0.32</v>
      </c>
      <c r="I48" s="9">
        <f>IFERROR(__xludf.DUMMYFUNCTION("GOOGLEFINANCE(""ASX:AAL"", ""marketcap"")"),5.7452871E7)</f>
        <v>57452871</v>
      </c>
      <c r="J48" s="5"/>
      <c r="K48" s="5"/>
      <c r="L48" s="5"/>
      <c r="M48" s="5"/>
      <c r="N48" s="10">
        <v>9.99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6" t="s">
        <v>124</v>
      </c>
      <c r="B49" s="6" t="s">
        <v>125</v>
      </c>
      <c r="C49" s="5" t="s">
        <v>18</v>
      </c>
      <c r="D49" s="7">
        <f>IFERROR(__xludf.DUMMYFUNCTION("GOOGLEFINANCE(""ASX:AAM"", ""price"")"),0.04)</f>
        <v>0.04</v>
      </c>
      <c r="E49" s="8">
        <f>IFERROR(__xludf.DUMMYFUNCTION("GOOGLEFINANCE(""ASX:AAM"", ""closeyest"")"),0.04)</f>
        <v>0.04</v>
      </c>
      <c r="F49" s="5" t="str">
        <f>IFERROR(__xludf.DUMMYFUNCTION("GOOGLEFINANCE(""ASX:AAM"", ""pe"")"),"#N/A")</f>
        <v>#N/A</v>
      </c>
      <c r="G49" s="9">
        <f>IFERROR(__xludf.DUMMYFUNCTION("GOOGLEFINANCE(""ASX:AAM"", ""high52"")"),0.06)</f>
        <v>0.06</v>
      </c>
      <c r="H49" s="9">
        <f>IFERROR(__xludf.DUMMYFUNCTION("GOOGLEFINANCE(""ASX:AAM"", ""low52"")"),0.03)</f>
        <v>0.03</v>
      </c>
      <c r="I49" s="9">
        <f>IFERROR(__xludf.DUMMYFUNCTION("GOOGLEFINANCE(""ASX:AAM"", ""marketcap"")"),3.3972917E7)</f>
        <v>33972917</v>
      </c>
      <c r="J49" s="5"/>
      <c r="K49" s="5"/>
      <c r="L49" s="5"/>
      <c r="M49" s="5"/>
      <c r="N49" s="11" t="s">
        <v>19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6" t="s">
        <v>126</v>
      </c>
      <c r="B50" s="6" t="s">
        <v>127</v>
      </c>
      <c r="C50" s="5" t="s">
        <v>128</v>
      </c>
      <c r="D50" s="7">
        <f>IFERROR(__xludf.DUMMYFUNCTION("GOOGLEFINANCE(""ASX:AAP"", ""price"")"),0.05)</f>
        <v>0.05</v>
      </c>
      <c r="E50" s="8">
        <f>IFERROR(__xludf.DUMMYFUNCTION("GOOGLEFINANCE(""ASX:AAP"", ""closeyest"")"),0.05)</f>
        <v>0.05</v>
      </c>
      <c r="F50" s="9">
        <f>IFERROR(__xludf.DUMMYFUNCTION("GOOGLEFINANCE(""ASX:AAP"", ""pe"")"),9.77)</f>
        <v>9.77</v>
      </c>
      <c r="G50" s="9">
        <f>IFERROR(__xludf.DUMMYFUNCTION("GOOGLEFINANCE(""ASX:AAP"", ""high52"")"),0.05)</f>
        <v>0.05</v>
      </c>
      <c r="H50" s="9">
        <f>IFERROR(__xludf.DUMMYFUNCTION("GOOGLEFINANCE(""ASX:AAP"", ""low52"")"),0.04)</f>
        <v>0.04</v>
      </c>
      <c r="I50" s="9">
        <f>IFERROR(__xludf.DUMMYFUNCTION("GOOGLEFINANCE(""ASX:AAP"", ""marketcap"")"),1.9550742E7)</f>
        <v>19550742</v>
      </c>
      <c r="J50" s="12">
        <v>0.052</v>
      </c>
      <c r="K50" s="12">
        <v>0.051</v>
      </c>
      <c r="L50" s="12">
        <v>0.053</v>
      </c>
      <c r="M50" s="12">
        <v>0.041</v>
      </c>
      <c r="N50" s="10">
        <v>9.4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6" t="s">
        <v>129</v>
      </c>
      <c r="B51" s="6" t="s">
        <v>130</v>
      </c>
      <c r="C51" s="5" t="s">
        <v>88</v>
      </c>
      <c r="D51" s="7">
        <f>IFERROR(__xludf.DUMMYFUNCTION("GOOGLEFINANCE(""ASX:AAR"", ""price"")"),0.26)</f>
        <v>0.26</v>
      </c>
      <c r="E51" s="8">
        <f>IFERROR(__xludf.DUMMYFUNCTION("GOOGLEFINANCE(""ASX:AAR"", ""closeyest"")"),0.27)</f>
        <v>0.27</v>
      </c>
      <c r="F51" s="5" t="str">
        <f>IFERROR(__xludf.DUMMYFUNCTION("GOOGLEFINANCE(""ASX:AAR"", ""pe"")"),"#N/A")</f>
        <v>#N/A</v>
      </c>
      <c r="G51" s="9">
        <f>IFERROR(__xludf.DUMMYFUNCTION("GOOGLEFINANCE(""ASX:AAR"", ""high52"")"),0.28)</f>
        <v>0.28</v>
      </c>
      <c r="H51" s="9">
        <f>IFERROR(__xludf.DUMMYFUNCTION("GOOGLEFINANCE(""ASX:AAR"", ""low52"")"),0.13)</f>
        <v>0.13</v>
      </c>
      <c r="I51" s="9">
        <f>IFERROR(__xludf.DUMMYFUNCTION("GOOGLEFINANCE(""ASX:AAR"", ""marketcap"")"),4.57175663E8)</f>
        <v>457175663</v>
      </c>
      <c r="J51" s="5"/>
      <c r="K51" s="5"/>
      <c r="L51" s="5"/>
      <c r="M51" s="5"/>
      <c r="N51" s="11" t="s">
        <v>19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6" t="s">
        <v>131</v>
      </c>
      <c r="B52" s="6" t="s">
        <v>132</v>
      </c>
      <c r="C52" s="5" t="s">
        <v>36</v>
      </c>
      <c r="D52" s="7" t="str">
        <f>IFERROR(__xludf.DUMMYFUNCTION("GOOGLEFINANCE(""ASX:AASF"", ""price"")"),"#N/A")</f>
        <v>#N/A</v>
      </c>
      <c r="E52" s="8" t="str">
        <f>IFERROR(__xludf.DUMMYFUNCTION("GOOGLEFINANCE(""ASX:AASF"", ""closeyest"")"),"#N/A")</f>
        <v>#N/A</v>
      </c>
      <c r="F52" s="5" t="str">
        <f>IFERROR(__xludf.DUMMYFUNCTION("GOOGLEFINANCE(""ASX:AASF"", ""pe"")"),"#N/A")</f>
        <v>#N/A</v>
      </c>
      <c r="G52" s="5" t="str">
        <f>IFERROR(__xludf.DUMMYFUNCTION("GOOGLEFINANCE(""ASX:AASF"", ""high52"")"),"#N/A")</f>
        <v>#N/A</v>
      </c>
      <c r="H52" s="5" t="str">
        <f>IFERROR(__xludf.DUMMYFUNCTION("GOOGLEFINANCE(""ASX:AASF"", ""low52"")"),"#N/A")</f>
        <v>#N/A</v>
      </c>
      <c r="I52" s="9" t="str">
        <f>IFERROR(__xludf.DUMMYFUNCTION("GOOGLEFINANCE(""ASX:AASF"", ""marketcap"")"),"#N/A")</f>
        <v>#N/A</v>
      </c>
      <c r="J52" s="12">
        <v>3.79</v>
      </c>
      <c r="K52" s="12">
        <v>3.78</v>
      </c>
      <c r="L52" s="12">
        <v>4.11</v>
      </c>
      <c r="M52" s="12">
        <v>3.38</v>
      </c>
      <c r="N52" s="11" t="s">
        <v>19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6" t="s">
        <v>133</v>
      </c>
      <c r="B53" s="6" t="s">
        <v>134</v>
      </c>
      <c r="C53" s="5" t="s">
        <v>88</v>
      </c>
      <c r="D53" s="7">
        <f>IFERROR(__xludf.DUMMYFUNCTION("GOOGLEFINANCE(""ASX:AAU"", ""price"")"),0.01)</f>
        <v>0.01</v>
      </c>
      <c r="E53" s="8">
        <f>IFERROR(__xludf.DUMMYFUNCTION("GOOGLEFINANCE(""ASX:AAU"", ""closeyest"")"),0.01)</f>
        <v>0.01</v>
      </c>
      <c r="F53" s="9">
        <f>IFERROR(__xludf.DUMMYFUNCTION("GOOGLEFINANCE(""ASX:AAU"", ""pe"")"),7.46)</f>
        <v>7.46</v>
      </c>
      <c r="G53" s="9">
        <f>IFERROR(__xludf.DUMMYFUNCTION("GOOGLEFINANCE(""ASX:AAU"", ""high52"")"),0.01)</f>
        <v>0.01</v>
      </c>
      <c r="H53" s="9">
        <f>IFERROR(__xludf.DUMMYFUNCTION("GOOGLEFINANCE(""ASX:AAU"", ""low52"")"),0.0)</f>
        <v>0</v>
      </c>
      <c r="I53" s="9">
        <f>IFERROR(__xludf.DUMMYFUNCTION("GOOGLEFINANCE(""ASX:AAU"", ""marketcap"")"),2.7965709E7)</f>
        <v>27965709</v>
      </c>
      <c r="J53" s="5"/>
      <c r="K53" s="5"/>
      <c r="L53" s="5"/>
      <c r="M53" s="5"/>
      <c r="N53" s="10">
        <v>7.46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6" t="s">
        <v>135</v>
      </c>
      <c r="B54" s="6" t="s">
        <v>136</v>
      </c>
      <c r="C54" s="5" t="s">
        <v>137</v>
      </c>
      <c r="D54" s="7">
        <f>IFERROR(__xludf.DUMMYFUNCTION("GOOGLEFINANCE(""ASX:ABB"", ""price"")"),4.92)</f>
        <v>4.92</v>
      </c>
      <c r="E54" s="8">
        <f>IFERROR(__xludf.DUMMYFUNCTION("GOOGLEFINANCE(""ASX:ABB"", ""closeyest"")"),4.87)</f>
        <v>4.87</v>
      </c>
      <c r="F54" s="9">
        <f>IFERROR(__xludf.DUMMYFUNCTION("GOOGLEFINANCE(""ASX:ABB"", ""pe"")"),44.05)</f>
        <v>44.05</v>
      </c>
      <c r="G54" s="9">
        <f>IFERROR(__xludf.DUMMYFUNCTION("GOOGLEFINANCE(""ASX:ABB"", ""high52"")"),6.1)</f>
        <v>6.1</v>
      </c>
      <c r="H54" s="9">
        <f>IFERROR(__xludf.DUMMYFUNCTION("GOOGLEFINANCE(""ASX:ABB"", ""low52"")"),3.36)</f>
        <v>3.36</v>
      </c>
      <c r="I54" s="9">
        <f>IFERROR(__xludf.DUMMYFUNCTION("GOOGLEFINANCE(""ASX:ABB"", ""marketcap"")"),1.439474434E9)</f>
        <v>1439474434</v>
      </c>
      <c r="J54" s="12">
        <v>4.9</v>
      </c>
      <c r="K54" s="12">
        <v>4.9</v>
      </c>
      <c r="L54" s="12">
        <v>6.1</v>
      </c>
      <c r="M54" s="12">
        <v>3.36</v>
      </c>
      <c r="N54" s="10">
        <v>44.77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6" t="s">
        <v>138</v>
      </c>
      <c r="B55" s="6" t="s">
        <v>139</v>
      </c>
      <c r="C55" s="5" t="s">
        <v>140</v>
      </c>
      <c r="D55" s="7">
        <f>IFERROR(__xludf.DUMMYFUNCTION("GOOGLEFINANCE(""ASX:ABE"", ""price"")"),0.03)</f>
        <v>0.03</v>
      </c>
      <c r="E55" s="8">
        <f>IFERROR(__xludf.DUMMYFUNCTION("GOOGLEFINANCE(""ASX:ABE"", ""closeyest"")"),0.03)</f>
        <v>0.03</v>
      </c>
      <c r="F55" s="5" t="str">
        <f>IFERROR(__xludf.DUMMYFUNCTION("GOOGLEFINANCE(""ASX:ABE"", ""pe"")"),"#N/A")</f>
        <v>#N/A</v>
      </c>
      <c r="G55" s="9">
        <f>IFERROR(__xludf.DUMMYFUNCTION("GOOGLEFINANCE(""ASX:ABE"", ""high52"")"),0.05)</f>
        <v>0.05</v>
      </c>
      <c r="H55" s="9">
        <f>IFERROR(__xludf.DUMMYFUNCTION("GOOGLEFINANCE(""ASX:ABE"", ""low52"")"),0.02)</f>
        <v>0.02</v>
      </c>
      <c r="I55" s="9">
        <f>IFERROR(__xludf.DUMMYFUNCTION("GOOGLEFINANCE(""ASX:ABE"", ""marketcap"")"),3892430.0)</f>
        <v>3892430</v>
      </c>
      <c r="J55" s="5"/>
      <c r="K55" s="5"/>
      <c r="L55" s="5"/>
      <c r="M55" s="5"/>
      <c r="N55" s="11" t="s">
        <v>19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6" t="s">
        <v>141</v>
      </c>
      <c r="B56" s="6" t="s">
        <v>142</v>
      </c>
      <c r="C56" s="5" t="s">
        <v>143</v>
      </c>
      <c r="D56" s="7">
        <f>IFERROR(__xludf.DUMMYFUNCTION("GOOGLEFINANCE(""ASX:ABG"", ""price"")"),1.18)</f>
        <v>1.18</v>
      </c>
      <c r="E56" s="8">
        <f>IFERROR(__xludf.DUMMYFUNCTION("GOOGLEFINANCE(""ASX:ABG"", ""closeyest"")"),1.17)</f>
        <v>1.17</v>
      </c>
      <c r="F56" s="9">
        <f>IFERROR(__xludf.DUMMYFUNCTION("GOOGLEFINANCE(""ASX:ABG"", ""pe"")"),39.19)</f>
        <v>39.19</v>
      </c>
      <c r="G56" s="9">
        <f>IFERROR(__xludf.DUMMYFUNCTION("GOOGLEFINANCE(""ASX:ABG"", ""high52"")"),1.3)</f>
        <v>1.3</v>
      </c>
      <c r="H56" s="9">
        <f>IFERROR(__xludf.DUMMYFUNCTION("GOOGLEFINANCE(""ASX:ABG"", ""low52"")"),1.03)</f>
        <v>1.03</v>
      </c>
      <c r="I56" s="9">
        <f>IFERROR(__xludf.DUMMYFUNCTION("GOOGLEFINANCE(""ASX:ABG"", ""marketcap"")"),1.054516275E9)</f>
        <v>1054516275</v>
      </c>
      <c r="J56" s="5"/>
      <c r="K56" s="5"/>
      <c r="L56" s="5"/>
      <c r="M56" s="5"/>
      <c r="N56" s="10">
        <v>39.85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6" t="s">
        <v>144</v>
      </c>
      <c r="B57" s="6" t="s">
        <v>145</v>
      </c>
      <c r="C57" s="5" t="s">
        <v>18</v>
      </c>
      <c r="D57" s="7">
        <f>IFERROR(__xludf.DUMMYFUNCTION("GOOGLEFINANCE(""ASX:ABR"", ""price"")"),0.0)</f>
        <v>0</v>
      </c>
      <c r="E57" s="8">
        <f>IFERROR(__xludf.DUMMYFUNCTION("GOOGLEFINANCE(""ASX:ABR"", ""closeyest"")"),0.0)</f>
        <v>0</v>
      </c>
      <c r="F57" s="5" t="str">
        <f>IFERROR(__xludf.DUMMYFUNCTION("GOOGLEFINANCE(""ASX:ABR"", ""pe"")"),"#N/A")</f>
        <v>#N/A</v>
      </c>
      <c r="G57" s="9">
        <f>IFERROR(__xludf.DUMMYFUNCTION("GOOGLEFINANCE(""ASX:ABR"", ""high52"")"),0.01)</f>
        <v>0.01</v>
      </c>
      <c r="H57" s="9">
        <f>IFERROR(__xludf.DUMMYFUNCTION("GOOGLEFINANCE(""ASX:ABR"", ""low52"")"),0.0)</f>
        <v>0</v>
      </c>
      <c r="I57" s="9">
        <f>IFERROR(__xludf.DUMMYFUNCTION("GOOGLEFINANCE(""ASX:ABR"", ""marketcap"")"),1674740.0)</f>
        <v>1674740</v>
      </c>
      <c r="J57" s="12">
        <v>0.004</v>
      </c>
      <c r="K57" s="12">
        <v>0.0035</v>
      </c>
      <c r="L57" s="12">
        <v>0.005</v>
      </c>
      <c r="M57" s="12">
        <v>0.003</v>
      </c>
      <c r="N57" s="11" t="s">
        <v>19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6" t="s">
        <v>146</v>
      </c>
      <c r="B58" s="6" t="s">
        <v>147</v>
      </c>
      <c r="C58" s="5" t="s">
        <v>148</v>
      </c>
      <c r="D58" s="7">
        <f>IFERROR(__xludf.DUMMYFUNCTION("GOOGLEFINANCE(""ASX:ABV"", ""price"")"),0.11)</f>
        <v>0.11</v>
      </c>
      <c r="E58" s="8">
        <f>IFERROR(__xludf.DUMMYFUNCTION("GOOGLEFINANCE(""ASX:ABV"", ""closeyest"")"),0.11)</f>
        <v>0.11</v>
      </c>
      <c r="F58" s="9">
        <f>IFERROR(__xludf.DUMMYFUNCTION("GOOGLEFINANCE(""ASX:ABV"", ""pe"")"),23.76)</f>
        <v>23.76</v>
      </c>
      <c r="G58" s="9">
        <f>IFERROR(__xludf.DUMMYFUNCTION("GOOGLEFINANCE(""ASX:ABV"", ""high52"")"),0.14)</f>
        <v>0.14</v>
      </c>
      <c r="H58" s="9">
        <f>IFERROR(__xludf.DUMMYFUNCTION("GOOGLEFINANCE(""ASX:ABV"", ""low52"")"),0.07)</f>
        <v>0.07</v>
      </c>
      <c r="I58" s="9">
        <f>IFERROR(__xludf.DUMMYFUNCTION("GOOGLEFINANCE(""ASX:ABV"", ""marketcap"")"),4.3764148E7)</f>
        <v>43764148</v>
      </c>
      <c r="J58" s="5"/>
      <c r="K58" s="5"/>
      <c r="L58" s="5"/>
      <c r="M58" s="5"/>
      <c r="N58" s="10">
        <v>23.76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6" t="s">
        <v>149</v>
      </c>
      <c r="B59" s="6" t="s">
        <v>150</v>
      </c>
      <c r="C59" s="5" t="s">
        <v>75</v>
      </c>
      <c r="D59" s="7">
        <f>IFERROR(__xludf.DUMMYFUNCTION("GOOGLEFINANCE(""ASX:ABX"", ""price"")"),0.08)</f>
        <v>0.08</v>
      </c>
      <c r="E59" s="8">
        <f>IFERROR(__xludf.DUMMYFUNCTION("GOOGLEFINANCE(""ASX:ABX"", ""closeyest"")"),0.07)</f>
        <v>0.07</v>
      </c>
      <c r="F59" s="5" t="str">
        <f>IFERROR(__xludf.DUMMYFUNCTION("GOOGLEFINANCE(""ASX:ABX"", ""pe"")"),"#N/A")</f>
        <v>#N/A</v>
      </c>
      <c r="G59" s="9">
        <f>IFERROR(__xludf.DUMMYFUNCTION("GOOGLEFINANCE(""ASX:ABX"", ""high52"")"),0.14)</f>
        <v>0.14</v>
      </c>
      <c r="H59" s="9">
        <f>IFERROR(__xludf.DUMMYFUNCTION("GOOGLEFINANCE(""ASX:ABX"", ""low52"")"),0.03)</f>
        <v>0.03</v>
      </c>
      <c r="I59" s="9">
        <f>IFERROR(__xludf.DUMMYFUNCTION("GOOGLEFINANCE(""ASX:ABX"", ""marketcap"")"),3.0479239E7)</f>
        <v>30479239</v>
      </c>
      <c r="J59" s="5"/>
      <c r="K59" s="5"/>
      <c r="L59" s="5"/>
      <c r="M59" s="5"/>
      <c r="N59" s="11" t="s">
        <v>19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6" t="s">
        <v>151</v>
      </c>
      <c r="B60" s="6" t="s">
        <v>152</v>
      </c>
      <c r="C60" s="5" t="s">
        <v>153</v>
      </c>
      <c r="D60" s="7">
        <f>IFERROR(__xludf.DUMMYFUNCTION("GOOGLEFINANCE(""ASX:ABY"", ""price"")"),1.27)</f>
        <v>1.27</v>
      </c>
      <c r="E60" s="8">
        <f>IFERROR(__xludf.DUMMYFUNCTION("GOOGLEFINANCE(""ASX:ABY"", ""closeyest"")"),1.29)</f>
        <v>1.29</v>
      </c>
      <c r="F60" s="9">
        <f>IFERROR(__xludf.DUMMYFUNCTION("GOOGLEFINANCE(""ASX:ABY"", ""pe"")"),162.63)</f>
        <v>162.63</v>
      </c>
      <c r="G60" s="9">
        <f>IFERROR(__xludf.DUMMYFUNCTION("GOOGLEFINANCE(""ASX:ABY"", ""high52"")"),1.33)</f>
        <v>1.33</v>
      </c>
      <c r="H60" s="9">
        <f>IFERROR(__xludf.DUMMYFUNCTION("GOOGLEFINANCE(""ASX:ABY"", ""low52"")"),0.61)</f>
        <v>0.61</v>
      </c>
      <c r="I60" s="9">
        <f>IFERROR(__xludf.DUMMYFUNCTION("GOOGLEFINANCE(""ASX:ABY"", ""marketcap"")"),1.20275541E8)</f>
        <v>120275541</v>
      </c>
      <c r="J60" s="5"/>
      <c r="K60" s="5"/>
      <c r="L60" s="5"/>
      <c r="M60" s="5"/>
      <c r="N60" s="10">
        <v>164.54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6" t="s">
        <v>154</v>
      </c>
      <c r="B61" s="6" t="s">
        <v>155</v>
      </c>
      <c r="C61" s="5" t="s">
        <v>36</v>
      </c>
      <c r="D61" s="7">
        <f>IFERROR(__xludf.DUMMYFUNCTION("GOOGLEFINANCE(""ASX:ACDC"", ""price"")"),148.2)</f>
        <v>148.2</v>
      </c>
      <c r="E61" s="8">
        <f>IFERROR(__xludf.DUMMYFUNCTION("GOOGLEFINANCE(""ASX:ACDC"", ""closeyest"")"),146.92)</f>
        <v>146.92</v>
      </c>
      <c r="F61" s="5" t="str">
        <f>IFERROR(__xludf.DUMMYFUNCTION("GOOGLEFINANCE(""ASX:ACDC"", ""pe"")"),"#N/A")</f>
        <v>#N/A</v>
      </c>
      <c r="G61" s="9">
        <f>IFERROR(__xludf.DUMMYFUNCTION("GOOGLEFINANCE(""ASX:ACDC"", ""high52"")"),149.0)</f>
        <v>149</v>
      </c>
      <c r="H61" s="9">
        <f>IFERROR(__xludf.DUMMYFUNCTION("GOOGLEFINANCE(""ASX:ACDC"", ""low52"")"),71.63)</f>
        <v>71.63</v>
      </c>
      <c r="I61" s="9" t="str">
        <f>IFERROR(__xludf.DUMMYFUNCTION("GOOGLEFINANCE(""ASX:ACDC"", ""marketcap"")"),"#N/A")</f>
        <v>#N/A</v>
      </c>
      <c r="J61" s="5"/>
      <c r="K61" s="5"/>
      <c r="L61" s="5"/>
      <c r="M61" s="5"/>
      <c r="N61" s="11" t="s">
        <v>19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6" t="s">
        <v>156</v>
      </c>
      <c r="B62" s="6" t="s">
        <v>157</v>
      </c>
      <c r="C62" s="5" t="s">
        <v>158</v>
      </c>
      <c r="D62" s="7">
        <f>IFERROR(__xludf.DUMMYFUNCTION("GOOGLEFINANCE(""ASX:ACE"", ""price"")"),1.66)</f>
        <v>1.66</v>
      </c>
      <c r="E62" s="8">
        <f>IFERROR(__xludf.DUMMYFUNCTION("GOOGLEFINANCE(""ASX:ACE"", ""closeyest"")"),1.68)</f>
        <v>1.68</v>
      </c>
      <c r="F62" s="5" t="str">
        <f>IFERROR(__xludf.DUMMYFUNCTION("GOOGLEFINANCE(""ASX:ACE"", ""pe"")"),"#N/A")</f>
        <v>#N/A</v>
      </c>
      <c r="G62" s="9">
        <f>IFERROR(__xludf.DUMMYFUNCTION("GOOGLEFINANCE(""ASX:ACE"", ""high52"")"),2.13)</f>
        <v>2.13</v>
      </c>
      <c r="H62" s="9">
        <f>IFERROR(__xludf.DUMMYFUNCTION("GOOGLEFINANCE(""ASX:ACE"", ""low52"")"),0.82)</f>
        <v>0.82</v>
      </c>
      <c r="I62" s="9">
        <f>IFERROR(__xludf.DUMMYFUNCTION("GOOGLEFINANCE(""ASX:ACE"", ""marketcap"")"),2.69232406E8)</f>
        <v>269232406</v>
      </c>
      <c r="J62" s="5"/>
      <c r="K62" s="5"/>
      <c r="L62" s="5"/>
      <c r="M62" s="5"/>
      <c r="N62" s="11" t="s">
        <v>19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6" t="s">
        <v>159</v>
      </c>
      <c r="B63" s="6" t="s">
        <v>160</v>
      </c>
      <c r="C63" s="5" t="s">
        <v>161</v>
      </c>
      <c r="D63" s="7">
        <f>IFERROR(__xludf.DUMMYFUNCTION("GOOGLEFINANCE(""ASX:ACF"", ""price"")"),1.05)</f>
        <v>1.05</v>
      </c>
      <c r="E63" s="8">
        <f>IFERROR(__xludf.DUMMYFUNCTION("GOOGLEFINANCE(""ASX:ACF"", ""closeyest"")"),1.06)</f>
        <v>1.06</v>
      </c>
      <c r="F63" s="9">
        <f>IFERROR(__xludf.DUMMYFUNCTION("GOOGLEFINANCE(""ASX:ACF"", ""pe"")"),14.15)</f>
        <v>14.15</v>
      </c>
      <c r="G63" s="9">
        <f>IFERROR(__xludf.DUMMYFUNCTION("GOOGLEFINANCE(""ASX:ACF"", ""high52"")"),1.2)</f>
        <v>1.2</v>
      </c>
      <c r="H63" s="9">
        <f>IFERROR(__xludf.DUMMYFUNCTION("GOOGLEFINANCE(""ASX:ACF"", ""low52"")"),0.95)</f>
        <v>0.95</v>
      </c>
      <c r="I63" s="9">
        <f>IFERROR(__xludf.DUMMYFUNCTION("GOOGLEFINANCE(""ASX:ACF"", ""marketcap"")"),3.26951715E8)</f>
        <v>326951715</v>
      </c>
      <c r="J63" s="9">
        <v>6.29</v>
      </c>
      <c r="K63" s="9">
        <v>6.29</v>
      </c>
      <c r="L63" s="9">
        <v>6.49</v>
      </c>
      <c r="M63" s="9">
        <v>5.63</v>
      </c>
      <c r="N63" s="10">
        <v>13.94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6" t="s">
        <v>162</v>
      </c>
      <c r="B64" s="6" t="s">
        <v>163</v>
      </c>
      <c r="C64" s="5" t="s">
        <v>164</v>
      </c>
      <c r="D64" s="7">
        <f>IFERROR(__xludf.DUMMYFUNCTION("GOOGLEFINANCE(""ASX:ACL"", ""price"")"),2.63)</f>
        <v>2.63</v>
      </c>
      <c r="E64" s="8">
        <f>IFERROR(__xludf.DUMMYFUNCTION("GOOGLEFINANCE(""ASX:ACL"", ""closeyest"")"),2.61)</f>
        <v>2.61</v>
      </c>
      <c r="F64" s="9">
        <f>IFERROR(__xludf.DUMMYFUNCTION("GOOGLEFINANCE(""ASX:ACL"", ""pe"")"),15.43)</f>
        <v>15.43</v>
      </c>
      <c r="G64" s="9">
        <f>IFERROR(__xludf.DUMMYFUNCTION("GOOGLEFINANCE(""ASX:ACL"", ""high52"")"),3.83)</f>
        <v>3.83</v>
      </c>
      <c r="H64" s="9">
        <f>IFERROR(__xludf.DUMMYFUNCTION("GOOGLEFINANCE(""ASX:ACL"", ""low52"")"),2.38)</f>
        <v>2.38</v>
      </c>
      <c r="I64" s="9">
        <f>IFERROR(__xludf.DUMMYFUNCTION("GOOGLEFINANCE(""ASX:ACL"", ""marketcap"")"),5.05540725E8)</f>
        <v>505540725</v>
      </c>
      <c r="J64" s="5"/>
      <c r="K64" s="5"/>
      <c r="L64" s="5"/>
      <c r="M64" s="5"/>
      <c r="N64" s="10">
        <v>16.01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6" t="s">
        <v>165</v>
      </c>
      <c r="B65" s="6" t="s">
        <v>166</v>
      </c>
      <c r="C65" s="5" t="s">
        <v>18</v>
      </c>
      <c r="D65" s="7">
        <f>IFERROR(__xludf.DUMMYFUNCTION("GOOGLEFINANCE(""ASX:ACM"", ""price"")"),0.08)</f>
        <v>0.08</v>
      </c>
      <c r="E65" s="8">
        <f>IFERROR(__xludf.DUMMYFUNCTION("GOOGLEFINANCE(""ASX:ACM"", ""closeyest"")"),0.08)</f>
        <v>0.08</v>
      </c>
      <c r="F65" s="5" t="str">
        <f>IFERROR(__xludf.DUMMYFUNCTION("GOOGLEFINANCE(""ASX:ACM"", ""pe"")"),"#N/A")</f>
        <v>#N/A</v>
      </c>
      <c r="G65" s="9">
        <f>IFERROR(__xludf.DUMMYFUNCTION("GOOGLEFINANCE(""ASX:ACM"", ""high52"")"),0.11)</f>
        <v>0.11</v>
      </c>
      <c r="H65" s="9">
        <f>IFERROR(__xludf.DUMMYFUNCTION("GOOGLEFINANCE(""ASX:ACM"", ""low52"")"),0.04)</f>
        <v>0.04</v>
      </c>
      <c r="I65" s="9">
        <f>IFERROR(__xludf.DUMMYFUNCTION("GOOGLEFINANCE(""ASX:ACM"", ""marketcap"")"),6679463.0)</f>
        <v>6679463</v>
      </c>
      <c r="J65" s="5"/>
      <c r="K65" s="5"/>
      <c r="L65" s="5"/>
      <c r="M65" s="5"/>
      <c r="N65" s="11" t="s">
        <v>19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6" t="s">
        <v>167</v>
      </c>
      <c r="B66" s="6" t="s">
        <v>168</v>
      </c>
      <c r="C66" s="5" t="s">
        <v>39</v>
      </c>
      <c r="D66" s="7">
        <f>IFERROR(__xludf.DUMMYFUNCTION("GOOGLEFINANCE(""ASX:ACP"", ""price"")"),0.03)</f>
        <v>0.03</v>
      </c>
      <c r="E66" s="8">
        <f>IFERROR(__xludf.DUMMYFUNCTION("GOOGLEFINANCE(""ASX:ACP"", ""closeyest"")"),0.03)</f>
        <v>0.03</v>
      </c>
      <c r="F66" s="5" t="str">
        <f>IFERROR(__xludf.DUMMYFUNCTION("GOOGLEFINANCE(""ASX:ACP"", ""pe"")"),"#N/A")</f>
        <v>#N/A</v>
      </c>
      <c r="G66" s="9">
        <f>IFERROR(__xludf.DUMMYFUNCTION("GOOGLEFINANCE(""ASX:ACP"", ""high52"")"),0.03)</f>
        <v>0.03</v>
      </c>
      <c r="H66" s="9">
        <f>IFERROR(__xludf.DUMMYFUNCTION("GOOGLEFINANCE(""ASX:ACP"", ""low52"")"),0.02)</f>
        <v>0.02</v>
      </c>
      <c r="I66" s="9">
        <f>IFERROR(__xludf.DUMMYFUNCTION("GOOGLEFINANCE(""ASX:ACP"", ""marketcap"")"),2.08034E7)</f>
        <v>20803400</v>
      </c>
      <c r="J66" s="5"/>
      <c r="K66" s="5"/>
      <c r="L66" s="5"/>
      <c r="M66" s="5"/>
      <c r="N66" s="11" t="s">
        <v>19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6" t="s">
        <v>169</v>
      </c>
      <c r="B67" s="6" t="s">
        <v>170</v>
      </c>
      <c r="C67" s="5" t="s">
        <v>171</v>
      </c>
      <c r="D67" s="7">
        <f>IFERROR(__xludf.DUMMYFUNCTION("GOOGLEFINANCE(""ASX:ACQ"", ""price"")"),0.95)</f>
        <v>0.95</v>
      </c>
      <c r="E67" s="8">
        <f>IFERROR(__xludf.DUMMYFUNCTION("GOOGLEFINANCE(""ASX:ACQ"", ""closeyest"")"),0.93)</f>
        <v>0.93</v>
      </c>
      <c r="F67" s="9">
        <f>IFERROR(__xludf.DUMMYFUNCTION("GOOGLEFINANCE(""ASX:ACQ"", ""pe"")"),8.76)</f>
        <v>8.76</v>
      </c>
      <c r="G67" s="9">
        <f>IFERROR(__xludf.DUMMYFUNCTION("GOOGLEFINANCE(""ASX:ACQ"", ""high52"")"),0.98)</f>
        <v>0.98</v>
      </c>
      <c r="H67" s="9">
        <f>IFERROR(__xludf.DUMMYFUNCTION("GOOGLEFINANCE(""ASX:ACQ"", ""low52"")"),0.69)</f>
        <v>0.69</v>
      </c>
      <c r="I67" s="9">
        <f>IFERROR(__xludf.DUMMYFUNCTION("GOOGLEFINANCE(""ASX:ACQ"", ""marketcap"")"),8.4915074E7)</f>
        <v>84915074</v>
      </c>
      <c r="J67" s="5"/>
      <c r="K67" s="5"/>
      <c r="L67" s="5"/>
      <c r="M67" s="5"/>
      <c r="N67" s="10">
        <v>8.67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6" t="s">
        <v>172</v>
      </c>
      <c r="B68" s="6" t="s">
        <v>173</v>
      </c>
      <c r="C68" s="5" t="s">
        <v>174</v>
      </c>
      <c r="D68" s="7">
        <f>IFERROR(__xludf.DUMMYFUNCTION("GOOGLEFINANCE(""ASX:ACR"", ""price"")"),0.02)</f>
        <v>0.02</v>
      </c>
      <c r="E68" s="8">
        <f>IFERROR(__xludf.DUMMYFUNCTION("GOOGLEFINANCE(""ASX:ACR"", ""closeyest"")"),0.02)</f>
        <v>0.02</v>
      </c>
      <c r="F68" s="5" t="str">
        <f>IFERROR(__xludf.DUMMYFUNCTION("GOOGLEFINANCE(""ASX:ACR"", ""pe"")"),"#N/A")</f>
        <v>#N/A</v>
      </c>
      <c r="G68" s="9">
        <f>IFERROR(__xludf.DUMMYFUNCTION("GOOGLEFINANCE(""ASX:ACR"", ""high52"")"),0.03)</f>
        <v>0.03</v>
      </c>
      <c r="H68" s="9">
        <f>IFERROR(__xludf.DUMMYFUNCTION("GOOGLEFINANCE(""ASX:ACR"", ""low52"")"),0.01)</f>
        <v>0.01</v>
      </c>
      <c r="I68" s="9">
        <f>IFERROR(__xludf.DUMMYFUNCTION("GOOGLEFINANCE(""ASX:ACR"", ""marketcap"")"),4619347.0)</f>
        <v>4619347</v>
      </c>
      <c r="J68" s="9">
        <v>0.001</v>
      </c>
      <c r="K68" s="9">
        <v>0.001</v>
      </c>
      <c r="L68" s="9">
        <v>0.002</v>
      </c>
      <c r="M68" s="9">
        <v>0.001</v>
      </c>
      <c r="N68" s="11" t="s">
        <v>19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6" t="s">
        <v>175</v>
      </c>
      <c r="B69" s="6" t="s">
        <v>176</v>
      </c>
      <c r="C69" s="5" t="s">
        <v>18</v>
      </c>
      <c r="D69" s="7">
        <f>IFERROR(__xludf.DUMMYFUNCTION("GOOGLEFINANCE(""ASX:ACS"", ""price"")"),0.05)</f>
        <v>0.05</v>
      </c>
      <c r="E69" s="8">
        <f>IFERROR(__xludf.DUMMYFUNCTION("GOOGLEFINANCE(""ASX:ACS"", ""closeyest"")"),0.05)</f>
        <v>0.05</v>
      </c>
      <c r="F69" s="5" t="str">
        <f>IFERROR(__xludf.DUMMYFUNCTION("GOOGLEFINANCE(""ASX:ACS"", ""pe"")"),"#N/A")</f>
        <v>#N/A</v>
      </c>
      <c r="G69" s="9">
        <f>IFERROR(__xludf.DUMMYFUNCTION("GOOGLEFINANCE(""ASX:ACS"", ""high52"")"),0.06)</f>
        <v>0.06</v>
      </c>
      <c r="H69" s="9">
        <f>IFERROR(__xludf.DUMMYFUNCTION("GOOGLEFINANCE(""ASX:ACS"", ""low52"")"),0.01)</f>
        <v>0.01</v>
      </c>
      <c r="I69" s="9">
        <f>IFERROR(__xludf.DUMMYFUNCTION("GOOGLEFINANCE(""ASX:ACS"", ""marketcap"")"),1.9826262E7)</f>
        <v>19826262</v>
      </c>
      <c r="J69" s="5"/>
      <c r="K69" s="5"/>
      <c r="L69" s="5"/>
      <c r="M69" s="5"/>
      <c r="N69" s="11" t="s">
        <v>19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6" t="s">
        <v>177</v>
      </c>
      <c r="B70" s="6" t="s">
        <v>178</v>
      </c>
      <c r="C70" s="5" t="s">
        <v>179</v>
      </c>
      <c r="D70" s="7">
        <f>IFERROR(__xludf.DUMMYFUNCTION("GOOGLEFINANCE(""ASX:ACU"", ""price"")"),0.07)</f>
        <v>0.07</v>
      </c>
      <c r="E70" s="8">
        <f>IFERROR(__xludf.DUMMYFUNCTION("GOOGLEFINANCE(""ASX:ACU"", ""closeyest"")"),0.08)</f>
        <v>0.08</v>
      </c>
      <c r="F70" s="9">
        <f>IFERROR(__xludf.DUMMYFUNCTION("GOOGLEFINANCE(""ASX:ACU"", ""pe"")"),14.23)</f>
        <v>14.23</v>
      </c>
      <c r="G70" s="9">
        <f>IFERROR(__xludf.DUMMYFUNCTION("GOOGLEFINANCE(""ASX:ACU"", ""high52"")"),0.1)</f>
        <v>0.1</v>
      </c>
      <c r="H70" s="9">
        <f>IFERROR(__xludf.DUMMYFUNCTION("GOOGLEFINANCE(""ASX:ACU"", ""low52"")"),0.07)</f>
        <v>0.07</v>
      </c>
      <c r="I70" s="9">
        <f>IFERROR(__xludf.DUMMYFUNCTION("GOOGLEFINANCE(""ASX:ACU"", ""marketcap"")"),1.5467502E7)</f>
        <v>15467502</v>
      </c>
      <c r="J70" s="5"/>
      <c r="K70" s="5"/>
      <c r="L70" s="5"/>
      <c r="M70" s="5"/>
      <c r="N70" s="10">
        <v>14.42</v>
      </c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6" t="s">
        <v>180</v>
      </c>
      <c r="B71" s="6" t="s">
        <v>181</v>
      </c>
      <c r="C71" s="5" t="s">
        <v>25</v>
      </c>
      <c r="D71" s="7">
        <f>IFERROR(__xludf.DUMMYFUNCTION("GOOGLEFINANCE(""ASX:ACW"", ""price"")"),0.07)</f>
        <v>0.07</v>
      </c>
      <c r="E71" s="8">
        <f>IFERROR(__xludf.DUMMYFUNCTION("GOOGLEFINANCE(""ASX:ACW"", ""closeyest"")"),0.07)</f>
        <v>0.07</v>
      </c>
      <c r="F71" s="5" t="str">
        <f>IFERROR(__xludf.DUMMYFUNCTION("GOOGLEFINANCE(""ASX:ACW"", ""pe"")"),"#N/A")</f>
        <v>#N/A</v>
      </c>
      <c r="G71" s="9">
        <f>IFERROR(__xludf.DUMMYFUNCTION("GOOGLEFINANCE(""ASX:ACW"", ""high52"")"),0.07)</f>
        <v>0.07</v>
      </c>
      <c r="H71" s="9">
        <f>IFERROR(__xludf.DUMMYFUNCTION("GOOGLEFINANCE(""ASX:ACW"", ""low52"")"),0.02)</f>
        <v>0.02</v>
      </c>
      <c r="I71" s="9">
        <f>IFERROR(__xludf.DUMMYFUNCTION("GOOGLEFINANCE(""ASX:ACW"", ""marketcap"")"),2.1033516E8)</f>
        <v>210335160</v>
      </c>
      <c r="J71" s="5"/>
      <c r="K71" s="5"/>
      <c r="L71" s="5"/>
      <c r="M71" s="5"/>
      <c r="N71" s="11" t="s">
        <v>19</v>
      </c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6" t="s">
        <v>182</v>
      </c>
      <c r="B72" s="6" t="s">
        <v>183</v>
      </c>
      <c r="C72" s="5" t="s">
        <v>184</v>
      </c>
      <c r="D72" s="7">
        <f>IFERROR(__xludf.DUMMYFUNCTION("GOOGLEFINANCE(""ASX:AD1"", ""price"")"),0.03)</f>
        <v>0.03</v>
      </c>
      <c r="E72" s="8">
        <f>IFERROR(__xludf.DUMMYFUNCTION("GOOGLEFINANCE(""ASX:AD1"", ""closeyest"")"),0.03)</f>
        <v>0.03</v>
      </c>
      <c r="F72" s="5" t="str">
        <f>IFERROR(__xludf.DUMMYFUNCTION("GOOGLEFINANCE(""ASX:AD1"", ""pe"")"),"#N/A")</f>
        <v>#N/A</v>
      </c>
      <c r="G72" s="9">
        <f>IFERROR(__xludf.DUMMYFUNCTION("GOOGLEFINANCE(""ASX:AD1"", ""high52"")"),0.06)</f>
        <v>0.06</v>
      </c>
      <c r="H72" s="9">
        <f>IFERROR(__xludf.DUMMYFUNCTION("GOOGLEFINANCE(""ASX:AD1"", ""low52"")"),0.03)</f>
        <v>0.03</v>
      </c>
      <c r="I72" s="9">
        <f>IFERROR(__xludf.DUMMYFUNCTION("GOOGLEFINANCE(""ASX:AD1"", ""marketcap"")"),1.4663394E7)</f>
        <v>14663394</v>
      </c>
      <c r="J72" s="5"/>
      <c r="K72" s="5"/>
      <c r="L72" s="5"/>
      <c r="M72" s="5"/>
      <c r="N72" s="11" t="s">
        <v>19</v>
      </c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6" t="s">
        <v>185</v>
      </c>
      <c r="B73" s="6" t="s">
        <v>186</v>
      </c>
      <c r="C73" s="5" t="s">
        <v>103</v>
      </c>
      <c r="D73" s="7">
        <f>IFERROR(__xludf.DUMMYFUNCTION("GOOGLEFINANCE(""ASX:AD8"", ""price"")"),4.15)</f>
        <v>4.15</v>
      </c>
      <c r="E73" s="8">
        <f>IFERROR(__xludf.DUMMYFUNCTION("GOOGLEFINANCE(""ASX:AD8"", ""closeyest"")"),4.14)</f>
        <v>4.14</v>
      </c>
      <c r="F73" s="5" t="str">
        <f>IFERROR(__xludf.DUMMYFUNCTION("GOOGLEFINANCE(""ASX:AD8"", ""pe"")"),"#N/A")</f>
        <v>#N/A</v>
      </c>
      <c r="G73" s="9">
        <f>IFERROR(__xludf.DUMMYFUNCTION("GOOGLEFINANCE(""ASX:AD8"", ""high52"")"),10.44)</f>
        <v>10.44</v>
      </c>
      <c r="H73" s="9">
        <f>IFERROR(__xludf.DUMMYFUNCTION("GOOGLEFINANCE(""ASX:AD8"", ""low52"")"),3.74)</f>
        <v>3.74</v>
      </c>
      <c r="I73" s="9">
        <f>IFERROR(__xludf.DUMMYFUNCTION("GOOGLEFINANCE(""ASX:AD8"", ""marketcap"")"),3.49963532E8)</f>
        <v>349963532</v>
      </c>
      <c r="J73" s="5"/>
      <c r="K73" s="5"/>
      <c r="L73" s="5"/>
      <c r="M73" s="5"/>
      <c r="N73" s="11" t="s">
        <v>19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6" t="s">
        <v>187</v>
      </c>
      <c r="B74" s="6" t="s">
        <v>188</v>
      </c>
      <c r="C74" s="5" t="s">
        <v>18</v>
      </c>
      <c r="D74" s="7">
        <f>IFERROR(__xludf.DUMMYFUNCTION("GOOGLEFINANCE(""ASX:ADC"", ""price"")"),0.06)</f>
        <v>0.06</v>
      </c>
      <c r="E74" s="8">
        <f>IFERROR(__xludf.DUMMYFUNCTION("GOOGLEFINANCE(""ASX:ADC"", ""closeyest"")"),0.06)</f>
        <v>0.06</v>
      </c>
      <c r="F74" s="5" t="str">
        <f>IFERROR(__xludf.DUMMYFUNCTION("GOOGLEFINANCE(""ASX:ADC"", ""pe"")"),"#N/A")</f>
        <v>#N/A</v>
      </c>
      <c r="G74" s="9">
        <f>IFERROR(__xludf.DUMMYFUNCTION("GOOGLEFINANCE(""ASX:ADC"", ""high52"")"),0.16)</f>
        <v>0.16</v>
      </c>
      <c r="H74" s="9">
        <f>IFERROR(__xludf.DUMMYFUNCTION("GOOGLEFINANCE(""ASX:ADC"", ""low52"")"),0.04)</f>
        <v>0.04</v>
      </c>
      <c r="I74" s="9">
        <f>IFERROR(__xludf.DUMMYFUNCTION("GOOGLEFINANCE(""ASX:ADC"", ""marketcap"")"),4799318.0)</f>
        <v>4799318</v>
      </c>
      <c r="J74" s="12">
        <v>0.063</v>
      </c>
      <c r="K74" s="12">
        <v>0.061</v>
      </c>
      <c r="L74" s="12">
        <v>0.16</v>
      </c>
      <c r="M74" s="12">
        <v>0.036</v>
      </c>
      <c r="N74" s="11" t="s">
        <v>19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6" t="s">
        <v>189</v>
      </c>
      <c r="B75" s="6" t="s">
        <v>190</v>
      </c>
      <c r="C75" s="5" t="s">
        <v>18</v>
      </c>
      <c r="D75" s="7">
        <f>IFERROR(__xludf.DUMMYFUNCTION("GOOGLEFINANCE(""ASX:ADD"", ""price"")"),0.05)</f>
        <v>0.05</v>
      </c>
      <c r="E75" s="8">
        <f>IFERROR(__xludf.DUMMYFUNCTION("GOOGLEFINANCE(""ASX:ADD"", ""closeyest"")"),0.05)</f>
        <v>0.05</v>
      </c>
      <c r="F75" s="5" t="str">
        <f>IFERROR(__xludf.DUMMYFUNCTION("GOOGLEFINANCE(""ASX:ADD"", ""pe"")"),"#N/A")</f>
        <v>#N/A</v>
      </c>
      <c r="G75" s="9">
        <f>IFERROR(__xludf.DUMMYFUNCTION("GOOGLEFINANCE(""ASX:ADD"", ""high52"")"),0.07)</f>
        <v>0.07</v>
      </c>
      <c r="H75" s="9">
        <f>IFERROR(__xludf.DUMMYFUNCTION("GOOGLEFINANCE(""ASX:ADD"", ""low52"")"),0.02)</f>
        <v>0.02</v>
      </c>
      <c r="I75" s="9">
        <f>IFERROR(__xludf.DUMMYFUNCTION("GOOGLEFINANCE(""ASX:ADD"", ""marketcap"")"),1.3436519E7)</f>
        <v>13436519</v>
      </c>
      <c r="J75" s="5"/>
      <c r="K75" s="5"/>
      <c r="L75" s="5"/>
      <c r="M75" s="5"/>
      <c r="N75" s="11" t="s">
        <v>19</v>
      </c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6" t="s">
        <v>191</v>
      </c>
      <c r="B76" s="6" t="s">
        <v>192</v>
      </c>
      <c r="C76" s="5" t="s">
        <v>36</v>
      </c>
      <c r="D76" s="7" t="str">
        <f>IFERROR(__xludf.DUMMYFUNCTION("GOOGLEFINANCE(""ASX:ADEF"", ""price"")"),"#N/A")</f>
        <v>#N/A</v>
      </c>
      <c r="E76" s="8" t="str">
        <f>IFERROR(__xludf.DUMMYFUNCTION("GOOGLEFINANCE(""ASX:ADEF"", ""closeyest"")"),"#N/A")</f>
        <v>#N/A</v>
      </c>
      <c r="F76" s="5" t="str">
        <f>IFERROR(__xludf.DUMMYFUNCTION("GOOGLEFINANCE(""ASX:ADEF"", ""pe"")"),"#N/A")</f>
        <v>#N/A</v>
      </c>
      <c r="G76" s="5" t="str">
        <f>IFERROR(__xludf.DUMMYFUNCTION("GOOGLEFINANCE(""ASX:ADEF"", ""high52"")"),"#N/A")</f>
        <v>#N/A</v>
      </c>
      <c r="H76" s="5" t="str">
        <f>IFERROR(__xludf.DUMMYFUNCTION("GOOGLEFINANCE(""ASX:ADEF"", ""low52"")"),"#N/A")</f>
        <v>#N/A</v>
      </c>
      <c r="I76" s="9" t="str">
        <f>IFERROR(__xludf.DUMMYFUNCTION("GOOGLEFINANCE(""ASX:ADEF"", ""marketcap"")"),"#N/A")</f>
        <v>#N/A</v>
      </c>
      <c r="J76" s="12">
        <v>6.26</v>
      </c>
      <c r="K76" s="12">
        <v>6.26</v>
      </c>
      <c r="L76" s="12">
        <v>6.49</v>
      </c>
      <c r="M76" s="12">
        <v>5.63</v>
      </c>
      <c r="N76" s="11" t="s">
        <v>19</v>
      </c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6" t="s">
        <v>193</v>
      </c>
      <c r="B77" s="6" t="s">
        <v>194</v>
      </c>
      <c r="C77" s="5" t="s">
        <v>18</v>
      </c>
      <c r="D77" s="7">
        <f>IFERROR(__xludf.DUMMYFUNCTION("GOOGLEFINANCE(""ASX:ADG"", ""price"")"),0.01)</f>
        <v>0.01</v>
      </c>
      <c r="E77" s="8">
        <f>IFERROR(__xludf.DUMMYFUNCTION("GOOGLEFINANCE(""ASX:ADG"", ""closeyest"")"),0.01)</f>
        <v>0.01</v>
      </c>
      <c r="F77" s="5" t="str">
        <f>IFERROR(__xludf.DUMMYFUNCTION("GOOGLEFINANCE(""ASX:ADG"", ""pe"")"),"#N/A")</f>
        <v>#N/A</v>
      </c>
      <c r="G77" s="9">
        <f>IFERROR(__xludf.DUMMYFUNCTION("GOOGLEFINANCE(""ASX:ADG"", ""high52"")"),0.02)</f>
        <v>0.02</v>
      </c>
      <c r="H77" s="9">
        <f>IFERROR(__xludf.DUMMYFUNCTION("GOOGLEFINANCE(""ASX:ADG"", ""low52"")"),0.0)</f>
        <v>0</v>
      </c>
      <c r="I77" s="9">
        <f>IFERROR(__xludf.DUMMYFUNCTION("GOOGLEFINANCE(""ASX:ADG"", ""marketcap"")"),1.6427752E7)</f>
        <v>16427752</v>
      </c>
      <c r="J77" s="5"/>
      <c r="K77" s="5"/>
      <c r="L77" s="5"/>
      <c r="M77" s="5"/>
      <c r="N77" s="11" t="s">
        <v>19</v>
      </c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6" t="s">
        <v>195</v>
      </c>
      <c r="B78" s="6" t="s">
        <v>196</v>
      </c>
      <c r="C78" s="5" t="s">
        <v>197</v>
      </c>
      <c r="D78" s="7">
        <f>IFERROR(__xludf.DUMMYFUNCTION("GOOGLEFINANCE(""ASX:ADH"", ""price"")"),1.82)</f>
        <v>1.82</v>
      </c>
      <c r="E78" s="8">
        <f>IFERROR(__xludf.DUMMYFUNCTION("GOOGLEFINANCE(""ASX:ADH"", ""closeyest"")"),1.79)</f>
        <v>1.79</v>
      </c>
      <c r="F78" s="9">
        <f>IFERROR(__xludf.DUMMYFUNCTION("GOOGLEFINANCE(""ASX:ADH"", ""pe"")"),12.57)</f>
        <v>12.57</v>
      </c>
      <c r="G78" s="9">
        <f>IFERROR(__xludf.DUMMYFUNCTION("GOOGLEFINANCE(""ASX:ADH"", ""high52"")"),2.99)</f>
        <v>2.99</v>
      </c>
      <c r="H78" s="9">
        <f>IFERROR(__xludf.DUMMYFUNCTION("GOOGLEFINANCE(""ASX:ADH"", ""low52"")"),1.67)</f>
        <v>1.67</v>
      </c>
      <c r="I78" s="9">
        <f>IFERROR(__xludf.DUMMYFUNCTION("GOOGLEFINANCE(""ASX:ADH"", ""marketcap"")"),3.21866665E8)</f>
        <v>321866665</v>
      </c>
      <c r="J78" s="5"/>
      <c r="K78" s="5"/>
      <c r="L78" s="5"/>
      <c r="M78" s="5"/>
      <c r="N78" s="10">
        <v>12.46</v>
      </c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6" t="s">
        <v>198</v>
      </c>
      <c r="B79" s="6" t="s">
        <v>199</v>
      </c>
      <c r="C79" s="5" t="s">
        <v>18</v>
      </c>
      <c r="D79" s="7">
        <f>IFERROR(__xludf.DUMMYFUNCTION("GOOGLEFINANCE(""ASX:ADN"", ""price"")"),0.02)</f>
        <v>0.02</v>
      </c>
      <c r="E79" s="8">
        <f>IFERROR(__xludf.DUMMYFUNCTION("GOOGLEFINANCE(""ASX:ADN"", ""closeyest"")"),0.01)</f>
        <v>0.01</v>
      </c>
      <c r="F79" s="5" t="str">
        <f>IFERROR(__xludf.DUMMYFUNCTION("GOOGLEFINANCE(""ASX:ADN"", ""pe"")"),"#N/A")</f>
        <v>#N/A</v>
      </c>
      <c r="G79" s="9">
        <f>IFERROR(__xludf.DUMMYFUNCTION("GOOGLEFINANCE(""ASX:ADN"", ""high52"")"),0.03)</f>
        <v>0.03</v>
      </c>
      <c r="H79" s="9">
        <f>IFERROR(__xludf.DUMMYFUNCTION("GOOGLEFINANCE(""ASX:ADN"", ""low52"")"),0.01)</f>
        <v>0.01</v>
      </c>
      <c r="I79" s="9">
        <f>IFERROR(__xludf.DUMMYFUNCTION("GOOGLEFINANCE(""ASX:ADN"", ""marketcap"")"),9.7092117E7)</f>
        <v>97092117</v>
      </c>
      <c r="J79" s="5"/>
      <c r="K79" s="5"/>
      <c r="L79" s="5"/>
      <c r="M79" s="5"/>
      <c r="N79" s="11" t="s">
        <v>19</v>
      </c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6" t="s">
        <v>200</v>
      </c>
      <c r="B80" s="6" t="s">
        <v>201</v>
      </c>
      <c r="C80" s="5" t="s">
        <v>25</v>
      </c>
      <c r="D80" s="7">
        <f>IFERROR(__xludf.DUMMYFUNCTION("GOOGLEFINANCE(""ASX:ADO"", ""price"")"),0.02)</f>
        <v>0.02</v>
      </c>
      <c r="E80" s="8">
        <f>IFERROR(__xludf.DUMMYFUNCTION("GOOGLEFINANCE(""ASX:ADO"", ""closeyest"")"),0.02)</f>
        <v>0.02</v>
      </c>
      <c r="F80" s="5" t="str">
        <f>IFERROR(__xludf.DUMMYFUNCTION("GOOGLEFINANCE(""ASX:ADO"", ""pe"")"),"#N/A")</f>
        <v>#N/A</v>
      </c>
      <c r="G80" s="9">
        <f>IFERROR(__xludf.DUMMYFUNCTION("GOOGLEFINANCE(""ASX:ADO"", ""high52"")"),0.03)</f>
        <v>0.03</v>
      </c>
      <c r="H80" s="9">
        <f>IFERROR(__xludf.DUMMYFUNCTION("GOOGLEFINANCE(""ASX:ADO"", ""low52"")"),0.01)</f>
        <v>0.01</v>
      </c>
      <c r="I80" s="9">
        <f>IFERROR(__xludf.DUMMYFUNCTION("GOOGLEFINANCE(""ASX:ADO"", ""marketcap"")"),6.0140009E7)</f>
        <v>60140009</v>
      </c>
      <c r="J80" s="5"/>
      <c r="K80" s="5"/>
      <c r="L80" s="5"/>
      <c r="M80" s="5"/>
      <c r="N80" s="11" t="s">
        <v>19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6" t="s">
        <v>202</v>
      </c>
      <c r="B81" s="6" t="s">
        <v>203</v>
      </c>
      <c r="C81" s="5" t="s">
        <v>62</v>
      </c>
      <c r="D81" s="7">
        <f>IFERROR(__xludf.DUMMYFUNCTION("GOOGLEFINANCE(""ASX:ADR"", ""price"")"),0.01)</f>
        <v>0.01</v>
      </c>
      <c r="E81" s="8">
        <f>IFERROR(__xludf.DUMMYFUNCTION("GOOGLEFINANCE(""ASX:ADR"", ""closeyest"")"),0.01)</f>
        <v>0.01</v>
      </c>
      <c r="F81" s="5" t="str">
        <f>IFERROR(__xludf.DUMMYFUNCTION("GOOGLEFINANCE(""ASX:ADR"", ""pe"")"),"#N/A")</f>
        <v>#N/A</v>
      </c>
      <c r="G81" s="9">
        <f>IFERROR(__xludf.DUMMYFUNCTION("GOOGLEFINANCE(""ASX:ADR"", ""high52"")"),0.01)</f>
        <v>0.01</v>
      </c>
      <c r="H81" s="9">
        <f>IFERROR(__xludf.DUMMYFUNCTION("GOOGLEFINANCE(""ASX:ADR"", ""low52"")"),0.0)</f>
        <v>0</v>
      </c>
      <c r="I81" s="9">
        <f>IFERROR(__xludf.DUMMYFUNCTION("GOOGLEFINANCE(""ASX:ADR"", ""marketcap"")"),1.1802049E7)</f>
        <v>11802049</v>
      </c>
      <c r="J81" s="5"/>
      <c r="K81" s="5"/>
      <c r="L81" s="5"/>
      <c r="M81" s="5"/>
      <c r="N81" s="11" t="s">
        <v>19</v>
      </c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6" t="s">
        <v>204</v>
      </c>
      <c r="B82" s="6" t="s">
        <v>205</v>
      </c>
      <c r="C82" s="5" t="s">
        <v>70</v>
      </c>
      <c r="D82" s="7">
        <f>IFERROR(__xludf.DUMMYFUNCTION("GOOGLEFINANCE(""ASX:ADS"", ""price"")"),0.0)</f>
        <v>0</v>
      </c>
      <c r="E82" s="8">
        <f>IFERROR(__xludf.DUMMYFUNCTION("GOOGLEFINANCE(""ASX:ADS"", ""closeyest"")"),0.0)</f>
        <v>0</v>
      </c>
      <c r="F82" s="5" t="str">
        <f>IFERROR(__xludf.DUMMYFUNCTION("GOOGLEFINANCE(""ASX:ADS"", ""pe"")"),"#N/A")</f>
        <v>#N/A</v>
      </c>
      <c r="G82" s="9">
        <f>IFERROR(__xludf.DUMMYFUNCTION("GOOGLEFINANCE(""ASX:ADS"", ""high52"")"),0.0)</f>
        <v>0</v>
      </c>
      <c r="H82" s="9">
        <f>IFERROR(__xludf.DUMMYFUNCTION("GOOGLEFINANCE(""ASX:ADS"", ""low52"")"),0.0)</f>
        <v>0</v>
      </c>
      <c r="I82" s="9">
        <f>IFERROR(__xludf.DUMMYFUNCTION("GOOGLEFINANCE(""ASX:ADS"", ""marketcap"")"),5799290.0)</f>
        <v>5799290</v>
      </c>
      <c r="J82" s="12">
        <v>0.001</v>
      </c>
      <c r="K82" s="12">
        <v>0.001</v>
      </c>
      <c r="L82" s="12">
        <v>0.002</v>
      </c>
      <c r="M82" s="12">
        <v>0.001</v>
      </c>
      <c r="N82" s="11" t="s">
        <v>19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6" t="s">
        <v>206</v>
      </c>
      <c r="B83" s="6" t="s">
        <v>207</v>
      </c>
      <c r="C83" s="5" t="s">
        <v>18</v>
      </c>
      <c r="D83" s="7">
        <f>IFERROR(__xludf.DUMMYFUNCTION("GOOGLEFINANCE(""ASX:ADV"", ""price"")"),0.37)</f>
        <v>0.37</v>
      </c>
      <c r="E83" s="8">
        <f>IFERROR(__xludf.DUMMYFUNCTION("GOOGLEFINANCE(""ASX:ADV"", ""closeyest"")"),0.35)</f>
        <v>0.35</v>
      </c>
      <c r="F83" s="5" t="str">
        <f>IFERROR(__xludf.DUMMYFUNCTION("GOOGLEFINANCE(""ASX:ADV"", ""pe"")"),"#N/A")</f>
        <v>#N/A</v>
      </c>
      <c r="G83" s="9">
        <f>IFERROR(__xludf.DUMMYFUNCTION("GOOGLEFINANCE(""ASX:ADV"", ""high52"")"),0.47)</f>
        <v>0.47</v>
      </c>
      <c r="H83" s="9">
        <f>IFERROR(__xludf.DUMMYFUNCTION("GOOGLEFINANCE(""ASX:ADV"", ""low52"")"),0.13)</f>
        <v>0.13</v>
      </c>
      <c r="I83" s="9">
        <f>IFERROR(__xludf.DUMMYFUNCTION("GOOGLEFINANCE(""ASX:ADV"", ""marketcap"")"),7.8346021E7)</f>
        <v>78346021</v>
      </c>
      <c r="J83" s="5"/>
      <c r="K83" s="5"/>
      <c r="L83" s="5"/>
      <c r="M83" s="5"/>
      <c r="N83" s="11" t="s">
        <v>19</v>
      </c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6" t="s">
        <v>208</v>
      </c>
      <c r="B84" s="6" t="s">
        <v>209</v>
      </c>
      <c r="C84" s="5" t="s">
        <v>78</v>
      </c>
      <c r="D84" s="7">
        <f>IFERROR(__xludf.DUMMYFUNCTION("GOOGLEFINANCE(""ASX:ADX"", ""price"")"),0.03)</f>
        <v>0.03</v>
      </c>
      <c r="E84" s="8">
        <f>IFERROR(__xludf.DUMMYFUNCTION("GOOGLEFINANCE(""ASX:ADX"", ""closeyest"")"),0.03)</f>
        <v>0.03</v>
      </c>
      <c r="F84" s="5" t="str">
        <f>IFERROR(__xludf.DUMMYFUNCTION("GOOGLEFINANCE(""ASX:ADX"", ""pe"")"),"#N/A")</f>
        <v>#N/A</v>
      </c>
      <c r="G84" s="9">
        <f>IFERROR(__xludf.DUMMYFUNCTION("GOOGLEFINANCE(""ASX:ADX"", ""high52"")"),0.05)</f>
        <v>0.05</v>
      </c>
      <c r="H84" s="9">
        <f>IFERROR(__xludf.DUMMYFUNCTION("GOOGLEFINANCE(""ASX:ADX"", ""low52"")"),0.02)</f>
        <v>0.02</v>
      </c>
      <c r="I84" s="9">
        <f>IFERROR(__xludf.DUMMYFUNCTION("GOOGLEFINANCE(""ASX:ADX"", ""marketcap"")"),1.7153024E7)</f>
        <v>17153024</v>
      </c>
      <c r="J84" s="9">
        <v>6.92</v>
      </c>
      <c r="K84" s="9">
        <v>6.96</v>
      </c>
      <c r="L84" s="9">
        <v>7.1</v>
      </c>
      <c r="M84" s="9">
        <v>6.0</v>
      </c>
      <c r="N84" s="11" t="s">
        <v>19</v>
      </c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6" t="s">
        <v>210</v>
      </c>
      <c r="B85" s="6" t="s">
        <v>211</v>
      </c>
      <c r="C85" s="5" t="s">
        <v>212</v>
      </c>
      <c r="D85" s="7">
        <f>IFERROR(__xludf.DUMMYFUNCTION("GOOGLEFINANCE(""ASX:ADY"", ""price"")"),0.01)</f>
        <v>0.01</v>
      </c>
      <c r="E85" s="8">
        <f>IFERROR(__xludf.DUMMYFUNCTION("GOOGLEFINANCE(""ASX:ADY"", ""closeyest"")"),0.01)</f>
        <v>0.01</v>
      </c>
      <c r="F85" s="5" t="str">
        <f>IFERROR(__xludf.DUMMYFUNCTION("GOOGLEFINANCE(""ASX:ADY"", ""pe"")"),"#N/A")</f>
        <v>#N/A</v>
      </c>
      <c r="G85" s="9">
        <f>IFERROR(__xludf.DUMMYFUNCTION("GOOGLEFINANCE(""ASX:ADY"", ""high52"")"),0.01)</f>
        <v>0.01</v>
      </c>
      <c r="H85" s="9">
        <f>IFERROR(__xludf.DUMMYFUNCTION("GOOGLEFINANCE(""ASX:ADY"", ""low52"")"),0.0)</f>
        <v>0</v>
      </c>
      <c r="I85" s="9">
        <f>IFERROR(__xludf.DUMMYFUNCTION("GOOGLEFINANCE(""ASX:ADY"", ""marketcap"")"),1.577688E7)</f>
        <v>15776880</v>
      </c>
      <c r="J85" s="5"/>
      <c r="K85" s="5"/>
      <c r="L85" s="5"/>
      <c r="M85" s="5"/>
      <c r="N85" s="11" t="s">
        <v>19</v>
      </c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6" t="s">
        <v>210</v>
      </c>
      <c r="B86" s="6" t="s">
        <v>211</v>
      </c>
      <c r="C86" s="5" t="s">
        <v>212</v>
      </c>
      <c r="D86" s="7">
        <f>IFERROR(__xludf.DUMMYFUNCTION("GOOGLEFINANCE(""ASX:ADY"", ""price"")"),0.01)</f>
        <v>0.01</v>
      </c>
      <c r="E86" s="8">
        <f>IFERROR(__xludf.DUMMYFUNCTION("GOOGLEFINANCE(""ASX:ADY"", ""closeyest"")"),0.01)</f>
        <v>0.01</v>
      </c>
      <c r="F86" s="5" t="str">
        <f>IFERROR(__xludf.DUMMYFUNCTION("GOOGLEFINANCE(""ASX:ADY"", ""pe"")"),"#N/A")</f>
        <v>#N/A</v>
      </c>
      <c r="G86" s="9">
        <f>IFERROR(__xludf.DUMMYFUNCTION("GOOGLEFINANCE(""ASX:ADY"", ""high52"")"),0.01)</f>
        <v>0.01</v>
      </c>
      <c r="H86" s="9">
        <f>IFERROR(__xludf.DUMMYFUNCTION("GOOGLEFINANCE(""ASX:ADY"", ""low52"")"),0.0)</f>
        <v>0</v>
      </c>
      <c r="I86" s="9">
        <f>IFERROR(__xludf.DUMMYFUNCTION("GOOGLEFINANCE(""ASX:ADY"", ""marketcap"")"),1.577688E7)</f>
        <v>15776880</v>
      </c>
      <c r="J86" s="5"/>
      <c r="K86" s="5"/>
      <c r="L86" s="5"/>
      <c r="M86" s="5"/>
      <c r="N86" s="11" t="s">
        <v>19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6" t="s">
        <v>213</v>
      </c>
      <c r="B87" s="6" t="s">
        <v>214</v>
      </c>
      <c r="C87" s="5" t="s">
        <v>36</v>
      </c>
      <c r="D87" s="7">
        <f>IFERROR(__xludf.DUMMYFUNCTION("GOOGLEFINANCE(""ASX:AEBD"", ""price"")"),50.43)</f>
        <v>50.43</v>
      </c>
      <c r="E87" s="8">
        <f>IFERROR(__xludf.DUMMYFUNCTION("GOOGLEFINANCE(""ASX:AEBD"", ""closeyest"")"),50.37)</f>
        <v>50.37</v>
      </c>
      <c r="F87" s="5" t="str">
        <f>IFERROR(__xludf.DUMMYFUNCTION("GOOGLEFINANCE(""ASX:AEBD"", ""pe"")"),"#N/A")</f>
        <v>#N/A</v>
      </c>
      <c r="G87" s="9">
        <f>IFERROR(__xludf.DUMMYFUNCTION("GOOGLEFINANCE(""ASX:AEBD"", ""high52"")"),52.43)</f>
        <v>52.43</v>
      </c>
      <c r="H87" s="9">
        <f>IFERROR(__xludf.DUMMYFUNCTION("GOOGLEFINANCE(""ASX:AEBD"", ""low52"")"),50.1)</f>
        <v>50.1</v>
      </c>
      <c r="I87" s="9" t="str">
        <f>IFERROR(__xludf.DUMMYFUNCTION("GOOGLEFINANCE(""ASX:AEBD"", ""marketcap"")"),"#N/A")</f>
        <v>#N/A</v>
      </c>
      <c r="J87" s="5"/>
      <c r="K87" s="5"/>
      <c r="L87" s="5"/>
      <c r="M87" s="5"/>
      <c r="N87" s="11" t="s">
        <v>19</v>
      </c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6" t="s">
        <v>215</v>
      </c>
      <c r="B88" s="6" t="s">
        <v>216</v>
      </c>
      <c r="C88" s="5" t="s">
        <v>28</v>
      </c>
      <c r="D88" s="7">
        <f>IFERROR(__xludf.DUMMYFUNCTION("GOOGLEFINANCE(""ASX:AEE"", ""price"")"),0.2)</f>
        <v>0.2</v>
      </c>
      <c r="E88" s="8">
        <f>IFERROR(__xludf.DUMMYFUNCTION("GOOGLEFINANCE(""ASX:AEE"", ""closeyest"")"),0.2)</f>
        <v>0.2</v>
      </c>
      <c r="F88" s="5" t="str">
        <f>IFERROR(__xludf.DUMMYFUNCTION("GOOGLEFINANCE(""ASX:AEE"", ""pe"")"),"#N/A")</f>
        <v>#N/A</v>
      </c>
      <c r="G88" s="9">
        <f>IFERROR(__xludf.DUMMYFUNCTION("GOOGLEFINANCE(""ASX:AEE"", ""high52"")"),0.28)</f>
        <v>0.28</v>
      </c>
      <c r="H88" s="9">
        <f>IFERROR(__xludf.DUMMYFUNCTION("GOOGLEFINANCE(""ASX:AEE"", ""low52"")"),0.1)</f>
        <v>0.1</v>
      </c>
      <c r="I88" s="9">
        <f>IFERROR(__xludf.DUMMYFUNCTION("GOOGLEFINANCE(""ASX:AEE"", ""marketcap"")"),1.75086476E8)</f>
        <v>175086476</v>
      </c>
      <c r="J88" s="9">
        <v>0.092</v>
      </c>
      <c r="K88" s="9">
        <v>0.092</v>
      </c>
      <c r="L88" s="9">
        <v>0.095</v>
      </c>
      <c r="M88" s="9">
        <v>0.085</v>
      </c>
      <c r="N88" s="11" t="s">
        <v>19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6" t="s">
        <v>215</v>
      </c>
      <c r="B89" s="6" t="s">
        <v>216</v>
      </c>
      <c r="C89" s="5" t="s">
        <v>28</v>
      </c>
      <c r="D89" s="7">
        <f>IFERROR(__xludf.DUMMYFUNCTION("GOOGLEFINANCE(""ASX:AEE"", ""price"")"),0.2)</f>
        <v>0.2</v>
      </c>
      <c r="E89" s="8">
        <f>IFERROR(__xludf.DUMMYFUNCTION("GOOGLEFINANCE(""ASX:AEE"", ""closeyest"")"),0.2)</f>
        <v>0.2</v>
      </c>
      <c r="F89" s="5" t="str">
        <f>IFERROR(__xludf.DUMMYFUNCTION("GOOGLEFINANCE(""ASX:AEE"", ""pe"")"),"#N/A")</f>
        <v>#N/A</v>
      </c>
      <c r="G89" s="9">
        <f>IFERROR(__xludf.DUMMYFUNCTION("GOOGLEFINANCE(""ASX:AEE"", ""high52"")"),0.28)</f>
        <v>0.28</v>
      </c>
      <c r="H89" s="9">
        <f>IFERROR(__xludf.DUMMYFUNCTION("GOOGLEFINANCE(""ASX:AEE"", ""low52"")"),0.1)</f>
        <v>0.1</v>
      </c>
      <c r="I89" s="9">
        <f>IFERROR(__xludf.DUMMYFUNCTION("GOOGLEFINANCE(""ASX:AEE"", ""marketcap"")"),1.75086476E8)</f>
        <v>175086476</v>
      </c>
      <c r="J89" s="9">
        <v>0.092</v>
      </c>
      <c r="K89" s="9">
        <v>0.092</v>
      </c>
      <c r="L89" s="9">
        <v>0.095</v>
      </c>
      <c r="M89" s="9">
        <v>0.085</v>
      </c>
      <c r="N89" s="11" t="s">
        <v>19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13" t="s">
        <v>215</v>
      </c>
      <c r="B90" s="13" t="s">
        <v>216</v>
      </c>
      <c r="C90" s="14" t="s">
        <v>28</v>
      </c>
      <c r="D90" s="15">
        <f>IFERROR(__xludf.DUMMYFUNCTION("GOOGLEFINANCE(""ASX:AEE"", ""price"")"),0.2)</f>
        <v>0.2</v>
      </c>
      <c r="E90" s="8">
        <f>IFERROR(__xludf.DUMMYFUNCTION("GOOGLEFINANCE(""ASX:AEE"", ""closeyest"")"),0.2)</f>
        <v>0.2</v>
      </c>
      <c r="F90" s="5" t="str">
        <f>IFERROR(__xludf.DUMMYFUNCTION("GOOGLEFINANCE(""ASX:AEE"", ""pe"")"),"#N/A")</f>
        <v>#N/A</v>
      </c>
      <c r="G90" s="9">
        <f>IFERROR(__xludf.DUMMYFUNCTION("GOOGLEFINANCE(""ASX:AEE"", ""high52"")"),0.28)</f>
        <v>0.28</v>
      </c>
      <c r="H90" s="9">
        <f>IFERROR(__xludf.DUMMYFUNCTION("GOOGLEFINANCE(""ASX:AEE"", ""low52"")"),0.1)</f>
        <v>0.1</v>
      </c>
      <c r="I90" s="9">
        <f>IFERROR(__xludf.DUMMYFUNCTION("GOOGLEFINANCE(""ASX:AEE"", ""marketcap"")"),1.75086476E8)</f>
        <v>175086476</v>
      </c>
      <c r="J90" s="9">
        <v>0.092</v>
      </c>
      <c r="K90" s="9">
        <v>0.092</v>
      </c>
      <c r="L90" s="9">
        <v>0.095</v>
      </c>
      <c r="M90" s="9">
        <v>0.085</v>
      </c>
      <c r="N90" s="11" t="s">
        <v>19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6" t="s">
        <v>217</v>
      </c>
      <c r="B91" s="6" t="s">
        <v>218</v>
      </c>
      <c r="C91" s="5" t="s">
        <v>171</v>
      </c>
      <c r="D91" s="7">
        <f>IFERROR(__xludf.DUMMYFUNCTION("GOOGLEFINANCE(""ASX:AEF"", ""price"")"),5.1)</f>
        <v>5.1</v>
      </c>
      <c r="E91" s="8">
        <f>IFERROR(__xludf.DUMMYFUNCTION("GOOGLEFINANCE(""ASX:AEF"", ""closeyest"")"),5.13)</f>
        <v>5.13</v>
      </c>
      <c r="F91" s="9">
        <f>IFERROR(__xludf.DUMMYFUNCTION("GOOGLEFINANCE(""ASX:AEF"", ""pe"")"),28.75)</f>
        <v>28.75</v>
      </c>
      <c r="G91" s="9">
        <f>IFERROR(__xludf.DUMMYFUNCTION("GOOGLEFINANCE(""ASX:AEF"", ""high52"")"),8.31)</f>
        <v>8.31</v>
      </c>
      <c r="H91" s="9">
        <f>IFERROR(__xludf.DUMMYFUNCTION("GOOGLEFINANCE(""ASX:AEF"", ""low52"")"),4.53)</f>
        <v>4.53</v>
      </c>
      <c r="I91" s="9">
        <f>IFERROR(__xludf.DUMMYFUNCTION("GOOGLEFINANCE(""ASX:AEF"", ""marketcap"")"),5.80532989E8)</f>
        <v>580532989</v>
      </c>
      <c r="J91" s="5"/>
      <c r="K91" s="5"/>
      <c r="L91" s="5"/>
      <c r="M91" s="5"/>
      <c r="N91" s="10">
        <v>27.96</v>
      </c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6" t="s">
        <v>219</v>
      </c>
      <c r="B92" s="6" t="s">
        <v>220</v>
      </c>
      <c r="C92" s="5" t="s">
        <v>171</v>
      </c>
      <c r="D92" s="7">
        <f>IFERROR(__xludf.DUMMYFUNCTION("GOOGLEFINANCE(""ASX:AEG"", ""price"")"),0.02)</f>
        <v>0.02</v>
      </c>
      <c r="E92" s="8">
        <f>IFERROR(__xludf.DUMMYFUNCTION("GOOGLEFINANCE(""ASX:AEG"", ""closeyest"")"),0.01)</f>
        <v>0.01</v>
      </c>
      <c r="F92" s="5" t="str">
        <f>IFERROR(__xludf.DUMMYFUNCTION("GOOGLEFINANCE(""ASX:AEG"", ""pe"")"),"#N/A")</f>
        <v>#N/A</v>
      </c>
      <c r="G92" s="9">
        <f>IFERROR(__xludf.DUMMYFUNCTION("GOOGLEFINANCE(""ASX:AEG"", ""high52"")"),0.02)</f>
        <v>0.02</v>
      </c>
      <c r="H92" s="9">
        <f>IFERROR(__xludf.DUMMYFUNCTION("GOOGLEFINANCE(""ASX:AEG"", ""low52"")"),0.01)</f>
        <v>0.01</v>
      </c>
      <c r="I92" s="9">
        <f>IFERROR(__xludf.DUMMYFUNCTION("GOOGLEFINANCE(""ASX:AEG"", ""marketcap"")"),1.2229584E7)</f>
        <v>12229584</v>
      </c>
      <c r="J92" s="5"/>
      <c r="K92" s="5"/>
      <c r="L92" s="5"/>
      <c r="M92" s="5"/>
      <c r="N92" s="11" t="s">
        <v>19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6" t="s">
        <v>221</v>
      </c>
      <c r="B93" s="6" t="s">
        <v>222</v>
      </c>
      <c r="C93" s="5" t="s">
        <v>223</v>
      </c>
      <c r="D93" s="7">
        <f>IFERROR(__xludf.DUMMYFUNCTION("GOOGLEFINANCE(""ASX:AEI"", ""price"")"),0.05)</f>
        <v>0.05</v>
      </c>
      <c r="E93" s="8">
        <f>IFERROR(__xludf.DUMMYFUNCTION("GOOGLEFINANCE(""ASX:AEI"", ""closeyest"")"),0.06)</f>
        <v>0.06</v>
      </c>
      <c r="F93" s="5" t="str">
        <f>IFERROR(__xludf.DUMMYFUNCTION("GOOGLEFINANCE(""ASX:AEI"", ""pe"")"),"#N/A")</f>
        <v>#N/A</v>
      </c>
      <c r="G93" s="9">
        <f>IFERROR(__xludf.DUMMYFUNCTION("GOOGLEFINANCE(""ASX:AEI"", ""high52"")"),0.08)</f>
        <v>0.08</v>
      </c>
      <c r="H93" s="9">
        <f>IFERROR(__xludf.DUMMYFUNCTION("GOOGLEFINANCE(""ASX:AEI"", ""low52"")"),0.03)</f>
        <v>0.03</v>
      </c>
      <c r="I93" s="9">
        <f>IFERROR(__xludf.DUMMYFUNCTION("GOOGLEFINANCE(""ASX:AEI"", ""marketcap"")"),1.1980384E7)</f>
        <v>11980384</v>
      </c>
      <c r="J93" s="9">
        <v>0.875</v>
      </c>
      <c r="K93" s="9">
        <v>0.87</v>
      </c>
      <c r="L93" s="9">
        <v>0.875</v>
      </c>
      <c r="M93" s="9">
        <v>0.345</v>
      </c>
      <c r="N93" s="11" t="s">
        <v>19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6" t="s">
        <v>224</v>
      </c>
      <c r="B94" s="6" t="s">
        <v>225</v>
      </c>
      <c r="C94" s="5" t="s">
        <v>78</v>
      </c>
      <c r="D94" s="7">
        <f>IFERROR(__xludf.DUMMYFUNCTION("GOOGLEFINANCE(""ASX:AEL"", ""price"")"),2.85)</f>
        <v>2.85</v>
      </c>
      <c r="E94" s="8">
        <f>IFERROR(__xludf.DUMMYFUNCTION("GOOGLEFINANCE(""ASX:AEL"", ""closeyest"")"),2.91)</f>
        <v>2.91</v>
      </c>
      <c r="F94" s="5" t="str">
        <f>IFERROR(__xludf.DUMMYFUNCTION("GOOGLEFINANCE(""ASX:AEL"", ""pe"")"),"#N/A")</f>
        <v>#N/A</v>
      </c>
      <c r="G94" s="9">
        <f>IFERROR(__xludf.DUMMYFUNCTION("GOOGLEFINANCE(""ASX:AEL"", ""high52"")"),3.03)</f>
        <v>3.03</v>
      </c>
      <c r="H94" s="9">
        <f>IFERROR(__xludf.DUMMYFUNCTION("GOOGLEFINANCE(""ASX:AEL"", ""low52"")"),1.65)</f>
        <v>1.65</v>
      </c>
      <c r="I94" s="9">
        <f>IFERROR(__xludf.DUMMYFUNCTION("GOOGLEFINANCE(""ASX:AEL"", ""marketcap"")"),8.54660251E8)</f>
        <v>854660251</v>
      </c>
      <c r="J94" s="9">
        <v>0.064</v>
      </c>
      <c r="K94" s="9">
        <v>0.064</v>
      </c>
      <c r="L94" s="9">
        <v>0.13</v>
      </c>
      <c r="M94" s="9">
        <v>0.036</v>
      </c>
      <c r="N94" s="11" t="s">
        <v>19</v>
      </c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6" t="s">
        <v>226</v>
      </c>
      <c r="B95" s="6" t="s">
        <v>227</v>
      </c>
      <c r="C95" s="5" t="s">
        <v>228</v>
      </c>
      <c r="D95" s="7">
        <f>IFERROR(__xludf.DUMMYFUNCTION("GOOGLEFINANCE(""ASX:AEM"", ""price"")"),0.52)</f>
        <v>0.52</v>
      </c>
      <c r="E95" s="8">
        <f>IFERROR(__xludf.DUMMYFUNCTION("GOOGLEFINANCE(""ASX:AEM"", ""closeyest"")"),0.54)</f>
        <v>0.54</v>
      </c>
      <c r="F95" s="5" t="str">
        <f>IFERROR(__xludf.DUMMYFUNCTION("GOOGLEFINANCE(""ASX:AEM"", ""pe"")"),"#N/A")</f>
        <v>#N/A</v>
      </c>
      <c r="G95" s="9">
        <f>IFERROR(__xludf.DUMMYFUNCTION("GOOGLEFINANCE(""ASX:AEM"", ""high52"")"),0.67)</f>
        <v>0.67</v>
      </c>
      <c r="H95" s="9">
        <f>IFERROR(__xludf.DUMMYFUNCTION("GOOGLEFINANCE(""ASX:AEM"", ""low52"")"),0.52)</f>
        <v>0.52</v>
      </c>
      <c r="I95" s="9" t="str">
        <f>IFERROR(__xludf.DUMMYFUNCTION("GOOGLEFINANCE(""ASX:AEM"", ""marketcap"")"),"#N/A")</f>
        <v>#N/A</v>
      </c>
      <c r="J95" s="5"/>
      <c r="K95" s="5"/>
      <c r="L95" s="5"/>
      <c r="M95" s="5"/>
      <c r="N95" s="11" t="s">
        <v>19</v>
      </c>
      <c r="O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6" t="s">
        <v>229</v>
      </c>
      <c r="B96" s="6" t="s">
        <v>230</v>
      </c>
      <c r="C96" s="5" t="s">
        <v>184</v>
      </c>
      <c r="D96" s="7">
        <f>IFERROR(__xludf.DUMMYFUNCTION("GOOGLEFINANCE(""ASX:AER"", ""price"")"),0.07)</f>
        <v>0.07</v>
      </c>
      <c r="E96" s="8">
        <f>IFERROR(__xludf.DUMMYFUNCTION("GOOGLEFINANCE(""ASX:AER"", ""closeyest"")"),0.08)</f>
        <v>0.08</v>
      </c>
      <c r="F96" s="5" t="str">
        <f>IFERROR(__xludf.DUMMYFUNCTION("GOOGLEFINANCE(""ASX:AER"", ""pe"")"),"#N/A")</f>
        <v>#N/A</v>
      </c>
      <c r="G96" s="9">
        <f>IFERROR(__xludf.DUMMYFUNCTION("GOOGLEFINANCE(""ASX:AER"", ""high52"")"),0.09)</f>
        <v>0.09</v>
      </c>
      <c r="H96" s="9">
        <f>IFERROR(__xludf.DUMMYFUNCTION("GOOGLEFINANCE(""ASX:AER"", ""low52"")"),0.05)</f>
        <v>0.05</v>
      </c>
      <c r="I96" s="9">
        <f>IFERROR(__xludf.DUMMYFUNCTION("GOOGLEFINANCE(""ASX:AER"", ""marketcap"")"),5348308.0)</f>
        <v>5348308</v>
      </c>
      <c r="J96" s="5"/>
      <c r="K96" s="5"/>
      <c r="L96" s="5"/>
      <c r="M96" s="5"/>
      <c r="N96" s="11" t="s">
        <v>19</v>
      </c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6" t="s">
        <v>231</v>
      </c>
      <c r="B97" s="6" t="s">
        <v>232</v>
      </c>
      <c r="C97" s="5" t="s">
        <v>36</v>
      </c>
      <c r="D97" s="7">
        <f>IFERROR(__xludf.DUMMYFUNCTION("GOOGLEFINANCE(""ASX:AESG"", ""price"")"),97.8)</f>
        <v>97.8</v>
      </c>
      <c r="E97" s="8">
        <f>IFERROR(__xludf.DUMMYFUNCTION("GOOGLEFINANCE(""ASX:AESG"", ""closeyest"")"),97.68)</f>
        <v>97.68</v>
      </c>
      <c r="F97" s="5" t="str">
        <f>IFERROR(__xludf.DUMMYFUNCTION("GOOGLEFINANCE(""ASX:AESG"", ""pe"")"),"#N/A")</f>
        <v>#N/A</v>
      </c>
      <c r="G97" s="9">
        <f>IFERROR(__xludf.DUMMYFUNCTION("GOOGLEFINANCE(""ASX:AESG"", ""high52"")"),99.31)</f>
        <v>99.31</v>
      </c>
      <c r="H97" s="9">
        <f>IFERROR(__xludf.DUMMYFUNCTION("GOOGLEFINANCE(""ASX:AESG"", ""low52"")"),95.42)</f>
        <v>95.42</v>
      </c>
      <c r="I97" s="9" t="str">
        <f>IFERROR(__xludf.DUMMYFUNCTION("GOOGLEFINANCE(""ASX:AESG"", ""marketcap"")"),"#N/A")</f>
        <v>#N/A</v>
      </c>
      <c r="J97" s="5"/>
      <c r="K97" s="5"/>
      <c r="L97" s="5"/>
      <c r="M97" s="5"/>
      <c r="N97" s="11" t="s">
        <v>19</v>
      </c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6" t="s">
        <v>233</v>
      </c>
      <c r="B98" s="6" t="s">
        <v>234</v>
      </c>
      <c r="C98" s="5" t="s">
        <v>28</v>
      </c>
      <c r="D98" s="7">
        <f>IFERROR(__xludf.DUMMYFUNCTION("GOOGLEFINANCE(""ASX:AEU"", ""price"")"),0.38)</f>
        <v>0.38</v>
      </c>
      <c r="E98" s="8">
        <f>IFERROR(__xludf.DUMMYFUNCTION("GOOGLEFINANCE(""ASX:AEU"", ""closeyest"")"),0.36)</f>
        <v>0.36</v>
      </c>
      <c r="F98" s="5" t="str">
        <f>IFERROR(__xludf.DUMMYFUNCTION("GOOGLEFINANCE(""ASX:AEU"", ""pe"")"),"#N/A")</f>
        <v>#N/A</v>
      </c>
      <c r="G98" s="9">
        <f>IFERROR(__xludf.DUMMYFUNCTION("GOOGLEFINANCE(""ASX:AEU"", ""high52"")"),0.4)</f>
        <v>0.4</v>
      </c>
      <c r="H98" s="9">
        <f>IFERROR(__xludf.DUMMYFUNCTION("GOOGLEFINANCE(""ASX:AEU"", ""low52"")"),0.22)</f>
        <v>0.22</v>
      </c>
      <c r="I98" s="9">
        <f>IFERROR(__xludf.DUMMYFUNCTION("GOOGLEFINANCE(""ASX:AEU"", ""marketcap"")"),1.44800784E8)</f>
        <v>144800784</v>
      </c>
      <c r="J98" s="5"/>
      <c r="K98" s="5"/>
      <c r="L98" s="5"/>
      <c r="M98" s="5"/>
      <c r="N98" s="11" t="s">
        <v>19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6" t="s">
        <v>233</v>
      </c>
      <c r="B99" s="6" t="s">
        <v>234</v>
      </c>
      <c r="C99" s="5" t="s">
        <v>28</v>
      </c>
      <c r="D99" s="7">
        <f>IFERROR(__xludf.DUMMYFUNCTION("GOOGLEFINANCE(""ASX:AEU"", ""price"")"),0.38)</f>
        <v>0.38</v>
      </c>
      <c r="E99" s="8">
        <f>IFERROR(__xludf.DUMMYFUNCTION("GOOGLEFINANCE(""ASX:AEU"", ""closeyest"")"),0.36)</f>
        <v>0.36</v>
      </c>
      <c r="F99" s="5" t="str">
        <f>IFERROR(__xludf.DUMMYFUNCTION("GOOGLEFINANCE(""ASX:AEU"", ""pe"")"),"#N/A")</f>
        <v>#N/A</v>
      </c>
      <c r="G99" s="9">
        <f>IFERROR(__xludf.DUMMYFUNCTION("GOOGLEFINANCE(""ASX:AEU"", ""high52"")"),0.4)</f>
        <v>0.4</v>
      </c>
      <c r="H99" s="9">
        <f>IFERROR(__xludf.DUMMYFUNCTION("GOOGLEFINANCE(""ASX:AEU"", ""low52"")"),0.22)</f>
        <v>0.22</v>
      </c>
      <c r="I99" s="9">
        <f>IFERROR(__xludf.DUMMYFUNCTION("GOOGLEFINANCE(""ASX:AEU"", ""marketcap"")"),1.44800784E8)</f>
        <v>144800784</v>
      </c>
      <c r="J99" s="5"/>
      <c r="K99" s="5"/>
      <c r="L99" s="5"/>
      <c r="M99" s="5"/>
      <c r="N99" s="11" t="s">
        <v>19</v>
      </c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13" t="s">
        <v>233</v>
      </c>
      <c r="B100" s="13" t="s">
        <v>234</v>
      </c>
      <c r="C100" s="14" t="s">
        <v>28</v>
      </c>
      <c r="D100" s="15">
        <f>IFERROR(__xludf.DUMMYFUNCTION("GOOGLEFINANCE(""ASX:AEU"", ""price"")"),0.38)</f>
        <v>0.38</v>
      </c>
      <c r="E100" s="8">
        <f>IFERROR(__xludf.DUMMYFUNCTION("GOOGLEFINANCE(""ASX:AEU"", ""closeyest"")"),0.36)</f>
        <v>0.36</v>
      </c>
      <c r="F100" s="5" t="str">
        <f>IFERROR(__xludf.DUMMYFUNCTION("GOOGLEFINANCE(""ASX:AEU"", ""pe"")"),"#N/A")</f>
        <v>#N/A</v>
      </c>
      <c r="G100" s="9">
        <f>IFERROR(__xludf.DUMMYFUNCTION("GOOGLEFINANCE(""ASX:AEU"", ""high52"")"),0.4)</f>
        <v>0.4</v>
      </c>
      <c r="H100" s="9">
        <f>IFERROR(__xludf.DUMMYFUNCTION("GOOGLEFINANCE(""ASX:AEU"", ""low52"")"),0.22)</f>
        <v>0.22</v>
      </c>
      <c r="I100" s="9">
        <f>IFERROR(__xludf.DUMMYFUNCTION("GOOGLEFINANCE(""ASX:AEU"", ""marketcap"")"),1.44800784E8)</f>
        <v>144800784</v>
      </c>
      <c r="J100" s="5"/>
      <c r="K100" s="5"/>
      <c r="L100" s="5"/>
      <c r="M100" s="5"/>
      <c r="N100" s="11" t="s">
        <v>19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6" t="s">
        <v>235</v>
      </c>
      <c r="B101" s="6" t="s">
        <v>236</v>
      </c>
      <c r="C101" s="5" t="s">
        <v>39</v>
      </c>
      <c r="D101" s="7">
        <f>IFERROR(__xludf.DUMMYFUNCTION("GOOGLEFINANCE(""ASX:AEV"", ""price"")"),0.01)</f>
        <v>0.01</v>
      </c>
      <c r="E101" s="8">
        <f>IFERROR(__xludf.DUMMYFUNCTION("GOOGLEFINANCE(""ASX:AEV"", ""closeyest"")"),0.01)</f>
        <v>0.01</v>
      </c>
      <c r="F101" s="5" t="str">
        <f>IFERROR(__xludf.DUMMYFUNCTION("GOOGLEFINANCE(""ASX:AEV"", ""pe"")"),"#N/A")</f>
        <v>#N/A</v>
      </c>
      <c r="G101" s="9">
        <f>IFERROR(__xludf.DUMMYFUNCTION("GOOGLEFINANCE(""ASX:AEV"", ""high52"")"),0.01)</f>
        <v>0.01</v>
      </c>
      <c r="H101" s="9">
        <f>IFERROR(__xludf.DUMMYFUNCTION("GOOGLEFINANCE(""ASX:AEV"", ""low52"")"),0.01)</f>
        <v>0.01</v>
      </c>
      <c r="I101" s="9">
        <f>IFERROR(__xludf.DUMMYFUNCTION("GOOGLEFINANCE(""ASX:AEV"", ""marketcap"")"),2.5551865E7)</f>
        <v>25551865</v>
      </c>
      <c r="J101" s="5"/>
      <c r="K101" s="5"/>
      <c r="L101" s="5"/>
      <c r="M101" s="5"/>
      <c r="N101" s="11" t="s">
        <v>19</v>
      </c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6" t="s">
        <v>237</v>
      </c>
      <c r="B102" s="6" t="s">
        <v>238</v>
      </c>
      <c r="C102" s="5" t="s">
        <v>179</v>
      </c>
      <c r="D102" s="7">
        <f>IFERROR(__xludf.DUMMYFUNCTION("GOOGLEFINANCE(""ASX:AFA"", ""price"")"),0.07)</f>
        <v>0.07</v>
      </c>
      <c r="E102" s="8">
        <f>IFERROR(__xludf.DUMMYFUNCTION("GOOGLEFINANCE(""ASX:AFA"", ""closeyest"")"),0.07)</f>
        <v>0.07</v>
      </c>
      <c r="F102" s="9">
        <f>IFERROR(__xludf.DUMMYFUNCTION("GOOGLEFINANCE(""ASX:AFA"", ""pe"")"),2.27)</f>
        <v>2.27</v>
      </c>
      <c r="G102" s="9">
        <f>IFERROR(__xludf.DUMMYFUNCTION("GOOGLEFINANCE(""ASX:AFA"", ""high52"")"),0.35)</f>
        <v>0.35</v>
      </c>
      <c r="H102" s="9">
        <f>IFERROR(__xludf.DUMMYFUNCTION("GOOGLEFINANCE(""ASX:AFA"", ""low52"")"),0.0)</f>
        <v>0</v>
      </c>
      <c r="I102" s="9">
        <f>IFERROR(__xludf.DUMMYFUNCTION("GOOGLEFINANCE(""ASX:AFA"", ""marketcap"")"),5.444903E7)</f>
        <v>54449030</v>
      </c>
      <c r="J102" s="5"/>
      <c r="K102" s="5"/>
      <c r="L102" s="5"/>
      <c r="M102" s="5"/>
      <c r="N102" s="10">
        <v>1.84</v>
      </c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6" t="s">
        <v>239</v>
      </c>
      <c r="B103" s="6" t="s">
        <v>240</v>
      </c>
      <c r="C103" s="5" t="s">
        <v>241</v>
      </c>
      <c r="D103" s="7">
        <f>IFERROR(__xludf.DUMMYFUNCTION("GOOGLEFINANCE(""ASX:AFG"", ""price"")"),2.13)</f>
        <v>2.13</v>
      </c>
      <c r="E103" s="8">
        <f>IFERROR(__xludf.DUMMYFUNCTION("GOOGLEFINANCE(""ASX:AFG"", ""closeyest"")"),2.12)</f>
        <v>2.12</v>
      </c>
      <c r="F103" s="9">
        <f>IFERROR(__xludf.DUMMYFUNCTION("GOOGLEFINANCE(""ASX:AFG"", ""pe"")"),16.78)</f>
        <v>16.78</v>
      </c>
      <c r="G103" s="9">
        <f>IFERROR(__xludf.DUMMYFUNCTION("GOOGLEFINANCE(""ASX:AFG"", ""high52"")"),2.92)</f>
        <v>2.92</v>
      </c>
      <c r="H103" s="9">
        <f>IFERROR(__xludf.DUMMYFUNCTION("GOOGLEFINANCE(""ASX:AFG"", ""low52"")"),1.43)</f>
        <v>1.43</v>
      </c>
      <c r="I103" s="9">
        <f>IFERROR(__xludf.DUMMYFUNCTION("GOOGLEFINANCE(""ASX:AFG"", ""marketcap"")"),5.78848831E8)</f>
        <v>578848831</v>
      </c>
      <c r="J103" s="5"/>
      <c r="K103" s="5"/>
      <c r="L103" s="5"/>
      <c r="M103" s="5"/>
      <c r="N103" s="10">
        <v>16.86</v>
      </c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6" t="s">
        <v>242</v>
      </c>
      <c r="B104" s="6" t="s">
        <v>243</v>
      </c>
      <c r="C104" s="5" t="s">
        <v>171</v>
      </c>
      <c r="D104" s="7">
        <f>IFERROR(__xludf.DUMMYFUNCTION("GOOGLEFINANCE(""ASX:AFI"", ""price"")"),7.18)</f>
        <v>7.18</v>
      </c>
      <c r="E104" s="8">
        <f>IFERROR(__xludf.DUMMYFUNCTION("GOOGLEFINANCE(""ASX:AFI"", ""closeyest"")"),7.18)</f>
        <v>7.18</v>
      </c>
      <c r="F104" s="9">
        <f>IFERROR(__xludf.DUMMYFUNCTION("GOOGLEFINANCE(""ASX:AFI"", ""pe"")"),31.61)</f>
        <v>31.61</v>
      </c>
      <c r="G104" s="9">
        <f>IFERROR(__xludf.DUMMYFUNCTION("GOOGLEFINANCE(""ASX:AFI"", ""high52"")"),7.68)</f>
        <v>7.68</v>
      </c>
      <c r="H104" s="9">
        <f>IFERROR(__xludf.DUMMYFUNCTION("GOOGLEFINANCE(""ASX:AFI"", ""low52"")"),6.8)</f>
        <v>6.8</v>
      </c>
      <c r="I104" s="9">
        <f>IFERROR(__xludf.DUMMYFUNCTION("GOOGLEFINANCE(""ASX:AFI"", ""marketcap"")"),8.996417724E9)</f>
        <v>8996417724</v>
      </c>
      <c r="J104" s="5"/>
      <c r="K104" s="5"/>
      <c r="L104" s="5"/>
      <c r="M104" s="5"/>
      <c r="N104" s="10">
        <v>31.52</v>
      </c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6" t="s">
        <v>244</v>
      </c>
      <c r="B105" s="6" t="s">
        <v>245</v>
      </c>
      <c r="C105" s="5" t="s">
        <v>246</v>
      </c>
      <c r="D105" s="7">
        <f>IFERROR(__xludf.DUMMYFUNCTION("GOOGLEFINANCE(""ASX:AFL"", ""price"")"),0.18)</f>
        <v>0.18</v>
      </c>
      <c r="E105" s="8">
        <f>IFERROR(__xludf.DUMMYFUNCTION("GOOGLEFINANCE(""ASX:AFL"", ""closeyest"")"),0.18)</f>
        <v>0.18</v>
      </c>
      <c r="F105" s="9">
        <f>IFERROR(__xludf.DUMMYFUNCTION("GOOGLEFINANCE(""ASX:AFL"", ""pe"")"),163.64)</f>
        <v>163.64</v>
      </c>
      <c r="G105" s="9">
        <f>IFERROR(__xludf.DUMMYFUNCTION("GOOGLEFINANCE(""ASX:AFL"", ""high52"")"),0.18)</f>
        <v>0.18</v>
      </c>
      <c r="H105" s="9">
        <f>IFERROR(__xludf.DUMMYFUNCTION("GOOGLEFINANCE(""ASX:AFL"", ""low52"")"),0.1)</f>
        <v>0.1</v>
      </c>
      <c r="I105" s="9">
        <f>IFERROR(__xludf.DUMMYFUNCTION("GOOGLEFINANCE(""ASX:AFL"", ""marketcap"")"),1.6692399E7)</f>
        <v>16692399</v>
      </c>
      <c r="J105" s="5"/>
      <c r="K105" s="5"/>
      <c r="L105" s="5"/>
      <c r="M105" s="5"/>
      <c r="N105" s="10">
        <v>163.64</v>
      </c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6" t="s">
        <v>247</v>
      </c>
      <c r="B106" s="6" t="s">
        <v>248</v>
      </c>
      <c r="C106" s="5" t="s">
        <v>174</v>
      </c>
      <c r="D106" s="7">
        <f>IFERROR(__xludf.DUMMYFUNCTION("GOOGLEFINANCE(""ASX:AFP"", ""price"")"),2.98)</f>
        <v>2.98</v>
      </c>
      <c r="E106" s="8">
        <f>IFERROR(__xludf.DUMMYFUNCTION("GOOGLEFINANCE(""ASX:AFP"", ""closeyest"")"),2.98)</f>
        <v>2.98</v>
      </c>
      <c r="F106" s="5" t="str">
        <f>IFERROR(__xludf.DUMMYFUNCTION("GOOGLEFINANCE(""ASX:AFP"", ""pe"")"),"#N/A")</f>
        <v>#N/A</v>
      </c>
      <c r="G106" s="9">
        <f>IFERROR(__xludf.DUMMYFUNCTION("GOOGLEFINANCE(""ASX:AFP"", ""high52"")"),3.3)</f>
        <v>3.3</v>
      </c>
      <c r="H106" s="9">
        <f>IFERROR(__xludf.DUMMYFUNCTION("GOOGLEFINANCE(""ASX:AFP"", ""low52"")"),2.2)</f>
        <v>2.2</v>
      </c>
      <c r="I106" s="9">
        <f>IFERROR(__xludf.DUMMYFUNCTION("GOOGLEFINANCE(""ASX:AFP"", ""marketcap"")"),3.536482E8)</f>
        <v>353648200</v>
      </c>
      <c r="J106" s="5"/>
      <c r="K106" s="5"/>
      <c r="L106" s="5"/>
      <c r="M106" s="5"/>
      <c r="N106" s="11" t="s">
        <v>19</v>
      </c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6" t="s">
        <v>249</v>
      </c>
      <c r="B107" s="6" t="s">
        <v>250</v>
      </c>
      <c r="C107" s="5" t="s">
        <v>18</v>
      </c>
      <c r="D107" s="7">
        <f>IFERROR(__xludf.DUMMYFUNCTION("GOOGLEFINANCE(""ASX:AGC"", ""price"")"),0.23)</f>
        <v>0.23</v>
      </c>
      <c r="E107" s="8">
        <f>IFERROR(__xludf.DUMMYFUNCTION("GOOGLEFINANCE(""ASX:AGC"", ""closeyest"")"),0.24)</f>
        <v>0.24</v>
      </c>
      <c r="F107" s="5" t="str">
        <f>IFERROR(__xludf.DUMMYFUNCTION("GOOGLEFINANCE(""ASX:AGC"", ""pe"")"),"#N/A")</f>
        <v>#N/A</v>
      </c>
      <c r="G107" s="9">
        <f>IFERROR(__xludf.DUMMYFUNCTION("GOOGLEFINANCE(""ASX:AGC"", ""high52"")"),0.25)</f>
        <v>0.25</v>
      </c>
      <c r="H107" s="9">
        <f>IFERROR(__xludf.DUMMYFUNCTION("GOOGLEFINANCE(""ASX:AGC"", ""low52"")"),0.12)</f>
        <v>0.12</v>
      </c>
      <c r="I107" s="9">
        <f>IFERROR(__xludf.DUMMYFUNCTION("GOOGLEFINANCE(""ASX:AGC"", ""marketcap"")"),6.193447E7)</f>
        <v>61934470</v>
      </c>
      <c r="J107" s="5"/>
      <c r="K107" s="5"/>
      <c r="L107" s="5"/>
      <c r="M107" s="5"/>
      <c r="N107" s="11" t="s">
        <v>19</v>
      </c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6" t="s">
        <v>251</v>
      </c>
      <c r="B108" s="6" t="s">
        <v>252</v>
      </c>
      <c r="C108" s="5" t="s">
        <v>18</v>
      </c>
      <c r="D108" s="7">
        <f>IFERROR(__xludf.DUMMYFUNCTION("GOOGLEFINANCE(""ASX:AGD"", ""price"")"),0.17)</f>
        <v>0.17</v>
      </c>
      <c r="E108" s="8">
        <f>IFERROR(__xludf.DUMMYFUNCTION("GOOGLEFINANCE(""ASX:AGD"", ""closeyest"")"),0.17)</f>
        <v>0.17</v>
      </c>
      <c r="F108" s="5" t="str">
        <f>IFERROR(__xludf.DUMMYFUNCTION("GOOGLEFINANCE(""ASX:AGD"", ""pe"")"),"#N/A")</f>
        <v>#N/A</v>
      </c>
      <c r="G108" s="9">
        <f>IFERROR(__xludf.DUMMYFUNCTION("GOOGLEFINANCE(""ASX:AGD"", ""high52"")"),0.18)</f>
        <v>0.18</v>
      </c>
      <c r="H108" s="9">
        <f>IFERROR(__xludf.DUMMYFUNCTION("GOOGLEFINANCE(""ASX:AGD"", ""low52"")"),0.02)</f>
        <v>0.02</v>
      </c>
      <c r="I108" s="9">
        <f>IFERROR(__xludf.DUMMYFUNCTION("GOOGLEFINANCE(""ASX:AGD"", ""marketcap"")"),9.9638916E7)</f>
        <v>99638916</v>
      </c>
      <c r="J108" s="5"/>
      <c r="K108" s="5"/>
      <c r="L108" s="5"/>
      <c r="M108" s="5"/>
      <c r="N108" s="11" t="s">
        <v>19</v>
      </c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6" t="s">
        <v>253</v>
      </c>
      <c r="B109" s="6" t="s">
        <v>254</v>
      </c>
      <c r="C109" s="5" t="s">
        <v>28</v>
      </c>
      <c r="D109" s="7">
        <f>IFERROR(__xludf.DUMMYFUNCTION("GOOGLEFINANCE(""ASX:AGE"", ""price"")"),0.03)</f>
        <v>0.03</v>
      </c>
      <c r="E109" s="8">
        <f>IFERROR(__xludf.DUMMYFUNCTION("GOOGLEFINANCE(""ASX:AGE"", ""closeyest"")"),0.03)</f>
        <v>0.03</v>
      </c>
      <c r="F109" s="5" t="str">
        <f>IFERROR(__xludf.DUMMYFUNCTION("GOOGLEFINANCE(""ASX:AGE"", ""pe"")"),"#N/A")</f>
        <v>#N/A</v>
      </c>
      <c r="G109" s="9">
        <f>IFERROR(__xludf.DUMMYFUNCTION("GOOGLEFINANCE(""ASX:AGE"", ""high52"")"),0.04)</f>
        <v>0.04</v>
      </c>
      <c r="H109" s="9">
        <f>IFERROR(__xludf.DUMMYFUNCTION("GOOGLEFINANCE(""ASX:AGE"", ""low52"")"),0.02)</f>
        <v>0.02</v>
      </c>
      <c r="I109" s="9">
        <f>IFERROR(__xludf.DUMMYFUNCTION("GOOGLEFINANCE(""ASX:AGE"", ""marketcap"")"),1.24236987E8)</f>
        <v>124236987</v>
      </c>
      <c r="J109" s="9">
        <v>0.0045</v>
      </c>
      <c r="K109" s="9">
        <v>0.0045</v>
      </c>
      <c r="L109" s="9">
        <v>0.009</v>
      </c>
      <c r="M109" s="9">
        <v>0.003</v>
      </c>
      <c r="N109" s="11" t="s">
        <v>19</v>
      </c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6" t="s">
        <v>253</v>
      </c>
      <c r="B110" s="6" t="s">
        <v>254</v>
      </c>
      <c r="C110" s="5" t="s">
        <v>28</v>
      </c>
      <c r="D110" s="7">
        <f>IFERROR(__xludf.DUMMYFUNCTION("GOOGLEFINANCE(""ASX:AGE"", ""price"")"),0.03)</f>
        <v>0.03</v>
      </c>
      <c r="E110" s="8">
        <f>IFERROR(__xludf.DUMMYFUNCTION("GOOGLEFINANCE(""ASX:AGE"", ""closeyest"")"),0.03)</f>
        <v>0.03</v>
      </c>
      <c r="F110" s="5" t="str">
        <f>IFERROR(__xludf.DUMMYFUNCTION("GOOGLEFINANCE(""ASX:AGE"", ""pe"")"),"#N/A")</f>
        <v>#N/A</v>
      </c>
      <c r="G110" s="9">
        <f>IFERROR(__xludf.DUMMYFUNCTION("GOOGLEFINANCE(""ASX:AGE"", ""high52"")"),0.04)</f>
        <v>0.04</v>
      </c>
      <c r="H110" s="9">
        <f>IFERROR(__xludf.DUMMYFUNCTION("GOOGLEFINANCE(""ASX:AGE"", ""low52"")"),0.02)</f>
        <v>0.02</v>
      </c>
      <c r="I110" s="9">
        <f>IFERROR(__xludf.DUMMYFUNCTION("GOOGLEFINANCE(""ASX:AGE"", ""marketcap"")"),1.24236987E8)</f>
        <v>124236987</v>
      </c>
      <c r="J110" s="9">
        <v>0.0045</v>
      </c>
      <c r="K110" s="9">
        <v>0.0045</v>
      </c>
      <c r="L110" s="9">
        <v>0.009</v>
      </c>
      <c r="M110" s="9">
        <v>0.003</v>
      </c>
      <c r="N110" s="11" t="s">
        <v>19</v>
      </c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13" t="s">
        <v>253</v>
      </c>
      <c r="B111" s="13" t="s">
        <v>254</v>
      </c>
      <c r="C111" s="14" t="s">
        <v>28</v>
      </c>
      <c r="D111" s="15">
        <f>IFERROR(__xludf.DUMMYFUNCTION("GOOGLEFINANCE(""ASX:AGE"", ""price"")"),0.03)</f>
        <v>0.03</v>
      </c>
      <c r="E111" s="8">
        <f>IFERROR(__xludf.DUMMYFUNCTION("GOOGLEFINANCE(""ASX:AGE"", ""closeyest"")"),0.03)</f>
        <v>0.03</v>
      </c>
      <c r="F111" s="5" t="str">
        <f>IFERROR(__xludf.DUMMYFUNCTION("GOOGLEFINANCE(""ASX:AGE"", ""pe"")"),"#N/A")</f>
        <v>#N/A</v>
      </c>
      <c r="G111" s="9">
        <f>IFERROR(__xludf.DUMMYFUNCTION("GOOGLEFINANCE(""ASX:AGE"", ""high52"")"),0.04)</f>
        <v>0.04</v>
      </c>
      <c r="H111" s="9">
        <f>IFERROR(__xludf.DUMMYFUNCTION("GOOGLEFINANCE(""ASX:AGE"", ""low52"")"),0.02)</f>
        <v>0.02</v>
      </c>
      <c r="I111" s="9">
        <f>IFERROR(__xludf.DUMMYFUNCTION("GOOGLEFINANCE(""ASX:AGE"", ""marketcap"")"),1.24236987E8)</f>
        <v>124236987</v>
      </c>
      <c r="J111" s="9">
        <v>0.0045</v>
      </c>
      <c r="K111" s="9">
        <v>0.0045</v>
      </c>
      <c r="L111" s="9">
        <v>0.009</v>
      </c>
      <c r="M111" s="9">
        <v>0.003</v>
      </c>
      <c r="N111" s="11" t="s">
        <v>19</v>
      </c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6" t="s">
        <v>255</v>
      </c>
      <c r="B112" s="6" t="s">
        <v>256</v>
      </c>
      <c r="C112" s="5" t="s">
        <v>36</v>
      </c>
      <c r="D112" s="7">
        <f>IFERROR(__xludf.DUMMYFUNCTION("GOOGLEFINANCE(""ASX:AGGG"", ""price"")"),99.87)</f>
        <v>99.87</v>
      </c>
      <c r="E112" s="8">
        <f>IFERROR(__xludf.DUMMYFUNCTION("GOOGLEFINANCE(""ASX:AGGG"", ""closeyest"")"),99.87)</f>
        <v>99.87</v>
      </c>
      <c r="F112" s="5" t="str">
        <f>IFERROR(__xludf.DUMMYFUNCTION("GOOGLEFINANCE(""ASX:AGGG"", ""pe"")"),"#N/A")</f>
        <v>#N/A</v>
      </c>
      <c r="G112" s="9">
        <f>IFERROR(__xludf.DUMMYFUNCTION("GOOGLEFINANCE(""ASX:AGGG"", ""high52"")"),100.24)</f>
        <v>100.24</v>
      </c>
      <c r="H112" s="9">
        <f>IFERROR(__xludf.DUMMYFUNCTION("GOOGLEFINANCE(""ASX:AGGG"", ""low52"")"),99.58)</f>
        <v>99.58</v>
      </c>
      <c r="I112" s="9" t="str">
        <f>IFERROR(__xludf.DUMMYFUNCTION("GOOGLEFINANCE(""ASX:AGGG"", ""marketcap"")"),"#N/A")</f>
        <v>#N/A</v>
      </c>
      <c r="J112" s="5"/>
      <c r="K112" s="5"/>
      <c r="L112" s="5"/>
      <c r="M112" s="5"/>
      <c r="N112" s="11" t="s">
        <v>19</v>
      </c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6" t="s">
        <v>257</v>
      </c>
      <c r="B113" s="6" t="s">
        <v>258</v>
      </c>
      <c r="C113" s="5" t="s">
        <v>259</v>
      </c>
      <c r="D113" s="7">
        <f>IFERROR(__xludf.DUMMYFUNCTION("GOOGLEFINANCE(""ASX:AGI"", ""price"")"),1.0)</f>
        <v>1</v>
      </c>
      <c r="E113" s="8">
        <f>IFERROR(__xludf.DUMMYFUNCTION("GOOGLEFINANCE(""ASX:AGI"", ""closeyest"")"),1.01)</f>
        <v>1.01</v>
      </c>
      <c r="F113" s="9">
        <f>IFERROR(__xludf.DUMMYFUNCTION("GOOGLEFINANCE(""ASX:AGI"", ""pe"")"),16.47)</f>
        <v>16.47</v>
      </c>
      <c r="G113" s="9">
        <f>IFERROR(__xludf.DUMMYFUNCTION("GOOGLEFINANCE(""ASX:AGI"", ""high52"")"),1.09)</f>
        <v>1.09</v>
      </c>
      <c r="H113" s="9">
        <f>IFERROR(__xludf.DUMMYFUNCTION("GOOGLEFINANCE(""ASX:AGI"", ""low52"")"),0.69)</f>
        <v>0.69</v>
      </c>
      <c r="I113" s="9">
        <f>IFERROR(__xludf.DUMMYFUNCTION("GOOGLEFINANCE(""ASX:AGI"", ""marketcap"")"),3.40153403E8)</f>
        <v>340153403</v>
      </c>
      <c r="J113" s="5"/>
      <c r="K113" s="5"/>
      <c r="L113" s="5"/>
      <c r="M113" s="5"/>
      <c r="N113" s="10">
        <v>16.55</v>
      </c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6" t="s">
        <v>260</v>
      </c>
      <c r="B114" s="6" t="s">
        <v>261</v>
      </c>
      <c r="C114" s="5" t="s">
        <v>262</v>
      </c>
      <c r="D114" s="7">
        <f>IFERROR(__xludf.DUMMYFUNCTION("GOOGLEFINANCE(""ASX:AGL"", ""price"")"),9.12)</f>
        <v>9.12</v>
      </c>
      <c r="E114" s="8">
        <f>IFERROR(__xludf.DUMMYFUNCTION("GOOGLEFINANCE(""ASX:AGL"", ""closeyest"")"),9.12)</f>
        <v>9.12</v>
      </c>
      <c r="F114" s="5" t="str">
        <f>IFERROR(__xludf.DUMMYFUNCTION("GOOGLEFINANCE(""ASX:AGL"", ""pe"")"),"#N/A")</f>
        <v>#N/A</v>
      </c>
      <c r="G114" s="9">
        <f>IFERROR(__xludf.DUMMYFUNCTION("GOOGLEFINANCE(""ASX:AGL"", ""high52"")"),12.14)</f>
        <v>12.14</v>
      </c>
      <c r="H114" s="9">
        <f>IFERROR(__xludf.DUMMYFUNCTION("GOOGLEFINANCE(""ASX:AGL"", ""low52"")"),8.03)</f>
        <v>8.03</v>
      </c>
      <c r="I114" s="9">
        <f>IFERROR(__xludf.DUMMYFUNCTION("GOOGLEFINANCE(""ASX:AGL"", ""marketcap"")"),6.135454387E9)</f>
        <v>6135454387</v>
      </c>
      <c r="J114" s="5"/>
      <c r="K114" s="5"/>
      <c r="L114" s="5"/>
      <c r="M114" s="5"/>
      <c r="N114" s="11" t="s">
        <v>19</v>
      </c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6" t="s">
        <v>263</v>
      </c>
      <c r="B115" s="6" t="s">
        <v>264</v>
      </c>
      <c r="C115" s="5" t="s">
        <v>25</v>
      </c>
      <c r="D115" s="7">
        <f>IFERROR(__xludf.DUMMYFUNCTION("GOOGLEFINANCE(""ASX:AGN"", ""price"")"),0.33)</f>
        <v>0.33</v>
      </c>
      <c r="E115" s="8">
        <f>IFERROR(__xludf.DUMMYFUNCTION("GOOGLEFINANCE(""ASX:AGN"", ""closeyest"")"),0.34)</f>
        <v>0.34</v>
      </c>
      <c r="F115" s="5" t="str">
        <f>IFERROR(__xludf.DUMMYFUNCTION("GOOGLEFINANCE(""ASX:AGN"", ""pe"")"),"#N/A")</f>
        <v>#N/A</v>
      </c>
      <c r="G115" s="9">
        <f>IFERROR(__xludf.DUMMYFUNCTION("GOOGLEFINANCE(""ASX:AGN"", ""high52"")"),0.89)</f>
        <v>0.89</v>
      </c>
      <c r="H115" s="9">
        <f>IFERROR(__xludf.DUMMYFUNCTION("GOOGLEFINANCE(""ASX:AGN"", ""low52"")"),0.19)</f>
        <v>0.19</v>
      </c>
      <c r="I115" s="9">
        <f>IFERROR(__xludf.DUMMYFUNCTION("GOOGLEFINANCE(""ASX:AGN"", ""marketcap"")"),4.2390679E7)</f>
        <v>42390679</v>
      </c>
      <c r="J115" s="5"/>
      <c r="K115" s="5"/>
      <c r="L115" s="5"/>
      <c r="M115" s="5"/>
      <c r="N115" s="11" t="s">
        <v>19</v>
      </c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6" t="s">
        <v>265</v>
      </c>
      <c r="B116" s="6" t="s">
        <v>266</v>
      </c>
      <c r="C116" s="5" t="s">
        <v>267</v>
      </c>
      <c r="D116" s="7">
        <f>IFERROR(__xludf.DUMMYFUNCTION("GOOGLEFINANCE(""ASX:AGR"", ""price"")"),0.02)</f>
        <v>0.02</v>
      </c>
      <c r="E116" s="8">
        <f>IFERROR(__xludf.DUMMYFUNCTION("GOOGLEFINANCE(""ASX:AGR"", ""closeyest"")"),0.02)</f>
        <v>0.02</v>
      </c>
      <c r="F116" s="5" t="str">
        <f>IFERROR(__xludf.DUMMYFUNCTION("GOOGLEFINANCE(""ASX:AGR"", ""pe"")"),"#N/A")</f>
        <v>#N/A</v>
      </c>
      <c r="G116" s="9">
        <f>IFERROR(__xludf.DUMMYFUNCTION("GOOGLEFINANCE(""ASX:AGR"", ""high52"")"),0.05)</f>
        <v>0.05</v>
      </c>
      <c r="H116" s="9">
        <f>IFERROR(__xludf.DUMMYFUNCTION("GOOGLEFINANCE(""ASX:AGR"", ""low52"")"),0.02)</f>
        <v>0.02</v>
      </c>
      <c r="I116" s="9">
        <f>IFERROR(__xludf.DUMMYFUNCTION("GOOGLEFINANCE(""ASX:AGR"", ""marketcap"")"),4.0113743E7)</f>
        <v>40113743</v>
      </c>
      <c r="J116" s="5"/>
      <c r="K116" s="5"/>
      <c r="L116" s="5"/>
      <c r="M116" s="5"/>
      <c r="N116" s="11" t="s">
        <v>19</v>
      </c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6" t="s">
        <v>268</v>
      </c>
      <c r="B117" s="6" t="s">
        <v>269</v>
      </c>
      <c r="C117" s="5" t="s">
        <v>36</v>
      </c>
      <c r="D117" s="7">
        <f>IFERROR(__xludf.DUMMYFUNCTION("GOOGLEFINANCE(""ASX:AGVT"", ""price"")"),41.07)</f>
        <v>41.07</v>
      </c>
      <c r="E117" s="8">
        <f>IFERROR(__xludf.DUMMYFUNCTION("GOOGLEFINANCE(""ASX:AGVT"", ""closeyest"")"),41.04)</f>
        <v>41.04</v>
      </c>
      <c r="F117" s="5" t="str">
        <f>IFERROR(__xludf.DUMMYFUNCTION("GOOGLEFINANCE(""ASX:AGVT"", ""pe"")"),"#N/A")</f>
        <v>#N/A</v>
      </c>
      <c r="G117" s="9">
        <f>IFERROR(__xludf.DUMMYFUNCTION("GOOGLEFINANCE(""ASX:AGVT"", ""high52"")"),43.1)</f>
        <v>43.1</v>
      </c>
      <c r="H117" s="9">
        <f>IFERROR(__xludf.DUMMYFUNCTION("GOOGLEFINANCE(""ASX:AGVT"", ""low52"")"),40.62)</f>
        <v>40.62</v>
      </c>
      <c r="I117" s="9" t="str">
        <f>IFERROR(__xludf.DUMMYFUNCTION("GOOGLEFINANCE(""ASX:AGVT"", ""marketcap"")"),"#N/A")</f>
        <v>#N/A</v>
      </c>
      <c r="J117" s="5"/>
      <c r="K117" s="5"/>
      <c r="L117" s="5"/>
      <c r="M117" s="5"/>
      <c r="N117" s="11" t="s">
        <v>19</v>
      </c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6" t="s">
        <v>270</v>
      </c>
      <c r="B118" s="6" t="s">
        <v>271</v>
      </c>
      <c r="C118" s="5" t="s">
        <v>36</v>
      </c>
      <c r="D118" s="7" t="str">
        <f>IFERROR(__xludf.DUMMYFUNCTION("GOOGLEFINANCE(""ASX:AGX1"", ""price"")"),"#N/A")</f>
        <v>#N/A</v>
      </c>
      <c r="E118" s="8" t="str">
        <f>IFERROR(__xludf.DUMMYFUNCTION("GOOGLEFINANCE(""ASX:AGX1"", ""closeyest"")"),"#N/A")</f>
        <v>#N/A</v>
      </c>
      <c r="F118" s="5" t="str">
        <f>IFERROR(__xludf.DUMMYFUNCTION("GOOGLEFINANCE(""ASX:AGX1"", ""pe"")"),"#N/A")</f>
        <v>#N/A</v>
      </c>
      <c r="G118" s="5" t="str">
        <f>IFERROR(__xludf.DUMMYFUNCTION("GOOGLEFINANCE(""ASX:AGX1"", ""high52"")"),"#N/A")</f>
        <v>#N/A</v>
      </c>
      <c r="H118" s="5" t="str">
        <f>IFERROR(__xludf.DUMMYFUNCTION("GOOGLEFINANCE(""ASX:AGX1"", ""low52"")"),"#N/A")</f>
        <v>#N/A</v>
      </c>
      <c r="I118" s="9" t="str">
        <f>IFERROR(__xludf.DUMMYFUNCTION("GOOGLEFINANCE(""ASX:AGX1"", ""marketcap"")"),"#N/A")</f>
        <v>#N/A</v>
      </c>
      <c r="J118" s="12">
        <v>7.09</v>
      </c>
      <c r="K118" s="12">
        <v>7.05</v>
      </c>
      <c r="L118" s="12">
        <v>7.13</v>
      </c>
      <c r="M118" s="12">
        <v>6.0</v>
      </c>
      <c r="N118" s="11" t="s">
        <v>19</v>
      </c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6" t="s">
        <v>272</v>
      </c>
      <c r="B119" s="6" t="s">
        <v>273</v>
      </c>
      <c r="C119" s="5" t="s">
        <v>39</v>
      </c>
      <c r="D119" s="7">
        <f>IFERROR(__xludf.DUMMYFUNCTION("GOOGLEFINANCE(""ASX:AGY"", ""price"")"),0.13)</f>
        <v>0.13</v>
      </c>
      <c r="E119" s="8">
        <f>IFERROR(__xludf.DUMMYFUNCTION("GOOGLEFINANCE(""ASX:AGY"", ""closeyest"")"),0.13)</f>
        <v>0.13</v>
      </c>
      <c r="F119" s="9">
        <f>IFERROR(__xludf.DUMMYFUNCTION("GOOGLEFINANCE(""ASX:AGY"", ""pe"")"),3.71)</f>
        <v>3.71</v>
      </c>
      <c r="G119" s="9">
        <f>IFERROR(__xludf.DUMMYFUNCTION("GOOGLEFINANCE(""ASX:AGY"", ""high52"")"),0.14)</f>
        <v>0.14</v>
      </c>
      <c r="H119" s="9">
        <f>IFERROR(__xludf.DUMMYFUNCTION("GOOGLEFINANCE(""ASX:AGY"", ""low52"")"),0.01)</f>
        <v>0.01</v>
      </c>
      <c r="I119" s="9">
        <f>IFERROR(__xludf.DUMMYFUNCTION("GOOGLEFINANCE(""ASX:AGY"", ""marketcap"")"),1.8550725E8)</f>
        <v>185507250</v>
      </c>
      <c r="J119" s="5"/>
      <c r="K119" s="5"/>
      <c r="L119" s="5"/>
      <c r="M119" s="5"/>
      <c r="N119" s="10">
        <v>3.57</v>
      </c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6" t="s">
        <v>274</v>
      </c>
      <c r="B120" s="6" t="s">
        <v>275</v>
      </c>
      <c r="C120" s="5" t="s">
        <v>276</v>
      </c>
      <c r="D120" s="7">
        <f>IFERROR(__xludf.DUMMYFUNCTION("GOOGLEFINANCE(""ASX:AHC"", ""price"")"),0.4)</f>
        <v>0.4</v>
      </c>
      <c r="E120" s="8">
        <f>IFERROR(__xludf.DUMMYFUNCTION("GOOGLEFINANCE(""ASX:AHC"", ""closeyest"")"),0.41)</f>
        <v>0.41</v>
      </c>
      <c r="F120" s="9">
        <f>IFERROR(__xludf.DUMMYFUNCTION("GOOGLEFINANCE(""ASX:AHC"", ""pe"")"),24.66)</f>
        <v>24.66</v>
      </c>
      <c r="G120" s="9">
        <f>IFERROR(__xludf.DUMMYFUNCTION("GOOGLEFINANCE(""ASX:AHC"", ""high52"")"),0.45)</f>
        <v>0.45</v>
      </c>
      <c r="H120" s="9">
        <f>IFERROR(__xludf.DUMMYFUNCTION("GOOGLEFINANCE(""ASX:AHC"", ""low52"")"),0.22)</f>
        <v>0.22</v>
      </c>
      <c r="I120" s="9">
        <f>IFERROR(__xludf.DUMMYFUNCTION("GOOGLEFINANCE(""ASX:AHC"", ""marketcap"")"),1.46264553E8)</f>
        <v>146264553</v>
      </c>
      <c r="J120" s="5"/>
      <c r="K120" s="5"/>
      <c r="L120" s="5"/>
      <c r="M120" s="5"/>
      <c r="N120" s="10">
        <v>25.28</v>
      </c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6" t="s">
        <v>277</v>
      </c>
      <c r="B121" s="6" t="s">
        <v>278</v>
      </c>
      <c r="C121" s="5" t="s">
        <v>62</v>
      </c>
      <c r="D121" s="7">
        <f>IFERROR(__xludf.DUMMYFUNCTION("GOOGLEFINANCE(""ASX:AHE"", ""price"")"),0.02)</f>
        <v>0.02</v>
      </c>
      <c r="E121" s="8">
        <f>IFERROR(__xludf.DUMMYFUNCTION("GOOGLEFINANCE(""ASX:AHE"", ""closeyest"")"),0.02)</f>
        <v>0.02</v>
      </c>
      <c r="F121" s="5" t="str">
        <f>IFERROR(__xludf.DUMMYFUNCTION("GOOGLEFINANCE(""ASX:AHE"", ""pe"")"),"#N/A")</f>
        <v>#N/A</v>
      </c>
      <c r="G121" s="9">
        <f>IFERROR(__xludf.DUMMYFUNCTION("GOOGLEFINANCE(""ASX:AHE"", ""high52"")"),0.03)</f>
        <v>0.03</v>
      </c>
      <c r="H121" s="9">
        <f>IFERROR(__xludf.DUMMYFUNCTION("GOOGLEFINANCE(""ASX:AHE"", ""low52"")"),0.02)</f>
        <v>0.02</v>
      </c>
      <c r="I121" s="9">
        <f>IFERROR(__xludf.DUMMYFUNCTION("GOOGLEFINANCE(""ASX:AHE"", ""marketcap"")"),1.031165E7)</f>
        <v>10311650</v>
      </c>
      <c r="J121" s="5"/>
      <c r="K121" s="5"/>
      <c r="L121" s="5"/>
      <c r="M121" s="5"/>
      <c r="N121" s="11" t="s">
        <v>19</v>
      </c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6" t="s">
        <v>279</v>
      </c>
      <c r="B122" s="6" t="s">
        <v>280</v>
      </c>
      <c r="C122" s="5" t="s">
        <v>128</v>
      </c>
      <c r="D122" s="7">
        <f>IFERROR(__xludf.DUMMYFUNCTION("GOOGLEFINANCE(""ASX:AHF"", ""price"")"),0.03)</f>
        <v>0.03</v>
      </c>
      <c r="E122" s="8">
        <f>IFERROR(__xludf.DUMMYFUNCTION("GOOGLEFINANCE(""ASX:AHF"", ""closeyest"")"),0.04)</f>
        <v>0.04</v>
      </c>
      <c r="F122" s="5" t="str">
        <f>IFERROR(__xludf.DUMMYFUNCTION("GOOGLEFINANCE(""ASX:AHF"", ""pe"")"),"#N/A")</f>
        <v>#N/A</v>
      </c>
      <c r="G122" s="9">
        <f>IFERROR(__xludf.DUMMYFUNCTION("GOOGLEFINANCE(""ASX:AHF"", ""high52"")"),0.09)</f>
        <v>0.09</v>
      </c>
      <c r="H122" s="9">
        <f>IFERROR(__xludf.DUMMYFUNCTION("GOOGLEFINANCE(""ASX:AHF"", ""low52"")"),0.03)</f>
        <v>0.03</v>
      </c>
      <c r="I122" s="9">
        <f>IFERROR(__xludf.DUMMYFUNCTION("GOOGLEFINANCE(""ASX:AHF"", ""marketcap"")"),2.1463414E7)</f>
        <v>21463414</v>
      </c>
      <c r="J122" s="5"/>
      <c r="K122" s="5"/>
      <c r="L122" s="5"/>
      <c r="M122" s="5"/>
      <c r="N122" s="11" t="s">
        <v>19</v>
      </c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6" t="s">
        <v>281</v>
      </c>
      <c r="B123" s="6" t="s">
        <v>282</v>
      </c>
      <c r="C123" s="5" t="s">
        <v>18</v>
      </c>
      <c r="D123" s="7">
        <f>IFERROR(__xludf.DUMMYFUNCTION("GOOGLEFINANCE(""ASX:AHK"", ""price"")"),0.49)</f>
        <v>0.49</v>
      </c>
      <c r="E123" s="8">
        <f>IFERROR(__xludf.DUMMYFUNCTION("GOOGLEFINANCE(""ASX:AHK"", ""closeyest"")"),0.52)</f>
        <v>0.52</v>
      </c>
      <c r="F123" s="5" t="str">
        <f>IFERROR(__xludf.DUMMYFUNCTION("GOOGLEFINANCE(""ASX:AHK"", ""pe"")"),"#N/A")</f>
        <v>#N/A</v>
      </c>
      <c r="G123" s="9">
        <f>IFERROR(__xludf.DUMMYFUNCTION("GOOGLEFINANCE(""ASX:AHK"", ""high52"")"),0.75)</f>
        <v>0.75</v>
      </c>
      <c r="H123" s="9">
        <f>IFERROR(__xludf.DUMMYFUNCTION("GOOGLEFINANCE(""ASX:AHK"", ""low52"")"),0.12)</f>
        <v>0.12</v>
      </c>
      <c r="I123" s="9">
        <f>IFERROR(__xludf.DUMMYFUNCTION("GOOGLEFINANCE(""ASX:AHK"", ""marketcap"")"),3.4979709E7)</f>
        <v>34979709</v>
      </c>
      <c r="J123" s="5"/>
      <c r="K123" s="5"/>
      <c r="L123" s="5"/>
      <c r="M123" s="5"/>
      <c r="N123" s="11" t="s">
        <v>19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6" t="s">
        <v>283</v>
      </c>
      <c r="B124" s="6" t="s">
        <v>284</v>
      </c>
      <c r="C124" s="5" t="s">
        <v>148</v>
      </c>
      <c r="D124" s="7">
        <f>IFERROR(__xludf.DUMMYFUNCTION("GOOGLEFINANCE(""ASX:AHL"", ""price"")"),1.01)</f>
        <v>1.01</v>
      </c>
      <c r="E124" s="8">
        <f>IFERROR(__xludf.DUMMYFUNCTION("GOOGLEFINANCE(""ASX:AHL"", ""closeyest"")"),1.01)</f>
        <v>1.01</v>
      </c>
      <c r="F124" s="9">
        <f>IFERROR(__xludf.DUMMYFUNCTION("GOOGLEFINANCE(""ASX:AHL"", ""pe"")"),13.26)</f>
        <v>13.26</v>
      </c>
      <c r="G124" s="9">
        <f>IFERROR(__xludf.DUMMYFUNCTION("GOOGLEFINANCE(""ASX:AHL"", ""high52"")"),1.1)</f>
        <v>1.1</v>
      </c>
      <c r="H124" s="9">
        <f>IFERROR(__xludf.DUMMYFUNCTION("GOOGLEFINANCE(""ASX:AHL"", ""low52"")"),0.56)</f>
        <v>0.56</v>
      </c>
      <c r="I124" s="9">
        <f>IFERROR(__xludf.DUMMYFUNCTION("GOOGLEFINANCE(""ASX:AHL"", ""marketcap"")"),8.2949797E7)</f>
        <v>82949797</v>
      </c>
      <c r="J124" s="5"/>
      <c r="K124" s="5"/>
      <c r="L124" s="5"/>
      <c r="M124" s="5"/>
      <c r="N124" s="10">
        <v>13.26</v>
      </c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6" t="s">
        <v>285</v>
      </c>
      <c r="B125" s="6" t="s">
        <v>286</v>
      </c>
      <c r="C125" s="5" t="s">
        <v>18</v>
      </c>
      <c r="D125" s="7">
        <f>IFERROR(__xludf.DUMMYFUNCTION("GOOGLEFINANCE(""ASX:AHN"", ""price"")"),0.01)</f>
        <v>0.01</v>
      </c>
      <c r="E125" s="8">
        <f>IFERROR(__xludf.DUMMYFUNCTION("GOOGLEFINANCE(""ASX:AHN"", ""closeyest"")"),0.01)</f>
        <v>0.01</v>
      </c>
      <c r="F125" s="5" t="str">
        <f>IFERROR(__xludf.DUMMYFUNCTION("GOOGLEFINANCE(""ASX:AHN"", ""pe"")"),"#N/A")</f>
        <v>#N/A</v>
      </c>
      <c r="G125" s="9">
        <f>IFERROR(__xludf.DUMMYFUNCTION("GOOGLEFINANCE(""ASX:AHN"", ""high52"")"),0.01)</f>
        <v>0.01</v>
      </c>
      <c r="H125" s="9">
        <f>IFERROR(__xludf.DUMMYFUNCTION("GOOGLEFINANCE(""ASX:AHN"", ""low52"")"),0.0)</f>
        <v>0</v>
      </c>
      <c r="I125" s="9">
        <f>IFERROR(__xludf.DUMMYFUNCTION("GOOGLEFINANCE(""ASX:AHN"", ""marketcap"")"),8157444.0)</f>
        <v>8157444</v>
      </c>
      <c r="J125" s="5"/>
      <c r="K125" s="5"/>
      <c r="L125" s="5"/>
      <c r="M125" s="5"/>
      <c r="N125" s="11" t="s">
        <v>19</v>
      </c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6" t="s">
        <v>287</v>
      </c>
      <c r="B126" s="6" t="s">
        <v>288</v>
      </c>
      <c r="C126" s="5" t="s">
        <v>164</v>
      </c>
      <c r="D126" s="7" t="str">
        <f>IFERROR(__xludf.DUMMYFUNCTION("GOOGLEFINANCE(""ASX:AHX"", ""price"")"),"#N/A")</f>
        <v>#N/A</v>
      </c>
      <c r="E126" s="8" t="str">
        <f>IFERROR(__xludf.DUMMYFUNCTION("GOOGLEFINANCE(""ASX:AHX"", ""closeyest"")"),"#N/A")</f>
        <v>#N/A</v>
      </c>
      <c r="F126" s="5" t="str">
        <f>IFERROR(__xludf.DUMMYFUNCTION("GOOGLEFINANCE(""ASX:AHX"", ""pe"")"),"#N/A")</f>
        <v>#N/A</v>
      </c>
      <c r="G126" s="5" t="str">
        <f>IFERROR(__xludf.DUMMYFUNCTION("GOOGLEFINANCE(""ASX:AHX"", ""high52"")"),"#N/A")</f>
        <v>#N/A</v>
      </c>
      <c r="H126" s="5" t="str">
        <f>IFERROR(__xludf.DUMMYFUNCTION("GOOGLEFINANCE(""ASX:AHX"", ""low52"")"),"#N/A")</f>
        <v>#N/A</v>
      </c>
      <c r="I126" s="9" t="str">
        <f>IFERROR(__xludf.DUMMYFUNCTION("GOOGLEFINANCE(""ASX:AHX"", ""marketcap"")"),"#N/A")</f>
        <v>#N/A</v>
      </c>
      <c r="J126" s="12">
        <v>0.87</v>
      </c>
      <c r="K126" s="12">
        <v>0.87</v>
      </c>
      <c r="L126" s="12">
        <v>0.875</v>
      </c>
      <c r="M126" s="12">
        <v>0.345</v>
      </c>
      <c r="N126" s="11" t="s">
        <v>19</v>
      </c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6" t="s">
        <v>289</v>
      </c>
      <c r="B127" s="6" t="s">
        <v>290</v>
      </c>
      <c r="C127" s="5" t="s">
        <v>184</v>
      </c>
      <c r="D127" s="7" t="str">
        <f>IFERROR(__xludf.DUMMYFUNCTION("GOOGLEFINANCE(""ASX:AI1"", ""price"")"),"#N/A")</f>
        <v>#N/A</v>
      </c>
      <c r="E127" s="8" t="str">
        <f>IFERROR(__xludf.DUMMYFUNCTION("GOOGLEFINANCE(""ASX:AI1"", ""closeyest"")"),"#N/A")</f>
        <v>#N/A</v>
      </c>
      <c r="F127" s="5" t="str">
        <f>IFERROR(__xludf.DUMMYFUNCTION("GOOGLEFINANCE(""ASX:AI1"", ""pe"")"),"#N/A")</f>
        <v>#N/A</v>
      </c>
      <c r="G127" s="5" t="str">
        <f>IFERROR(__xludf.DUMMYFUNCTION("GOOGLEFINANCE(""ASX:AI1"", ""high52"")"),"#N/A")</f>
        <v>#N/A</v>
      </c>
      <c r="H127" s="5" t="str">
        <f>IFERROR(__xludf.DUMMYFUNCTION("GOOGLEFINANCE(""ASX:AI1"", ""low52"")"),"#N/A")</f>
        <v>#N/A</v>
      </c>
      <c r="I127" s="9" t="str">
        <f>IFERROR(__xludf.DUMMYFUNCTION("GOOGLEFINANCE(""ASX:AI1"", ""marketcap"")"),"#N/A")</f>
        <v>#N/A</v>
      </c>
      <c r="J127" s="12">
        <v>0.064</v>
      </c>
      <c r="K127" s="12">
        <v>0.065</v>
      </c>
      <c r="L127" s="12">
        <v>0.13</v>
      </c>
      <c r="M127" s="12">
        <v>0.036</v>
      </c>
      <c r="N127" s="11" t="s">
        <v>19</v>
      </c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6" t="s">
        <v>291</v>
      </c>
      <c r="B128" s="6" t="s">
        <v>292</v>
      </c>
      <c r="C128" s="5" t="s">
        <v>293</v>
      </c>
      <c r="D128" s="7">
        <f>IFERROR(__xludf.DUMMYFUNCTION("GOOGLEFINANCE(""ASX:AIA"", ""price"")"),7.23)</f>
        <v>7.23</v>
      </c>
      <c r="E128" s="8">
        <f>IFERROR(__xludf.DUMMYFUNCTION("GOOGLEFINANCE(""ASX:AIA"", ""closeyest"")"),7.25)</f>
        <v>7.25</v>
      </c>
      <c r="F128" s="5" t="str">
        <f>IFERROR(__xludf.DUMMYFUNCTION("GOOGLEFINANCE(""ASX:AIA"", ""pe"")"),"#N/A")</f>
        <v>#N/A</v>
      </c>
      <c r="G128" s="9">
        <f>IFERROR(__xludf.DUMMYFUNCTION("GOOGLEFINANCE(""ASX:AIA"", ""high52"")"),8.0)</f>
        <v>8</v>
      </c>
      <c r="H128" s="9">
        <f>IFERROR(__xludf.DUMMYFUNCTION("GOOGLEFINANCE(""ASX:AIA"", ""low52"")"),6.61)</f>
        <v>6.61</v>
      </c>
      <c r="I128" s="9">
        <f>IFERROR(__xludf.DUMMYFUNCTION("GOOGLEFINANCE(""ASX:AIA"", ""marketcap"")"),1.417177E10)</f>
        <v>14171770000</v>
      </c>
      <c r="J128" s="5"/>
      <c r="K128" s="5"/>
      <c r="L128" s="5"/>
      <c r="M128" s="5"/>
      <c r="N128" s="11" t="s">
        <v>19</v>
      </c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6" t="s">
        <v>294</v>
      </c>
      <c r="B129" s="6" t="s">
        <v>295</v>
      </c>
      <c r="C129" s="5" t="s">
        <v>296</v>
      </c>
      <c r="D129" s="7">
        <f>IFERROR(__xludf.DUMMYFUNCTION("GOOGLEFINANCE(""ASX:AIH"", ""price"")"),0.98)</f>
        <v>0.98</v>
      </c>
      <c r="E129" s="8">
        <f>IFERROR(__xludf.DUMMYFUNCTION("GOOGLEFINANCE(""ASX:AIH"", ""closeyest"")"),0.96)</f>
        <v>0.96</v>
      </c>
      <c r="F129" s="5" t="str">
        <f>IFERROR(__xludf.DUMMYFUNCTION("GOOGLEFINANCE(""ASX:AIH"", ""pe"")"),"#N/A")</f>
        <v>#N/A</v>
      </c>
      <c r="G129" s="9">
        <f>IFERROR(__xludf.DUMMYFUNCTION("GOOGLEFINANCE(""ASX:AIH"", ""high52"")"),1.12)</f>
        <v>1.12</v>
      </c>
      <c r="H129" s="9">
        <f>IFERROR(__xludf.DUMMYFUNCTION("GOOGLEFINANCE(""ASX:AIH"", ""low52"")"),0.83)</f>
        <v>0.83</v>
      </c>
      <c r="I129" s="9" t="str">
        <f>IFERROR(__xludf.DUMMYFUNCTION("GOOGLEFINANCE(""ASX:AIH"", ""marketcap"")"),"#N/A")</f>
        <v>#N/A</v>
      </c>
      <c r="J129" s="5"/>
      <c r="K129" s="5"/>
      <c r="L129" s="5"/>
      <c r="M129" s="5"/>
      <c r="N129" s="11" t="s">
        <v>19</v>
      </c>
      <c r="O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6" t="s">
        <v>297</v>
      </c>
      <c r="B130" s="6" t="s">
        <v>298</v>
      </c>
      <c r="C130" s="5" t="s">
        <v>39</v>
      </c>
      <c r="D130" s="7">
        <f>IFERROR(__xludf.DUMMYFUNCTION("GOOGLEFINANCE(""ASX:AII"", ""price"")"),14.36)</f>
        <v>14.36</v>
      </c>
      <c r="E130" s="8">
        <f>IFERROR(__xludf.DUMMYFUNCTION("GOOGLEFINANCE(""ASX:AII"", ""closeyest"")"),14.25)</f>
        <v>14.25</v>
      </c>
      <c r="F130" s="5" t="str">
        <f>IFERROR(__xludf.DUMMYFUNCTION("GOOGLEFINANCE(""ASX:AII"", ""pe"")"),"#N/A")</f>
        <v>#N/A</v>
      </c>
      <c r="G130" s="9">
        <f>IFERROR(__xludf.DUMMYFUNCTION("GOOGLEFINANCE(""ASX:AII"", ""high52"")"),15.3)</f>
        <v>15.3</v>
      </c>
      <c r="H130" s="9">
        <f>IFERROR(__xludf.DUMMYFUNCTION("GOOGLEFINANCE(""ASX:AII"", ""low52"")"),1.53)</f>
        <v>1.53</v>
      </c>
      <c r="I130" s="9">
        <f>IFERROR(__xludf.DUMMYFUNCTION("GOOGLEFINANCE(""ASX:AII"", ""marketcap"")"),3.405173891E9)</f>
        <v>3405173891</v>
      </c>
      <c r="J130" s="5"/>
      <c r="K130" s="5"/>
      <c r="L130" s="5"/>
      <c r="M130" s="5"/>
      <c r="N130" s="11" t="s">
        <v>19</v>
      </c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6" t="s">
        <v>299</v>
      </c>
      <c r="B131" s="6" t="s">
        <v>300</v>
      </c>
      <c r="C131" s="5" t="s">
        <v>184</v>
      </c>
      <c r="D131" s="7">
        <f>IFERROR(__xludf.DUMMYFUNCTION("GOOGLEFINANCE(""ASX:AIM"", ""price"")"),0.76)</f>
        <v>0.76</v>
      </c>
      <c r="E131" s="8">
        <f>IFERROR(__xludf.DUMMYFUNCTION("GOOGLEFINANCE(""ASX:AIM"", ""closeyest"")"),0.75)</f>
        <v>0.75</v>
      </c>
      <c r="F131" s="5" t="str">
        <f>IFERROR(__xludf.DUMMYFUNCTION("GOOGLEFINANCE(""ASX:AIM"", ""pe"")"),"#N/A")</f>
        <v>#N/A</v>
      </c>
      <c r="G131" s="9">
        <f>IFERROR(__xludf.DUMMYFUNCTION("GOOGLEFINANCE(""ASX:AIM"", ""high52"")"),0.95)</f>
        <v>0.95</v>
      </c>
      <c r="H131" s="9">
        <f>IFERROR(__xludf.DUMMYFUNCTION("GOOGLEFINANCE(""ASX:AIM"", ""low52"")"),0.48)</f>
        <v>0.48</v>
      </c>
      <c r="I131" s="9">
        <f>IFERROR(__xludf.DUMMYFUNCTION("GOOGLEFINANCE(""ASX:AIM"", ""marketcap"")"),1.57668154E8)</f>
        <v>157668154</v>
      </c>
      <c r="J131" s="5"/>
      <c r="K131" s="5"/>
      <c r="L131" s="5"/>
      <c r="M131" s="5"/>
      <c r="N131" s="11" t="s">
        <v>19</v>
      </c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6" t="s">
        <v>301</v>
      </c>
      <c r="B132" s="6" t="s">
        <v>302</v>
      </c>
      <c r="C132" s="5" t="s">
        <v>36</v>
      </c>
      <c r="D132" s="7">
        <f>IFERROR(__xludf.DUMMYFUNCTION("GOOGLEFINANCE(""ASX:AINF"", ""price"")"),15.49)</f>
        <v>15.49</v>
      </c>
      <c r="E132" s="8">
        <f>IFERROR(__xludf.DUMMYFUNCTION("GOOGLEFINANCE(""ASX:AINF"", ""closeyest"")"),15.48)</f>
        <v>15.48</v>
      </c>
      <c r="F132" s="5" t="str">
        <f>IFERROR(__xludf.DUMMYFUNCTION("GOOGLEFINANCE(""ASX:AINF"", ""pe"")"),"#N/A")</f>
        <v>#N/A</v>
      </c>
      <c r="G132" s="9">
        <f>IFERROR(__xludf.DUMMYFUNCTION("GOOGLEFINANCE(""ASX:AINF"", ""high52"")"),15.81)</f>
        <v>15.81</v>
      </c>
      <c r="H132" s="9">
        <f>IFERROR(__xludf.DUMMYFUNCTION("GOOGLEFINANCE(""ASX:AINF"", ""low52"")"),10.03)</f>
        <v>10.03</v>
      </c>
      <c r="I132" s="9" t="str">
        <f>IFERROR(__xludf.DUMMYFUNCTION("GOOGLEFINANCE(""ASX:AINF"", ""marketcap"")"),"#N/A")</f>
        <v>#N/A</v>
      </c>
      <c r="J132" s="5"/>
      <c r="K132" s="5"/>
      <c r="L132" s="5"/>
      <c r="M132" s="5"/>
      <c r="N132" s="11" t="s">
        <v>19</v>
      </c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6" t="s">
        <v>303</v>
      </c>
      <c r="B133" s="6" t="s">
        <v>304</v>
      </c>
      <c r="C133" s="5" t="s">
        <v>171</v>
      </c>
      <c r="D133" s="7">
        <f>IFERROR(__xludf.DUMMYFUNCTION("GOOGLEFINANCE(""ASX:AIQ"", ""price"")"),1.49)</f>
        <v>1.49</v>
      </c>
      <c r="E133" s="8">
        <f>IFERROR(__xludf.DUMMYFUNCTION("GOOGLEFINANCE(""ASX:AIQ"", ""closeyest"")"),1.49)</f>
        <v>1.49</v>
      </c>
      <c r="F133" s="9">
        <f>IFERROR(__xludf.DUMMYFUNCTION("GOOGLEFINANCE(""ASX:AIQ"", ""pe"")"),5.22)</f>
        <v>5.22</v>
      </c>
      <c r="G133" s="9">
        <f>IFERROR(__xludf.DUMMYFUNCTION("GOOGLEFINANCE(""ASX:AIQ"", ""high52"")"),1.78)</f>
        <v>1.78</v>
      </c>
      <c r="H133" s="9">
        <f>IFERROR(__xludf.DUMMYFUNCTION("GOOGLEFINANCE(""ASX:AIQ"", ""low52"")"),1.3)</f>
        <v>1.3</v>
      </c>
      <c r="I133" s="9">
        <f>IFERROR(__xludf.DUMMYFUNCTION("GOOGLEFINANCE(""ASX:AIQ"", ""marketcap"")"),7.920442E7)</f>
        <v>79204420</v>
      </c>
      <c r="J133" s="5"/>
      <c r="K133" s="5"/>
      <c r="L133" s="5"/>
      <c r="M133" s="5"/>
      <c r="N133" s="10">
        <v>5.22</v>
      </c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6" t="s">
        <v>305</v>
      </c>
      <c r="B134" s="6" t="s">
        <v>306</v>
      </c>
      <c r="C134" s="5" t="s">
        <v>18</v>
      </c>
      <c r="D134" s="7">
        <f>IFERROR(__xludf.DUMMYFUNCTION("GOOGLEFINANCE(""ASX:AIS"", ""price"")"),0.64)</f>
        <v>0.64</v>
      </c>
      <c r="E134" s="8">
        <f>IFERROR(__xludf.DUMMYFUNCTION("GOOGLEFINANCE(""ASX:AIS"", ""closeyest"")"),0.67)</f>
        <v>0.67</v>
      </c>
      <c r="F134" s="9">
        <f>IFERROR(__xludf.DUMMYFUNCTION("GOOGLEFINANCE(""ASX:AIS"", ""pe"")"),13.6)</f>
        <v>13.6</v>
      </c>
      <c r="G134" s="9">
        <f>IFERROR(__xludf.DUMMYFUNCTION("GOOGLEFINANCE(""ASX:AIS"", ""high52"")"),0.68)</f>
        <v>0.68</v>
      </c>
      <c r="H134" s="9">
        <f>IFERROR(__xludf.DUMMYFUNCTION("GOOGLEFINANCE(""ASX:AIS"", ""low52"")"),0.14)</f>
        <v>0.14</v>
      </c>
      <c r="I134" s="9">
        <f>IFERROR(__xludf.DUMMYFUNCTION("GOOGLEFINANCE(""ASX:AIS"", ""marketcap"")"),7.53970413E8)</f>
        <v>753970413</v>
      </c>
      <c r="J134" s="5"/>
      <c r="K134" s="5"/>
      <c r="L134" s="5"/>
      <c r="M134" s="5"/>
      <c r="N134" s="10">
        <v>12.43</v>
      </c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6" t="s">
        <v>307</v>
      </c>
      <c r="B135" s="6" t="s">
        <v>308</v>
      </c>
      <c r="C135" s="5" t="s">
        <v>18</v>
      </c>
      <c r="D135" s="7">
        <f>IFERROR(__xludf.DUMMYFUNCTION("GOOGLEFINANCE(""ASX:AIV"", ""price"")"),0.02)</f>
        <v>0.02</v>
      </c>
      <c r="E135" s="8">
        <f>IFERROR(__xludf.DUMMYFUNCTION("GOOGLEFINANCE(""ASX:AIV"", ""closeyest"")"),0.02)</f>
        <v>0.02</v>
      </c>
      <c r="F135" s="5" t="str">
        <f>IFERROR(__xludf.DUMMYFUNCTION("GOOGLEFINANCE(""ASX:AIV"", ""pe"")"),"#N/A")</f>
        <v>#N/A</v>
      </c>
      <c r="G135" s="9">
        <f>IFERROR(__xludf.DUMMYFUNCTION("GOOGLEFINANCE(""ASX:AIV"", ""high52"")"),0.03)</f>
        <v>0.03</v>
      </c>
      <c r="H135" s="9">
        <f>IFERROR(__xludf.DUMMYFUNCTION("GOOGLEFINANCE(""ASX:AIV"", ""low52"")"),0.01)</f>
        <v>0.01</v>
      </c>
      <c r="I135" s="9">
        <f>IFERROR(__xludf.DUMMYFUNCTION("GOOGLEFINANCE(""ASX:AIV"", ""marketcap"")"),6277479.0)</f>
        <v>6277479</v>
      </c>
      <c r="J135" s="5"/>
      <c r="K135" s="5"/>
      <c r="L135" s="5"/>
      <c r="M135" s="5"/>
      <c r="N135" s="11" t="s">
        <v>19</v>
      </c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6" t="s">
        <v>309</v>
      </c>
      <c r="B136" s="6" t="s">
        <v>310</v>
      </c>
      <c r="C136" s="5" t="s">
        <v>311</v>
      </c>
      <c r="D136" s="7">
        <f>IFERROR(__xludf.DUMMYFUNCTION("GOOGLEFINANCE(""ASX:AIZ"", ""price"")"),0.51)</f>
        <v>0.51</v>
      </c>
      <c r="E136" s="8">
        <f>IFERROR(__xludf.DUMMYFUNCTION("GOOGLEFINANCE(""ASX:AIZ"", ""closeyest"")"),0.51)</f>
        <v>0.51</v>
      </c>
      <c r="F136" s="5" t="str">
        <f>IFERROR(__xludf.DUMMYFUNCTION("GOOGLEFINANCE(""ASX:AIZ"", ""pe"")"),"#N/A")</f>
        <v>#N/A</v>
      </c>
      <c r="G136" s="9">
        <f>IFERROR(__xludf.DUMMYFUNCTION("GOOGLEFINANCE(""ASX:AIZ"", ""high52"")"),0.58)</f>
        <v>0.58</v>
      </c>
      <c r="H136" s="9">
        <f>IFERROR(__xludf.DUMMYFUNCTION("GOOGLEFINANCE(""ASX:AIZ"", ""low52"")"),0.5)</f>
        <v>0.5</v>
      </c>
      <c r="I136" s="9">
        <f>IFERROR(__xludf.DUMMYFUNCTION("GOOGLEFINANCE(""ASX:AIZ"", ""marketcap"")"),1.882285E9)</f>
        <v>1882285000</v>
      </c>
      <c r="J136" s="5"/>
      <c r="K136" s="5"/>
      <c r="L136" s="5"/>
      <c r="M136" s="5"/>
      <c r="N136" s="11" t="s">
        <v>19</v>
      </c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6" t="s">
        <v>312</v>
      </c>
      <c r="B137" s="6" t="s">
        <v>313</v>
      </c>
      <c r="C137" s="5" t="s">
        <v>314</v>
      </c>
      <c r="D137" s="7">
        <f>IFERROR(__xludf.DUMMYFUNCTION("GOOGLEFINANCE(""ASX:AJL"", ""price"")"),0.01)</f>
        <v>0.01</v>
      </c>
      <c r="E137" s="8">
        <f>IFERROR(__xludf.DUMMYFUNCTION("GOOGLEFINANCE(""ASX:AJL"", ""closeyest"")"),0.01)</f>
        <v>0.01</v>
      </c>
      <c r="F137" s="5" t="str">
        <f>IFERROR(__xludf.DUMMYFUNCTION("GOOGLEFINANCE(""ASX:AJL"", ""pe"")"),"#N/A")</f>
        <v>#N/A</v>
      </c>
      <c r="G137" s="9">
        <f>IFERROR(__xludf.DUMMYFUNCTION("GOOGLEFINANCE(""ASX:AJL"", ""high52"")"),0.02)</f>
        <v>0.02</v>
      </c>
      <c r="H137" s="9">
        <f>IFERROR(__xludf.DUMMYFUNCTION("GOOGLEFINANCE(""ASX:AJL"", ""low52"")"),0.0)</f>
        <v>0</v>
      </c>
      <c r="I137" s="9">
        <f>IFERROR(__xludf.DUMMYFUNCTION("GOOGLEFINANCE(""ASX:AJL"", ""marketcap"")"),1.5133029E7)</f>
        <v>15133029</v>
      </c>
      <c r="J137" s="5"/>
      <c r="K137" s="5"/>
      <c r="L137" s="5"/>
      <c r="M137" s="5"/>
      <c r="N137" s="11" t="s">
        <v>19</v>
      </c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6" t="s">
        <v>315</v>
      </c>
      <c r="B138" s="6" t="s">
        <v>316</v>
      </c>
      <c r="C138" s="5" t="s">
        <v>228</v>
      </c>
      <c r="D138" s="7">
        <f>IFERROR(__xludf.DUMMYFUNCTION("GOOGLEFINANCE(""ASX:AJX"", ""price"")"),0.01)</f>
        <v>0.01</v>
      </c>
      <c r="E138" s="8">
        <f>IFERROR(__xludf.DUMMYFUNCTION("GOOGLEFINANCE(""ASX:AJX"", ""closeyest"")"),0.01)</f>
        <v>0.01</v>
      </c>
      <c r="F138" s="5" t="str">
        <f>IFERROR(__xludf.DUMMYFUNCTION("GOOGLEFINANCE(""ASX:AJX"", ""pe"")"),"#N/A")</f>
        <v>#N/A</v>
      </c>
      <c r="G138" s="9">
        <f>IFERROR(__xludf.DUMMYFUNCTION("GOOGLEFINANCE(""ASX:AJX"", ""high52"")"),0.01)</f>
        <v>0.01</v>
      </c>
      <c r="H138" s="9">
        <f>IFERROR(__xludf.DUMMYFUNCTION("GOOGLEFINANCE(""ASX:AJX"", ""low52"")"),0.0)</f>
        <v>0</v>
      </c>
      <c r="I138" s="9">
        <f>IFERROR(__xludf.DUMMYFUNCTION("GOOGLEFINANCE(""ASX:AJX"", ""marketcap"")"),1.1494536E7)</f>
        <v>11494536</v>
      </c>
      <c r="J138" s="5"/>
      <c r="K138" s="5"/>
      <c r="L138" s="5"/>
      <c r="M138" s="5"/>
      <c r="N138" s="11" t="s">
        <v>19</v>
      </c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6" t="s">
        <v>317</v>
      </c>
      <c r="B139" s="6" t="s">
        <v>318</v>
      </c>
      <c r="C139" s="5" t="s">
        <v>18</v>
      </c>
      <c r="D139" s="7">
        <f>IFERROR(__xludf.DUMMYFUNCTION("GOOGLEFINANCE(""ASX:AKA"", ""price"")"),0.15)</f>
        <v>0.15</v>
      </c>
      <c r="E139" s="8">
        <f>IFERROR(__xludf.DUMMYFUNCTION("GOOGLEFINANCE(""ASX:AKA"", ""closeyest"")"),0.15)</f>
        <v>0.15</v>
      </c>
      <c r="F139" s="5" t="str">
        <f>IFERROR(__xludf.DUMMYFUNCTION("GOOGLEFINANCE(""ASX:AKA"", ""pe"")"),"#N/A")</f>
        <v>#N/A</v>
      </c>
      <c r="G139" s="9">
        <f>IFERROR(__xludf.DUMMYFUNCTION("GOOGLEFINANCE(""ASX:AKA"", ""high52"")"),0.2)</f>
        <v>0.2</v>
      </c>
      <c r="H139" s="9">
        <f>IFERROR(__xludf.DUMMYFUNCTION("GOOGLEFINANCE(""ASX:AKA"", ""low52"")"),0.08)</f>
        <v>0.08</v>
      </c>
      <c r="I139" s="9">
        <f>IFERROR(__xludf.DUMMYFUNCTION("GOOGLEFINANCE(""ASX:AKA"", ""marketcap"")"),2.3960588E7)</f>
        <v>23960588</v>
      </c>
      <c r="J139" s="5"/>
      <c r="K139" s="5"/>
      <c r="L139" s="5"/>
      <c r="M139" s="5"/>
      <c r="N139" s="11" t="s">
        <v>19</v>
      </c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6" t="s">
        <v>319</v>
      </c>
      <c r="B140" s="6" t="s">
        <v>320</v>
      </c>
      <c r="C140" s="5" t="s">
        <v>321</v>
      </c>
      <c r="D140" s="7">
        <f>IFERROR(__xludf.DUMMYFUNCTION("GOOGLEFINANCE(""ASX:AKG"", ""price"")"),0.11)</f>
        <v>0.11</v>
      </c>
      <c r="E140" s="8">
        <f>IFERROR(__xludf.DUMMYFUNCTION("GOOGLEFINANCE(""ASX:AKG"", ""closeyest"")"),0.11)</f>
        <v>0.11</v>
      </c>
      <c r="F140" s="5" t="str">
        <f>IFERROR(__xludf.DUMMYFUNCTION("GOOGLEFINANCE(""ASX:AKG"", ""pe"")"),"#N/A")</f>
        <v>#N/A</v>
      </c>
      <c r="G140" s="9">
        <f>IFERROR(__xludf.DUMMYFUNCTION("GOOGLEFINANCE(""ASX:AKG"", ""high52"")"),0.14)</f>
        <v>0.14</v>
      </c>
      <c r="H140" s="9">
        <f>IFERROR(__xludf.DUMMYFUNCTION("GOOGLEFINANCE(""ASX:AKG"", ""low52"")"),0.09)</f>
        <v>0.09</v>
      </c>
      <c r="I140" s="9">
        <f>IFERROR(__xludf.DUMMYFUNCTION("GOOGLEFINANCE(""ASX:AKG"", ""marketcap"")"),1.4587583E7)</f>
        <v>14587583</v>
      </c>
      <c r="J140" s="5"/>
      <c r="K140" s="5"/>
      <c r="L140" s="5"/>
      <c r="M140" s="5"/>
      <c r="N140" s="11" t="s">
        <v>19</v>
      </c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6" t="s">
        <v>322</v>
      </c>
      <c r="B141" s="6" t="s">
        <v>323</v>
      </c>
      <c r="C141" s="5" t="s">
        <v>314</v>
      </c>
      <c r="D141" s="7">
        <f>IFERROR(__xludf.DUMMYFUNCTION("GOOGLEFINANCE(""ASX:AKM"", ""price"")"),0.24)</f>
        <v>0.24</v>
      </c>
      <c r="E141" s="8">
        <f>IFERROR(__xludf.DUMMYFUNCTION("GOOGLEFINANCE(""ASX:AKM"", ""closeyest"")"),0.26)</f>
        <v>0.26</v>
      </c>
      <c r="F141" s="5" t="str">
        <f>IFERROR(__xludf.DUMMYFUNCTION("GOOGLEFINANCE(""ASX:AKM"", ""pe"")"),"#N/A")</f>
        <v>#N/A</v>
      </c>
      <c r="G141" s="9">
        <f>IFERROR(__xludf.DUMMYFUNCTION("GOOGLEFINANCE(""ASX:AKM"", ""high52"")"),0.35)</f>
        <v>0.35</v>
      </c>
      <c r="H141" s="9">
        <f>IFERROR(__xludf.DUMMYFUNCTION("GOOGLEFINANCE(""ASX:AKM"", ""low52"")"),0.2)</f>
        <v>0.2</v>
      </c>
      <c r="I141" s="9">
        <f>IFERROR(__xludf.DUMMYFUNCTION("GOOGLEFINANCE(""ASX:AKM"", ""marketcap"")"),1.19396253E8)</f>
        <v>119396253</v>
      </c>
      <c r="J141" s="5"/>
      <c r="K141" s="5"/>
      <c r="L141" s="5"/>
      <c r="M141" s="5"/>
      <c r="N141" s="11" t="s">
        <v>19</v>
      </c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6" t="s">
        <v>324</v>
      </c>
      <c r="B142" s="6" t="s">
        <v>325</v>
      </c>
      <c r="C142" s="5" t="s">
        <v>18</v>
      </c>
      <c r="D142" s="7">
        <f>IFERROR(__xludf.DUMMYFUNCTION("GOOGLEFINANCE(""ASX:AKN"", ""price"")"),0.0)</f>
        <v>0</v>
      </c>
      <c r="E142" s="8">
        <f>IFERROR(__xludf.DUMMYFUNCTION("GOOGLEFINANCE(""ASX:AKN"", ""closeyest"")"),0.0)</f>
        <v>0</v>
      </c>
      <c r="F142" s="5" t="str">
        <f>IFERROR(__xludf.DUMMYFUNCTION("GOOGLEFINANCE(""ASX:AKN"", ""pe"")"),"#N/A")</f>
        <v>#N/A</v>
      </c>
      <c r="G142" s="9">
        <f>IFERROR(__xludf.DUMMYFUNCTION("GOOGLEFINANCE(""ASX:AKN"", ""high52"")"),0.01)</f>
        <v>0.01</v>
      </c>
      <c r="H142" s="9">
        <f>IFERROR(__xludf.DUMMYFUNCTION("GOOGLEFINANCE(""ASX:AKN"", ""low52"")"),0.0)</f>
        <v>0</v>
      </c>
      <c r="I142" s="9">
        <f>IFERROR(__xludf.DUMMYFUNCTION("GOOGLEFINANCE(""ASX:AKN"", ""marketcap"")"),1800060.0)</f>
        <v>1800060</v>
      </c>
      <c r="J142" s="12">
        <v>0.004</v>
      </c>
      <c r="K142" s="12">
        <v>0.004</v>
      </c>
      <c r="L142" s="12">
        <v>0.009</v>
      </c>
      <c r="M142" s="12">
        <v>0.003</v>
      </c>
      <c r="N142" s="11" t="s">
        <v>19</v>
      </c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6" t="s">
        <v>326</v>
      </c>
      <c r="B143" s="6" t="s">
        <v>327</v>
      </c>
      <c r="C143" s="5" t="s">
        <v>212</v>
      </c>
      <c r="D143" s="7">
        <f>IFERROR(__xludf.DUMMYFUNCTION("GOOGLEFINANCE(""ASX:AKO"", ""price"")"),0.08)</f>
        <v>0.08</v>
      </c>
      <c r="E143" s="8">
        <f>IFERROR(__xludf.DUMMYFUNCTION("GOOGLEFINANCE(""ASX:AKO"", ""closeyest"")"),0.08)</f>
        <v>0.08</v>
      </c>
      <c r="F143" s="5" t="str">
        <f>IFERROR(__xludf.DUMMYFUNCTION("GOOGLEFINANCE(""ASX:AKO"", ""pe"")"),"#N/A")</f>
        <v>#N/A</v>
      </c>
      <c r="G143" s="9">
        <f>IFERROR(__xludf.DUMMYFUNCTION("GOOGLEFINANCE(""ASX:AKO"", ""high52"")"),0.14)</f>
        <v>0.14</v>
      </c>
      <c r="H143" s="9">
        <f>IFERROR(__xludf.DUMMYFUNCTION("GOOGLEFINANCE(""ASX:AKO"", ""low52"")"),0.07)</f>
        <v>0.07</v>
      </c>
      <c r="I143" s="9">
        <f>IFERROR(__xludf.DUMMYFUNCTION("GOOGLEFINANCE(""ASX:AKO"", ""marketcap"")"),1.4931872E7)</f>
        <v>14931872</v>
      </c>
      <c r="J143" s="5"/>
      <c r="K143" s="5"/>
      <c r="L143" s="5"/>
      <c r="M143" s="5"/>
      <c r="N143" s="11" t="s">
        <v>19</v>
      </c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6" t="s">
        <v>326</v>
      </c>
      <c r="B144" s="6" t="s">
        <v>327</v>
      </c>
      <c r="C144" s="5" t="s">
        <v>212</v>
      </c>
      <c r="D144" s="7">
        <f>IFERROR(__xludf.DUMMYFUNCTION("GOOGLEFINANCE(""ASX:AKO"", ""price"")"),0.08)</f>
        <v>0.08</v>
      </c>
      <c r="E144" s="8">
        <f>IFERROR(__xludf.DUMMYFUNCTION("GOOGLEFINANCE(""ASX:AKO"", ""closeyest"")"),0.08)</f>
        <v>0.08</v>
      </c>
      <c r="F144" s="5" t="str">
        <f>IFERROR(__xludf.DUMMYFUNCTION("GOOGLEFINANCE(""ASX:AKO"", ""pe"")"),"#N/A")</f>
        <v>#N/A</v>
      </c>
      <c r="G144" s="9">
        <f>IFERROR(__xludf.DUMMYFUNCTION("GOOGLEFINANCE(""ASX:AKO"", ""high52"")"),0.14)</f>
        <v>0.14</v>
      </c>
      <c r="H144" s="9">
        <f>IFERROR(__xludf.DUMMYFUNCTION("GOOGLEFINANCE(""ASX:AKO"", ""low52"")"),0.07)</f>
        <v>0.07</v>
      </c>
      <c r="I144" s="9">
        <f>IFERROR(__xludf.DUMMYFUNCTION("GOOGLEFINANCE(""ASX:AKO"", ""marketcap"")"),1.4931872E7)</f>
        <v>14931872</v>
      </c>
      <c r="J144" s="5"/>
      <c r="K144" s="5"/>
      <c r="L144" s="5"/>
      <c r="M144" s="5"/>
      <c r="N144" s="11" t="s">
        <v>19</v>
      </c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6" t="s">
        <v>328</v>
      </c>
      <c r="B145" s="6" t="s">
        <v>329</v>
      </c>
      <c r="C145" s="5" t="s">
        <v>330</v>
      </c>
      <c r="D145" s="7">
        <f>IFERROR(__xludf.DUMMYFUNCTION("GOOGLEFINANCE(""ASX:AKP"", ""price"")"),6.2)</f>
        <v>6.2</v>
      </c>
      <c r="E145" s="8">
        <f>IFERROR(__xludf.DUMMYFUNCTION("GOOGLEFINANCE(""ASX:AKP"", ""closeyest"")"),6.2)</f>
        <v>6.2</v>
      </c>
      <c r="F145" s="5" t="str">
        <f>IFERROR(__xludf.DUMMYFUNCTION("GOOGLEFINANCE(""ASX:AKP"", ""pe"")"),"#N/A")</f>
        <v>#N/A</v>
      </c>
      <c r="G145" s="9">
        <f>IFERROR(__xludf.DUMMYFUNCTION("GOOGLEFINANCE(""ASX:AKP"", ""high52"")"),6.2)</f>
        <v>6.2</v>
      </c>
      <c r="H145" s="9">
        <f>IFERROR(__xludf.DUMMYFUNCTION("GOOGLEFINANCE(""ASX:AKP"", ""low52"")"),5.56)</f>
        <v>5.56</v>
      </c>
      <c r="I145" s="9">
        <f>IFERROR(__xludf.DUMMYFUNCTION("GOOGLEFINANCE(""ASX:AKP"", ""marketcap"")"),1.81102552E8)</f>
        <v>181102552</v>
      </c>
      <c r="J145" s="5"/>
      <c r="K145" s="5"/>
      <c r="L145" s="5"/>
      <c r="M145" s="5"/>
      <c r="N145" s="11" t="s">
        <v>19</v>
      </c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6" t="s">
        <v>331</v>
      </c>
      <c r="B146" s="6" t="s">
        <v>332</v>
      </c>
      <c r="C146" s="5" t="s">
        <v>52</v>
      </c>
      <c r="D146" s="7">
        <f>IFERROR(__xludf.DUMMYFUNCTION("GOOGLEFINANCE(""ASX:AL3"", ""price"")"),0.2)</f>
        <v>0.2</v>
      </c>
      <c r="E146" s="8">
        <f>IFERROR(__xludf.DUMMYFUNCTION("GOOGLEFINANCE(""ASX:AL3"", ""closeyest"")"),0.19)</f>
        <v>0.19</v>
      </c>
      <c r="F146" s="5" t="str">
        <f>IFERROR(__xludf.DUMMYFUNCTION("GOOGLEFINANCE(""ASX:AL3"", ""pe"")"),"#N/A")</f>
        <v>#N/A</v>
      </c>
      <c r="G146" s="9">
        <f>IFERROR(__xludf.DUMMYFUNCTION("GOOGLEFINANCE(""ASX:AL3"", ""high52"")"),0.34)</f>
        <v>0.34</v>
      </c>
      <c r="H146" s="9">
        <f>IFERROR(__xludf.DUMMYFUNCTION("GOOGLEFINANCE(""ASX:AL3"", ""low52"")"),0.11)</f>
        <v>0.11</v>
      </c>
      <c r="I146" s="9">
        <f>IFERROR(__xludf.DUMMYFUNCTION("GOOGLEFINANCE(""ASX:AL3"", ""marketcap"")"),1.07743034E8)</f>
        <v>107743034</v>
      </c>
      <c r="J146" s="5"/>
      <c r="K146" s="5"/>
      <c r="L146" s="5"/>
      <c r="M146" s="5"/>
      <c r="N146" s="11" t="s">
        <v>19</v>
      </c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6" t="s">
        <v>333</v>
      </c>
      <c r="B147" s="6" t="s">
        <v>334</v>
      </c>
      <c r="C147" s="5" t="s">
        <v>25</v>
      </c>
      <c r="D147" s="7">
        <f>IFERROR(__xludf.DUMMYFUNCTION("GOOGLEFINANCE(""ASX:ALA"", ""price"")"),0.09)</f>
        <v>0.09</v>
      </c>
      <c r="E147" s="8">
        <f>IFERROR(__xludf.DUMMYFUNCTION("GOOGLEFINANCE(""ASX:ALA"", ""closeyest"")"),0.09)</f>
        <v>0.09</v>
      </c>
      <c r="F147" s="5" t="str">
        <f>IFERROR(__xludf.DUMMYFUNCTION("GOOGLEFINANCE(""ASX:ALA"", ""pe"")"),"#N/A")</f>
        <v>#N/A</v>
      </c>
      <c r="G147" s="9">
        <f>IFERROR(__xludf.DUMMYFUNCTION("GOOGLEFINANCE(""ASX:ALA"", ""high52"")"),0.21)</f>
        <v>0.21</v>
      </c>
      <c r="H147" s="9">
        <f>IFERROR(__xludf.DUMMYFUNCTION("GOOGLEFINANCE(""ASX:ALA"", ""low52"")"),0.07)</f>
        <v>0.07</v>
      </c>
      <c r="I147" s="9">
        <f>IFERROR(__xludf.DUMMYFUNCTION("GOOGLEFINANCE(""ASX:ALA"", ""marketcap"")"),1.08106474E8)</f>
        <v>108106474</v>
      </c>
      <c r="J147" s="9">
        <v>0.001</v>
      </c>
      <c r="K147" s="9">
        <v>0.001</v>
      </c>
      <c r="L147" s="9">
        <v>0.001</v>
      </c>
      <c r="M147" s="9">
        <v>0.001</v>
      </c>
      <c r="N147" s="11" t="s">
        <v>19</v>
      </c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6" t="s">
        <v>335</v>
      </c>
      <c r="B148" s="6" t="s">
        <v>336</v>
      </c>
      <c r="C148" s="5" t="s">
        <v>18</v>
      </c>
      <c r="D148" s="7">
        <f>IFERROR(__xludf.DUMMYFUNCTION("GOOGLEFINANCE(""ASX:ALB"", ""price"")"),0.06)</f>
        <v>0.06</v>
      </c>
      <c r="E148" s="8">
        <f>IFERROR(__xludf.DUMMYFUNCTION("GOOGLEFINANCE(""ASX:ALB"", ""closeyest"")"),0.06)</f>
        <v>0.06</v>
      </c>
      <c r="F148" s="5" t="str">
        <f>IFERROR(__xludf.DUMMYFUNCTION("GOOGLEFINANCE(""ASX:ALB"", ""pe"")"),"#N/A")</f>
        <v>#N/A</v>
      </c>
      <c r="G148" s="9">
        <f>IFERROR(__xludf.DUMMYFUNCTION("GOOGLEFINANCE(""ASX:ALB"", ""high52"")"),0.16)</f>
        <v>0.16</v>
      </c>
      <c r="H148" s="9">
        <f>IFERROR(__xludf.DUMMYFUNCTION("GOOGLEFINANCE(""ASX:ALB"", ""low52"")"),0.04)</f>
        <v>0.04</v>
      </c>
      <c r="I148" s="9">
        <f>IFERROR(__xludf.DUMMYFUNCTION("GOOGLEFINANCE(""ASX:ALB"", ""marketcap"")"),8521522.0)</f>
        <v>8521522</v>
      </c>
      <c r="J148" s="5"/>
      <c r="K148" s="5"/>
      <c r="L148" s="5"/>
      <c r="M148" s="5"/>
      <c r="N148" s="11" t="s">
        <v>19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6" t="s">
        <v>337</v>
      </c>
      <c r="B149" s="6" t="s">
        <v>338</v>
      </c>
      <c r="C149" s="5" t="s">
        <v>15</v>
      </c>
      <c r="D149" s="7">
        <f>IFERROR(__xludf.DUMMYFUNCTION("GOOGLEFINANCE(""ASX:ALC"", ""price"")"),0.1)</f>
        <v>0.1</v>
      </c>
      <c r="E149" s="8">
        <f>IFERROR(__xludf.DUMMYFUNCTION("GOOGLEFINANCE(""ASX:ALC"", ""closeyest"")"),0.1)</f>
        <v>0.1</v>
      </c>
      <c r="F149" s="9">
        <f>IFERROR(__xludf.DUMMYFUNCTION("GOOGLEFINANCE(""ASX:ALC"", ""pe"")"),80.49)</f>
        <v>80.49</v>
      </c>
      <c r="G149" s="9">
        <f>IFERROR(__xludf.DUMMYFUNCTION("GOOGLEFINANCE(""ASX:ALC"", ""high52"")"),0.14)</f>
        <v>0.14</v>
      </c>
      <c r="H149" s="9">
        <f>IFERROR(__xludf.DUMMYFUNCTION("GOOGLEFINANCE(""ASX:ALC"", ""low52"")"),0.06)</f>
        <v>0.06</v>
      </c>
      <c r="I149" s="9">
        <f>IFERROR(__xludf.DUMMYFUNCTION("GOOGLEFINANCE(""ASX:ALC"", ""marketcap"")"),1.32952346E8)</f>
        <v>132952346</v>
      </c>
      <c r="J149" s="5"/>
      <c r="K149" s="5"/>
      <c r="L149" s="5"/>
      <c r="M149" s="5"/>
      <c r="N149" s="10">
        <v>81.3</v>
      </c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6" t="s">
        <v>339</v>
      </c>
      <c r="B150" s="6" t="s">
        <v>340</v>
      </c>
      <c r="C150" s="5" t="s">
        <v>341</v>
      </c>
      <c r="D150" s="7">
        <f>IFERROR(__xludf.DUMMYFUNCTION("GOOGLEFINANCE(""ASX:ALD"", ""price"")"),30.48)</f>
        <v>30.48</v>
      </c>
      <c r="E150" s="8">
        <f>IFERROR(__xludf.DUMMYFUNCTION("GOOGLEFINANCE(""ASX:ALD"", ""closeyest"")"),31.21)</f>
        <v>31.21</v>
      </c>
      <c r="F150" s="5" t="str">
        <f>IFERROR(__xludf.DUMMYFUNCTION("GOOGLEFINANCE(""ASX:ALD"", ""pe"")"),"#N/A")</f>
        <v>#N/A</v>
      </c>
      <c r="G150" s="9">
        <f>IFERROR(__xludf.DUMMYFUNCTION("GOOGLEFINANCE(""ASX:ALD"", ""high52"")"),33.14)</f>
        <v>33.14</v>
      </c>
      <c r="H150" s="9">
        <f>IFERROR(__xludf.DUMMYFUNCTION("GOOGLEFINANCE(""ASX:ALD"", ""low52"")"),19.53)</f>
        <v>19.53</v>
      </c>
      <c r="I150" s="9">
        <f>IFERROR(__xludf.DUMMYFUNCTION("GOOGLEFINANCE(""ASX:ALD"", ""marketcap"")"),7.26344485E9)</f>
        <v>7263444850</v>
      </c>
      <c r="J150" s="9">
        <v>0.002</v>
      </c>
      <c r="K150" s="9">
        <v>0.002</v>
      </c>
      <c r="L150" s="9">
        <v>0.003</v>
      </c>
      <c r="M150" s="9">
        <v>0.001</v>
      </c>
      <c r="N150" s="11" t="s">
        <v>19</v>
      </c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6" t="s">
        <v>342</v>
      </c>
      <c r="B151" s="6" t="s">
        <v>343</v>
      </c>
      <c r="C151" s="5" t="s">
        <v>36</v>
      </c>
      <c r="D151" s="7">
        <f>IFERROR(__xludf.DUMMYFUNCTION("GOOGLEFINANCE(""ASX:ALFA"", ""price"")"),21.64)</f>
        <v>21.64</v>
      </c>
      <c r="E151" s="8">
        <f>IFERROR(__xludf.DUMMYFUNCTION("GOOGLEFINANCE(""ASX:ALFA"", ""closeyest"")"),21.66)</f>
        <v>21.66</v>
      </c>
      <c r="F151" s="5" t="str">
        <f>IFERROR(__xludf.DUMMYFUNCTION("GOOGLEFINANCE(""ASX:ALFA"", ""pe"")"),"#N/A")</f>
        <v>#N/A</v>
      </c>
      <c r="G151" s="9">
        <f>IFERROR(__xludf.DUMMYFUNCTION("GOOGLEFINANCE(""ASX:ALFA"", ""high52"")"),24.62)</f>
        <v>24.62</v>
      </c>
      <c r="H151" s="9">
        <f>IFERROR(__xludf.DUMMYFUNCTION("GOOGLEFINANCE(""ASX:ALFA"", ""low52"")"),16.25)</f>
        <v>16.25</v>
      </c>
      <c r="I151" s="9" t="str">
        <f>IFERROR(__xludf.DUMMYFUNCTION("GOOGLEFINANCE(""ASX:ALFA"", ""marketcap"")"),"#N/A")</f>
        <v>#N/A</v>
      </c>
      <c r="J151" s="5"/>
      <c r="K151" s="5"/>
      <c r="L151" s="5"/>
      <c r="M151" s="5"/>
      <c r="N151" s="11" t="s">
        <v>19</v>
      </c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6" t="s">
        <v>344</v>
      </c>
      <c r="B152" s="6" t="s">
        <v>345</v>
      </c>
      <c r="C152" s="5" t="s">
        <v>171</v>
      </c>
      <c r="D152" s="7">
        <f>IFERROR(__xludf.DUMMYFUNCTION("GOOGLEFINANCE(""ASX:ALI"", ""price"")"),2.5)</f>
        <v>2.5</v>
      </c>
      <c r="E152" s="8">
        <f>IFERROR(__xludf.DUMMYFUNCTION("GOOGLEFINANCE(""ASX:ALI"", ""closeyest"")"),2.53)</f>
        <v>2.53</v>
      </c>
      <c r="F152" s="9">
        <f>IFERROR(__xludf.DUMMYFUNCTION("GOOGLEFINANCE(""ASX:ALI"", ""pe"")"),8.51)</f>
        <v>8.51</v>
      </c>
      <c r="G152" s="9">
        <f>IFERROR(__xludf.DUMMYFUNCTION("GOOGLEFINANCE(""ASX:ALI"", ""high52"")"),2.54)</f>
        <v>2.54</v>
      </c>
      <c r="H152" s="9">
        <f>IFERROR(__xludf.DUMMYFUNCTION("GOOGLEFINANCE(""ASX:ALI"", ""low52"")"),2.2)</f>
        <v>2.2</v>
      </c>
      <c r="I152" s="9">
        <f>IFERROR(__xludf.DUMMYFUNCTION("GOOGLEFINANCE(""ASX:ALI"", ""marketcap"")"),4.44443E8)</f>
        <v>444443000</v>
      </c>
      <c r="J152" s="5"/>
      <c r="K152" s="5"/>
      <c r="L152" s="5"/>
      <c r="M152" s="5"/>
      <c r="N152" s="10">
        <v>8.65</v>
      </c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6" t="s">
        <v>346</v>
      </c>
      <c r="B153" s="6" t="s">
        <v>347</v>
      </c>
      <c r="C153" s="5" t="s">
        <v>88</v>
      </c>
      <c r="D153" s="7">
        <f>IFERROR(__xludf.DUMMYFUNCTION("GOOGLEFINANCE(""ASX:ALK"", ""price"")"),1.37)</f>
        <v>1.37</v>
      </c>
      <c r="E153" s="8">
        <f>IFERROR(__xludf.DUMMYFUNCTION("GOOGLEFINANCE(""ASX:ALK"", ""closeyest"")"),1.38)</f>
        <v>1.38</v>
      </c>
      <c r="F153" s="5" t="str">
        <f>IFERROR(__xludf.DUMMYFUNCTION("GOOGLEFINANCE(""ASX:ALK"", ""pe"")"),"#N/A")</f>
        <v>#N/A</v>
      </c>
      <c r="G153" s="9">
        <f>IFERROR(__xludf.DUMMYFUNCTION("GOOGLEFINANCE(""ASX:ALK"", ""high52"")"),1.43)</f>
        <v>1.43</v>
      </c>
      <c r="H153" s="9">
        <f>IFERROR(__xludf.DUMMYFUNCTION("GOOGLEFINANCE(""ASX:ALK"", ""low52"")"),0.46)</f>
        <v>0.46</v>
      </c>
      <c r="I153" s="9">
        <f>IFERROR(__xludf.DUMMYFUNCTION("GOOGLEFINANCE(""ASX:ALK"", ""marketcap"")"),1.871698116E9)</f>
        <v>1871698116</v>
      </c>
      <c r="J153" s="5"/>
      <c r="K153" s="5"/>
      <c r="L153" s="5"/>
      <c r="M153" s="5"/>
      <c r="N153" s="11" t="s">
        <v>19</v>
      </c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6" t="s">
        <v>348</v>
      </c>
      <c r="B154" s="6" t="s">
        <v>349</v>
      </c>
      <c r="C154" s="5" t="s">
        <v>259</v>
      </c>
      <c r="D154" s="7">
        <f>IFERROR(__xludf.DUMMYFUNCTION("GOOGLEFINANCE(""ASX:ALL"", ""price"")"),55.61)</f>
        <v>55.61</v>
      </c>
      <c r="E154" s="8">
        <f>IFERROR(__xludf.DUMMYFUNCTION("GOOGLEFINANCE(""ASX:ALL"", ""closeyest"")"),55.13)</f>
        <v>55.13</v>
      </c>
      <c r="F154" s="9">
        <f>IFERROR(__xludf.DUMMYFUNCTION("GOOGLEFINANCE(""ASX:ALL"", ""pe"")"),29.46)</f>
        <v>29.46</v>
      </c>
      <c r="G154" s="9">
        <f>IFERROR(__xludf.DUMMYFUNCTION("GOOGLEFINANCE(""ASX:ALL"", ""high52"")"),79.95)</f>
        <v>79.95</v>
      </c>
      <c r="H154" s="9">
        <f>IFERROR(__xludf.DUMMYFUNCTION("GOOGLEFINANCE(""ASX:ALL"", ""low52"")"),54.2)</f>
        <v>54.2</v>
      </c>
      <c r="I154" s="9">
        <f>IFERROR(__xludf.DUMMYFUNCTION("GOOGLEFINANCE(""ASX:ALL"", ""marketcap"")"),3.4304252296E10)</f>
        <v>34304252296</v>
      </c>
      <c r="J154" s="5"/>
      <c r="K154" s="5"/>
      <c r="L154" s="5"/>
      <c r="M154" s="5"/>
      <c r="N154" s="10">
        <v>30.32</v>
      </c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6" t="s">
        <v>350</v>
      </c>
      <c r="B155" s="6" t="s">
        <v>351</v>
      </c>
      <c r="C155" s="5" t="s">
        <v>39</v>
      </c>
      <c r="D155" s="7">
        <f>IFERROR(__xludf.DUMMYFUNCTION("GOOGLEFINANCE(""ASX:ALM"", ""price"")"),0.01)</f>
        <v>0.01</v>
      </c>
      <c r="E155" s="8">
        <f>IFERROR(__xludf.DUMMYFUNCTION("GOOGLEFINANCE(""ASX:ALM"", ""closeyest"")"),0.01)</f>
        <v>0.01</v>
      </c>
      <c r="F155" s="5" t="str">
        <f>IFERROR(__xludf.DUMMYFUNCTION("GOOGLEFINANCE(""ASX:ALM"", ""pe"")"),"#N/A")</f>
        <v>#N/A</v>
      </c>
      <c r="G155" s="9">
        <f>IFERROR(__xludf.DUMMYFUNCTION("GOOGLEFINANCE(""ASX:ALM"", ""high52"")"),0.01)</f>
        <v>0.01</v>
      </c>
      <c r="H155" s="9">
        <f>IFERROR(__xludf.DUMMYFUNCTION("GOOGLEFINANCE(""ASX:ALM"", ""low52"")"),0.0)</f>
        <v>0</v>
      </c>
      <c r="I155" s="9">
        <f>IFERROR(__xludf.DUMMYFUNCTION("GOOGLEFINANCE(""ASX:ALM"", ""marketcap"")"),1.2515056E7)</f>
        <v>12515056</v>
      </c>
      <c r="J155" s="5"/>
      <c r="K155" s="5"/>
      <c r="L155" s="5"/>
      <c r="M155" s="5"/>
      <c r="N155" s="11" t="s">
        <v>19</v>
      </c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6" t="s">
        <v>352</v>
      </c>
      <c r="B156" s="6" t="s">
        <v>353</v>
      </c>
      <c r="C156" s="5" t="s">
        <v>36</v>
      </c>
      <c r="D156" s="7">
        <f>IFERROR(__xludf.DUMMYFUNCTION("GOOGLEFINANCE(""ASX:ALPH"", ""price"")"),11.34)</f>
        <v>11.34</v>
      </c>
      <c r="E156" s="8">
        <f>IFERROR(__xludf.DUMMYFUNCTION("GOOGLEFINANCE(""ASX:ALPH"", ""closeyest"")"),11.33)</f>
        <v>11.33</v>
      </c>
      <c r="F156" s="5" t="str">
        <f>IFERROR(__xludf.DUMMYFUNCTION("GOOGLEFINANCE(""ASX:ALPH"", ""pe"")"),"#N/A")</f>
        <v>#N/A</v>
      </c>
      <c r="G156" s="9">
        <f>IFERROR(__xludf.DUMMYFUNCTION("GOOGLEFINANCE(""ASX:ALPH"", ""high52"")"),11.59)</f>
        <v>11.59</v>
      </c>
      <c r="H156" s="9">
        <f>IFERROR(__xludf.DUMMYFUNCTION("GOOGLEFINANCE(""ASX:ALPH"", ""low52"")"),8.99)</f>
        <v>8.99</v>
      </c>
      <c r="I156" s="9" t="str">
        <f>IFERROR(__xludf.DUMMYFUNCTION("GOOGLEFINANCE(""ASX:ALPH"", ""marketcap"")"),"#N/A")</f>
        <v>#N/A</v>
      </c>
      <c r="J156" s="5"/>
      <c r="K156" s="5"/>
      <c r="L156" s="5"/>
      <c r="M156" s="5"/>
      <c r="N156" s="11" t="s">
        <v>19</v>
      </c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6" t="s">
        <v>354</v>
      </c>
      <c r="B157" s="6" t="s">
        <v>355</v>
      </c>
      <c r="C157" s="5" t="s">
        <v>161</v>
      </c>
      <c r="D157" s="7">
        <f>IFERROR(__xludf.DUMMYFUNCTION("GOOGLEFINANCE(""ASX:ALQ"", ""price"")"),22.35)</f>
        <v>22.35</v>
      </c>
      <c r="E157" s="8">
        <f>IFERROR(__xludf.DUMMYFUNCTION("GOOGLEFINANCE(""ASX:ALQ"", ""closeyest"")"),22.16)</f>
        <v>22.16</v>
      </c>
      <c r="F157" s="9">
        <f>IFERROR(__xludf.DUMMYFUNCTION("GOOGLEFINANCE(""ASX:ALQ"", ""pe"")"),40.99)</f>
        <v>40.99</v>
      </c>
      <c r="G157" s="9">
        <f>IFERROR(__xludf.DUMMYFUNCTION("GOOGLEFINANCE(""ASX:ALQ"", ""high52"")"),22.69)</f>
        <v>22.69</v>
      </c>
      <c r="H157" s="9">
        <f>IFERROR(__xludf.DUMMYFUNCTION("GOOGLEFINANCE(""ASX:ALQ"", ""low52"")"),14.1)</f>
        <v>14.1</v>
      </c>
      <c r="I157" s="9">
        <f>IFERROR(__xludf.DUMMYFUNCTION("GOOGLEFINANCE(""ASX:ALQ"", ""marketcap"")"),1.1343575068E10)</f>
        <v>11343575068</v>
      </c>
      <c r="J157" s="5"/>
      <c r="K157" s="5"/>
      <c r="L157" s="5"/>
      <c r="M157" s="5"/>
      <c r="N157" s="10">
        <v>40.46</v>
      </c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6" t="s">
        <v>356</v>
      </c>
      <c r="B158" s="6" t="s">
        <v>357</v>
      </c>
      <c r="C158" s="5" t="s">
        <v>18</v>
      </c>
      <c r="D158" s="7">
        <f>IFERROR(__xludf.DUMMYFUNCTION("GOOGLEFINANCE(""ASX:ALR"", ""price"")"),0.02)</f>
        <v>0.02</v>
      </c>
      <c r="E158" s="8">
        <f>IFERROR(__xludf.DUMMYFUNCTION("GOOGLEFINANCE(""ASX:ALR"", ""closeyest"")"),0.02)</f>
        <v>0.02</v>
      </c>
      <c r="F158" s="5" t="str">
        <f>IFERROR(__xludf.DUMMYFUNCTION("GOOGLEFINANCE(""ASX:ALR"", ""pe"")"),"#N/A")</f>
        <v>#N/A</v>
      </c>
      <c r="G158" s="9">
        <f>IFERROR(__xludf.DUMMYFUNCTION("GOOGLEFINANCE(""ASX:ALR"", ""high52"")"),0.03)</f>
        <v>0.03</v>
      </c>
      <c r="H158" s="9">
        <f>IFERROR(__xludf.DUMMYFUNCTION("GOOGLEFINANCE(""ASX:ALR"", ""low52"")"),0.0)</f>
        <v>0</v>
      </c>
      <c r="I158" s="9">
        <f>IFERROR(__xludf.DUMMYFUNCTION("GOOGLEFINANCE(""ASX:ALR"", ""marketcap"")"),1.19453353E8)</f>
        <v>119453353</v>
      </c>
      <c r="J158" s="5"/>
      <c r="K158" s="5"/>
      <c r="L158" s="5"/>
      <c r="M158" s="5"/>
      <c r="N158" s="11" t="s">
        <v>19</v>
      </c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6" t="s">
        <v>358</v>
      </c>
      <c r="B159" s="6" t="s">
        <v>359</v>
      </c>
      <c r="C159" s="5" t="s">
        <v>36</v>
      </c>
      <c r="D159" s="7">
        <f>IFERROR(__xludf.DUMMYFUNCTION("GOOGLEFINANCE(""ASX:ALTB"", ""price"")"),95.04)</f>
        <v>95.04</v>
      </c>
      <c r="E159" s="8">
        <f>IFERROR(__xludf.DUMMYFUNCTION("GOOGLEFINANCE(""ASX:ALTB"", ""closeyest"")"),95.42)</f>
        <v>95.42</v>
      </c>
      <c r="F159" s="5" t="str">
        <f>IFERROR(__xludf.DUMMYFUNCTION("GOOGLEFINANCE(""ASX:ALTB"", ""pe"")"),"#N/A")</f>
        <v>#N/A</v>
      </c>
      <c r="G159" s="9">
        <f>IFERROR(__xludf.DUMMYFUNCTION("GOOGLEFINANCE(""ASX:ALTB"", ""high52"")"),102.11)</f>
        <v>102.11</v>
      </c>
      <c r="H159" s="9">
        <f>IFERROR(__xludf.DUMMYFUNCTION("GOOGLEFINANCE(""ASX:ALTB"", ""low52"")"),94.58)</f>
        <v>94.58</v>
      </c>
      <c r="I159" s="9" t="str">
        <f>IFERROR(__xludf.DUMMYFUNCTION("GOOGLEFINANCE(""ASX:ALTB"", ""marketcap"")"),"#N/A")</f>
        <v>#N/A</v>
      </c>
      <c r="J159" s="5"/>
      <c r="K159" s="5"/>
      <c r="L159" s="5"/>
      <c r="M159" s="5"/>
      <c r="N159" s="11" t="s">
        <v>19</v>
      </c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6" t="s">
        <v>360</v>
      </c>
      <c r="B160" s="6" t="s">
        <v>361</v>
      </c>
      <c r="C160" s="5" t="s">
        <v>39</v>
      </c>
      <c r="D160" s="7">
        <f>IFERROR(__xludf.DUMMYFUNCTION("GOOGLEFINANCE(""ASX:ALV"", ""price"")"),0.07)</f>
        <v>0.07</v>
      </c>
      <c r="E160" s="8">
        <f>IFERROR(__xludf.DUMMYFUNCTION("GOOGLEFINANCE(""ASX:ALV"", ""closeyest"")"),0.07)</f>
        <v>0.07</v>
      </c>
      <c r="F160" s="5" t="str">
        <f>IFERROR(__xludf.DUMMYFUNCTION("GOOGLEFINANCE(""ASX:ALV"", ""pe"")"),"#N/A")</f>
        <v>#N/A</v>
      </c>
      <c r="G160" s="9">
        <f>IFERROR(__xludf.DUMMYFUNCTION("GOOGLEFINANCE(""ASX:ALV"", ""high52"")"),0.1)</f>
        <v>0.1</v>
      </c>
      <c r="H160" s="9">
        <f>IFERROR(__xludf.DUMMYFUNCTION("GOOGLEFINANCE(""ASX:ALV"", ""low52"")"),0.02)</f>
        <v>0.02</v>
      </c>
      <c r="I160" s="9">
        <f>IFERROR(__xludf.DUMMYFUNCTION("GOOGLEFINANCE(""ASX:ALV"", ""marketcap"")"),1.6615697E7)</f>
        <v>16615697</v>
      </c>
      <c r="J160" s="5"/>
      <c r="K160" s="5"/>
      <c r="L160" s="5"/>
      <c r="M160" s="5"/>
      <c r="N160" s="11" t="s">
        <v>19</v>
      </c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6" t="s">
        <v>362</v>
      </c>
      <c r="B161" s="6" t="s">
        <v>363</v>
      </c>
      <c r="C161" s="5" t="s">
        <v>364</v>
      </c>
      <c r="D161" s="7">
        <f>IFERROR(__xludf.DUMMYFUNCTION("GOOGLEFINANCE(""ASX:ALX"", ""price"")"),4.86)</f>
        <v>4.86</v>
      </c>
      <c r="E161" s="8">
        <f>IFERROR(__xludf.DUMMYFUNCTION("GOOGLEFINANCE(""ASX:ALX"", ""closeyest"")"),4.79)</f>
        <v>4.79</v>
      </c>
      <c r="F161" s="9">
        <f>IFERROR(__xludf.DUMMYFUNCTION("GOOGLEFINANCE(""ASX:ALX"", ""pe"")"),29.86)</f>
        <v>29.86</v>
      </c>
      <c r="G161" s="9">
        <f>IFERROR(__xludf.DUMMYFUNCTION("GOOGLEFINANCE(""ASX:ALX"", ""high52"")"),5.54)</f>
        <v>5.54</v>
      </c>
      <c r="H161" s="9">
        <f>IFERROR(__xludf.DUMMYFUNCTION("GOOGLEFINANCE(""ASX:ALX"", ""low52"")"),4.72)</f>
        <v>4.72</v>
      </c>
      <c r="I161" s="9">
        <f>IFERROR(__xludf.DUMMYFUNCTION("GOOGLEFINANCE(""ASX:ALX"", ""marketcap"")"),7.051048573E9)</f>
        <v>7051048573</v>
      </c>
      <c r="J161" s="5"/>
      <c r="K161" s="5"/>
      <c r="L161" s="5"/>
      <c r="M161" s="5"/>
      <c r="N161" s="10">
        <v>29.92</v>
      </c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6" t="s">
        <v>365</v>
      </c>
      <c r="B162" s="6" t="s">
        <v>366</v>
      </c>
      <c r="C162" s="5" t="s">
        <v>18</v>
      </c>
      <c r="D162" s="7">
        <f>IFERROR(__xludf.DUMMYFUNCTION("GOOGLEFINANCE(""ASX:ALY"", ""price"")"),0.01)</f>
        <v>0.01</v>
      </c>
      <c r="E162" s="8">
        <f>IFERROR(__xludf.DUMMYFUNCTION("GOOGLEFINANCE(""ASX:ALY"", ""closeyest"")"),0.01)</f>
        <v>0.01</v>
      </c>
      <c r="F162" s="5" t="str">
        <f>IFERROR(__xludf.DUMMYFUNCTION("GOOGLEFINANCE(""ASX:ALY"", ""pe"")"),"#N/A")</f>
        <v>#N/A</v>
      </c>
      <c r="G162" s="9">
        <f>IFERROR(__xludf.DUMMYFUNCTION("GOOGLEFINANCE(""ASX:ALY"", ""high52"")"),0.02)</f>
        <v>0.02</v>
      </c>
      <c r="H162" s="9">
        <f>IFERROR(__xludf.DUMMYFUNCTION("GOOGLEFINANCE(""ASX:ALY"", ""low52"")"),0.01)</f>
        <v>0.01</v>
      </c>
      <c r="I162" s="9">
        <f>IFERROR(__xludf.DUMMYFUNCTION("GOOGLEFINANCE(""ASX:ALY"", ""marketcap"")"),1.0692683E7)</f>
        <v>10692683</v>
      </c>
      <c r="J162" s="5"/>
      <c r="K162" s="5"/>
      <c r="L162" s="5"/>
      <c r="M162" s="5"/>
      <c r="N162" s="11" t="s">
        <v>19</v>
      </c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6" t="s">
        <v>367</v>
      </c>
      <c r="B163" s="6" t="s">
        <v>368</v>
      </c>
      <c r="C163" s="5" t="s">
        <v>39</v>
      </c>
      <c r="D163" s="7">
        <f>IFERROR(__xludf.DUMMYFUNCTION("GOOGLEFINANCE(""ASX:AM5"", ""price"")"),0.01)</f>
        <v>0.01</v>
      </c>
      <c r="E163" s="8">
        <f>IFERROR(__xludf.DUMMYFUNCTION("GOOGLEFINANCE(""ASX:AM5"", ""closeyest"")"),0.01)</f>
        <v>0.01</v>
      </c>
      <c r="F163" s="5" t="str">
        <f>IFERROR(__xludf.DUMMYFUNCTION("GOOGLEFINANCE(""ASX:AM5"", ""pe"")"),"#N/A")</f>
        <v>#N/A</v>
      </c>
      <c r="G163" s="9">
        <f>IFERROR(__xludf.DUMMYFUNCTION("GOOGLEFINANCE(""ASX:AM5"", ""high52"")"),0.02)</f>
        <v>0.02</v>
      </c>
      <c r="H163" s="9">
        <f>IFERROR(__xludf.DUMMYFUNCTION("GOOGLEFINANCE(""ASX:AM5"", ""low52"")"),0.01)</f>
        <v>0.01</v>
      </c>
      <c r="I163" s="9">
        <f>IFERROR(__xludf.DUMMYFUNCTION("GOOGLEFINANCE(""ASX:AM5"", ""marketcap"")"),5663382.0)</f>
        <v>5663382</v>
      </c>
      <c r="J163" s="5"/>
      <c r="K163" s="5"/>
      <c r="L163" s="5"/>
      <c r="M163" s="5"/>
      <c r="N163" s="11" t="s">
        <v>19</v>
      </c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6" t="s">
        <v>369</v>
      </c>
      <c r="B164" s="6" t="s">
        <v>370</v>
      </c>
      <c r="C164" s="5" t="s">
        <v>18</v>
      </c>
      <c r="D164" s="7">
        <f>IFERROR(__xludf.DUMMYFUNCTION("GOOGLEFINANCE(""ASX:AM7"", ""price"")"),0.03)</f>
        <v>0.03</v>
      </c>
      <c r="E164" s="8">
        <f>IFERROR(__xludf.DUMMYFUNCTION("GOOGLEFINANCE(""ASX:AM7"", ""closeyest"")"),0.04)</f>
        <v>0.04</v>
      </c>
      <c r="F164" s="5" t="str">
        <f>IFERROR(__xludf.DUMMYFUNCTION("GOOGLEFINANCE(""ASX:AM7"", ""pe"")"),"#N/A")</f>
        <v>#N/A</v>
      </c>
      <c r="G164" s="9">
        <f>IFERROR(__xludf.DUMMYFUNCTION("GOOGLEFINANCE(""ASX:AM7"", ""high52"")"),0.05)</f>
        <v>0.05</v>
      </c>
      <c r="H164" s="9">
        <f>IFERROR(__xludf.DUMMYFUNCTION("GOOGLEFINANCE(""ASX:AM7"", ""low52"")"),0.02)</f>
        <v>0.02</v>
      </c>
      <c r="I164" s="9">
        <f>IFERROR(__xludf.DUMMYFUNCTION("GOOGLEFINANCE(""ASX:AM7"", ""marketcap"")"),3486284.0)</f>
        <v>3486284</v>
      </c>
      <c r="J164" s="5"/>
      <c r="K164" s="5"/>
      <c r="L164" s="5"/>
      <c r="M164" s="5"/>
      <c r="N164" s="11" t="s">
        <v>19</v>
      </c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6" t="s">
        <v>371</v>
      </c>
      <c r="B165" s="6" t="s">
        <v>372</v>
      </c>
      <c r="C165" s="5" t="s">
        <v>246</v>
      </c>
      <c r="D165" s="7">
        <f>IFERROR(__xludf.DUMMYFUNCTION("GOOGLEFINANCE(""ASX:AMA"", ""price"")"),0.77)</f>
        <v>0.77</v>
      </c>
      <c r="E165" s="8">
        <f>IFERROR(__xludf.DUMMYFUNCTION("GOOGLEFINANCE(""ASX:AMA"", ""closeyest"")"),0.77)</f>
        <v>0.77</v>
      </c>
      <c r="F165" s="5" t="str">
        <f>IFERROR(__xludf.DUMMYFUNCTION("GOOGLEFINANCE(""ASX:AMA"", ""pe"")"),"#N/A")</f>
        <v>#N/A</v>
      </c>
      <c r="G165" s="9">
        <f>IFERROR(__xludf.DUMMYFUNCTION("GOOGLEFINANCE(""ASX:AMA"", ""high52"")"),1.1)</f>
        <v>1.1</v>
      </c>
      <c r="H165" s="9">
        <f>IFERROR(__xludf.DUMMYFUNCTION("GOOGLEFINANCE(""ASX:AMA"", ""low52"")"),0.42)</f>
        <v>0.42</v>
      </c>
      <c r="I165" s="9">
        <f>IFERROR(__xludf.DUMMYFUNCTION("GOOGLEFINANCE(""ASX:AMA"", ""marketcap"")"),3.68501816E8)</f>
        <v>368501816</v>
      </c>
      <c r="J165" s="5"/>
      <c r="K165" s="5"/>
      <c r="L165" s="5"/>
      <c r="M165" s="5"/>
      <c r="N165" s="11" t="s">
        <v>19</v>
      </c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6" t="s">
        <v>373</v>
      </c>
      <c r="B166" s="6" t="s">
        <v>374</v>
      </c>
      <c r="C166" s="5" t="s">
        <v>375</v>
      </c>
      <c r="D166" s="7">
        <f>IFERROR(__xludf.DUMMYFUNCTION("GOOGLEFINANCE(""ASX:AMC"", ""price"")"),12.66)</f>
        <v>12.66</v>
      </c>
      <c r="E166" s="8">
        <f>IFERROR(__xludf.DUMMYFUNCTION("GOOGLEFINANCE(""ASX:AMC"", ""closeyest"")"),12.48)</f>
        <v>12.48</v>
      </c>
      <c r="F166" s="5" t="str">
        <f>IFERROR(__xludf.DUMMYFUNCTION("GOOGLEFINANCE(""ASX:AMC"", ""pe"")"),"#N/A")</f>
        <v>#N/A</v>
      </c>
      <c r="G166" s="9">
        <f>IFERROR(__xludf.DUMMYFUNCTION("GOOGLEFINANCE(""ASX:AMC"", ""high52"")"),16.43)</f>
        <v>16.43</v>
      </c>
      <c r="H166" s="9">
        <f>IFERROR(__xludf.DUMMYFUNCTION("GOOGLEFINANCE(""ASX:AMC"", ""low52"")"),11.97)</f>
        <v>11.97</v>
      </c>
      <c r="I166" s="9">
        <f>IFERROR(__xludf.DUMMYFUNCTION("GOOGLEFINANCE(""ASX:AMC"", ""marketcap"")"),1.4615931843E10)</f>
        <v>14615931843</v>
      </c>
      <c r="J166" s="5"/>
      <c r="K166" s="5"/>
      <c r="L166" s="5"/>
      <c r="M166" s="5"/>
      <c r="N166" s="11" t="s">
        <v>19</v>
      </c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6" t="s">
        <v>376</v>
      </c>
      <c r="B167" s="6" t="s">
        <v>377</v>
      </c>
      <c r="C167" s="5" t="s">
        <v>212</v>
      </c>
      <c r="D167" s="7">
        <f>IFERROR(__xludf.DUMMYFUNCTION("GOOGLEFINANCE(""ASX:AMD"", ""price"")"),0.02)</f>
        <v>0.02</v>
      </c>
      <c r="E167" s="8">
        <f>IFERROR(__xludf.DUMMYFUNCTION("GOOGLEFINANCE(""ASX:AMD"", ""closeyest"")"),0.02)</f>
        <v>0.02</v>
      </c>
      <c r="F167" s="5" t="str">
        <f>IFERROR(__xludf.DUMMYFUNCTION("GOOGLEFINANCE(""ASX:AMD"", ""pe"")"),"#N/A")</f>
        <v>#N/A</v>
      </c>
      <c r="G167" s="9">
        <f>IFERROR(__xludf.DUMMYFUNCTION("GOOGLEFINANCE(""ASX:AMD"", ""high52"")"),0.06)</f>
        <v>0.06</v>
      </c>
      <c r="H167" s="9">
        <f>IFERROR(__xludf.DUMMYFUNCTION("GOOGLEFINANCE(""ASX:AMD"", ""low52"")"),0.02)</f>
        <v>0.02</v>
      </c>
      <c r="I167" s="9">
        <f>IFERROR(__xludf.DUMMYFUNCTION("GOOGLEFINANCE(""ASX:AMD"", ""marketcap"")"),1.755533E7)</f>
        <v>17555330</v>
      </c>
      <c r="J167" s="5"/>
      <c r="K167" s="5"/>
      <c r="L167" s="5"/>
      <c r="M167" s="5"/>
      <c r="N167" s="11" t="s">
        <v>19</v>
      </c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6" t="s">
        <v>376</v>
      </c>
      <c r="B168" s="6" t="s">
        <v>377</v>
      </c>
      <c r="C168" s="5" t="s">
        <v>212</v>
      </c>
      <c r="D168" s="7">
        <f>IFERROR(__xludf.DUMMYFUNCTION("GOOGLEFINANCE(""ASX:AMD"", ""price"")"),0.02)</f>
        <v>0.02</v>
      </c>
      <c r="E168" s="8">
        <f>IFERROR(__xludf.DUMMYFUNCTION("GOOGLEFINANCE(""ASX:AMD"", ""closeyest"")"),0.02)</f>
        <v>0.02</v>
      </c>
      <c r="F168" s="5" t="str">
        <f>IFERROR(__xludf.DUMMYFUNCTION("GOOGLEFINANCE(""ASX:AMD"", ""pe"")"),"#N/A")</f>
        <v>#N/A</v>
      </c>
      <c r="G168" s="9">
        <f>IFERROR(__xludf.DUMMYFUNCTION("GOOGLEFINANCE(""ASX:AMD"", ""high52"")"),0.06)</f>
        <v>0.06</v>
      </c>
      <c r="H168" s="9">
        <f>IFERROR(__xludf.DUMMYFUNCTION("GOOGLEFINANCE(""ASX:AMD"", ""low52"")"),0.02)</f>
        <v>0.02</v>
      </c>
      <c r="I168" s="9">
        <f>IFERROR(__xludf.DUMMYFUNCTION("GOOGLEFINANCE(""ASX:AMD"", ""marketcap"")"),1.755533E7)</f>
        <v>17555330</v>
      </c>
      <c r="J168" s="5"/>
      <c r="K168" s="5"/>
      <c r="L168" s="5"/>
      <c r="M168" s="5"/>
      <c r="N168" s="11" t="s">
        <v>19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6" t="s">
        <v>378</v>
      </c>
      <c r="B169" s="6" t="s">
        <v>379</v>
      </c>
      <c r="C169" s="5" t="s">
        <v>171</v>
      </c>
      <c r="D169" s="7">
        <f>IFERROR(__xludf.DUMMYFUNCTION("GOOGLEFINANCE(""ASX:AMH"", ""price"")"),1.0)</f>
        <v>1</v>
      </c>
      <c r="E169" s="8">
        <f>IFERROR(__xludf.DUMMYFUNCTION("GOOGLEFINANCE(""ASX:AMH"", ""closeyest"")"),1.0)</f>
        <v>1</v>
      </c>
      <c r="F169" s="9">
        <f>IFERROR(__xludf.DUMMYFUNCTION("GOOGLEFINANCE(""ASX:AMH"", ""pe"")"),47.39)</f>
        <v>47.39</v>
      </c>
      <c r="G169" s="9">
        <f>IFERROR(__xludf.DUMMYFUNCTION("GOOGLEFINANCE(""ASX:AMH"", ""high52"")"),1.19)</f>
        <v>1.19</v>
      </c>
      <c r="H169" s="9">
        <f>IFERROR(__xludf.DUMMYFUNCTION("GOOGLEFINANCE(""ASX:AMH"", ""low52"")"),0.97)</f>
        <v>0.97</v>
      </c>
      <c r="I169" s="9">
        <f>IFERROR(__xludf.DUMMYFUNCTION("GOOGLEFINANCE(""ASX:AMH"", ""marketcap"")"),3.141333E8)</f>
        <v>314133300</v>
      </c>
      <c r="J169" s="5"/>
      <c r="K169" s="5"/>
      <c r="L169" s="5"/>
      <c r="M169" s="5"/>
      <c r="N169" s="10">
        <v>47.87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6" t="s">
        <v>380</v>
      </c>
      <c r="B170" s="6" t="s">
        <v>381</v>
      </c>
      <c r="C170" s="5" t="s">
        <v>18</v>
      </c>
      <c r="D170" s="7">
        <f>IFERROR(__xludf.DUMMYFUNCTION("GOOGLEFINANCE(""ASX:AMI"", ""price"")"),0.27)</f>
        <v>0.27</v>
      </c>
      <c r="E170" s="8">
        <f>IFERROR(__xludf.DUMMYFUNCTION("GOOGLEFINANCE(""ASX:AMI"", ""closeyest"")"),0.28)</f>
        <v>0.28</v>
      </c>
      <c r="F170" s="9">
        <f>IFERROR(__xludf.DUMMYFUNCTION("GOOGLEFINANCE(""ASX:AMI"", ""pe"")"),9.34)</f>
        <v>9.34</v>
      </c>
      <c r="G170" s="9">
        <f>IFERROR(__xludf.DUMMYFUNCTION("GOOGLEFINANCE(""ASX:AMI"", ""high52"")"),0.35)</f>
        <v>0.35</v>
      </c>
      <c r="H170" s="9">
        <f>IFERROR(__xludf.DUMMYFUNCTION("GOOGLEFINANCE(""ASX:AMI"", ""low52"")"),0.17)</f>
        <v>0.17</v>
      </c>
      <c r="I170" s="9">
        <f>IFERROR(__xludf.DUMMYFUNCTION("GOOGLEFINANCE(""ASX:AMI"", ""marketcap"")"),4.48206227E8)</f>
        <v>448206227</v>
      </c>
      <c r="J170" s="5"/>
      <c r="K170" s="5"/>
      <c r="L170" s="5"/>
      <c r="M170" s="5"/>
      <c r="N170" s="10">
        <v>8.82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6" t="s">
        <v>382</v>
      </c>
      <c r="B171" s="6" t="s">
        <v>383</v>
      </c>
      <c r="C171" s="5" t="s">
        <v>267</v>
      </c>
      <c r="D171" s="7">
        <f>IFERROR(__xludf.DUMMYFUNCTION("GOOGLEFINANCE(""ASX:AMN"", ""price"")"),0.07)</f>
        <v>0.07</v>
      </c>
      <c r="E171" s="8">
        <f>IFERROR(__xludf.DUMMYFUNCTION("GOOGLEFINANCE(""ASX:AMN"", ""closeyest"")"),0.07)</f>
        <v>0.07</v>
      </c>
      <c r="F171" s="5" t="str">
        <f>IFERROR(__xludf.DUMMYFUNCTION("GOOGLEFINANCE(""ASX:AMN"", ""pe"")"),"#N/A")</f>
        <v>#N/A</v>
      </c>
      <c r="G171" s="9">
        <f>IFERROR(__xludf.DUMMYFUNCTION("GOOGLEFINANCE(""ASX:AMN"", ""high52"")"),0.17)</f>
        <v>0.17</v>
      </c>
      <c r="H171" s="9">
        <f>IFERROR(__xludf.DUMMYFUNCTION("GOOGLEFINANCE(""ASX:AMN"", ""low52"")"),0.05)</f>
        <v>0.05</v>
      </c>
      <c r="I171" s="9">
        <f>IFERROR(__xludf.DUMMYFUNCTION("GOOGLEFINANCE(""ASX:AMN"", ""marketcap"")"),2.4316538E7)</f>
        <v>24316538</v>
      </c>
      <c r="J171" s="5"/>
      <c r="K171" s="5"/>
      <c r="L171" s="5"/>
      <c r="M171" s="5"/>
      <c r="N171" s="11" t="s">
        <v>19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6" t="s">
        <v>384</v>
      </c>
      <c r="B172" s="6" t="s">
        <v>385</v>
      </c>
      <c r="C172" s="5" t="s">
        <v>386</v>
      </c>
      <c r="D172" s="7">
        <f>IFERROR(__xludf.DUMMYFUNCTION("GOOGLEFINANCE(""ASX:AMO"", ""price"")"),0.14)</f>
        <v>0.14</v>
      </c>
      <c r="E172" s="8">
        <f>IFERROR(__xludf.DUMMYFUNCTION("GOOGLEFINANCE(""ASX:AMO"", ""closeyest"")"),0.14)</f>
        <v>0.14</v>
      </c>
      <c r="F172" s="9">
        <f>IFERROR(__xludf.DUMMYFUNCTION("GOOGLEFINANCE(""ASX:AMO"", ""pe"")"),15.82)</f>
        <v>15.82</v>
      </c>
      <c r="G172" s="9">
        <f>IFERROR(__xludf.DUMMYFUNCTION("GOOGLEFINANCE(""ASX:AMO"", ""high52"")"),0.22)</f>
        <v>0.22</v>
      </c>
      <c r="H172" s="9">
        <f>IFERROR(__xludf.DUMMYFUNCTION("GOOGLEFINANCE(""ASX:AMO"", ""low52"")"),0.13)</f>
        <v>0.13</v>
      </c>
      <c r="I172" s="9">
        <f>IFERROR(__xludf.DUMMYFUNCTION("GOOGLEFINANCE(""ASX:AMO"", ""marketcap"")"),1.3356672E7)</f>
        <v>13356672</v>
      </c>
      <c r="J172" s="5"/>
      <c r="K172" s="5"/>
      <c r="L172" s="5"/>
      <c r="M172" s="5"/>
      <c r="N172" s="10">
        <v>16.95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6" t="s">
        <v>387</v>
      </c>
      <c r="B173" s="6" t="s">
        <v>388</v>
      </c>
      <c r="C173" s="5" t="s">
        <v>389</v>
      </c>
      <c r="D173" s="7">
        <f>IFERROR(__xludf.DUMMYFUNCTION("GOOGLEFINANCE(""ASX:AMP"", ""price"")"),1.81)</f>
        <v>1.81</v>
      </c>
      <c r="E173" s="8">
        <f>IFERROR(__xludf.DUMMYFUNCTION("GOOGLEFINANCE(""ASX:AMP"", ""closeyest"")"),1.79)</f>
        <v>1.79</v>
      </c>
      <c r="F173" s="9">
        <f>IFERROR(__xludf.DUMMYFUNCTION("GOOGLEFINANCE(""ASX:AMP"", ""pe"")"),32.4)</f>
        <v>32.4</v>
      </c>
      <c r="G173" s="9">
        <f>IFERROR(__xludf.DUMMYFUNCTION("GOOGLEFINANCE(""ASX:AMP"", ""high52"")"),2.01)</f>
        <v>2.01</v>
      </c>
      <c r="H173" s="9">
        <f>IFERROR(__xludf.DUMMYFUNCTION("GOOGLEFINANCE(""ASX:AMP"", ""low52"")"),1.04)</f>
        <v>1.04</v>
      </c>
      <c r="I173" s="9">
        <f>IFERROR(__xludf.DUMMYFUNCTION("GOOGLEFINANCE(""ASX:AMP"", ""marketcap"")"),4.582447445E9)</f>
        <v>4582447445</v>
      </c>
      <c r="J173" s="5"/>
      <c r="K173" s="5"/>
      <c r="L173" s="5"/>
      <c r="M173" s="5"/>
      <c r="N173" s="10">
        <v>32.75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6" t="s">
        <v>390</v>
      </c>
      <c r="B174" s="6" t="s">
        <v>391</v>
      </c>
      <c r="C174" s="5" t="s">
        <v>386</v>
      </c>
      <c r="D174" s="7">
        <f>IFERROR(__xludf.DUMMYFUNCTION("GOOGLEFINANCE(""ASX:AMS"", ""price"")"),0.03)</f>
        <v>0.03</v>
      </c>
      <c r="E174" s="8">
        <f>IFERROR(__xludf.DUMMYFUNCTION("GOOGLEFINANCE(""ASX:AMS"", ""closeyest"")"),0.03)</f>
        <v>0.03</v>
      </c>
      <c r="F174" s="5" t="str">
        <f>IFERROR(__xludf.DUMMYFUNCTION("GOOGLEFINANCE(""ASX:AMS"", ""pe"")"),"#N/A")</f>
        <v>#N/A</v>
      </c>
      <c r="G174" s="9">
        <f>IFERROR(__xludf.DUMMYFUNCTION("GOOGLEFINANCE(""ASX:AMS"", ""high52"")"),0.04)</f>
        <v>0.04</v>
      </c>
      <c r="H174" s="9">
        <f>IFERROR(__xludf.DUMMYFUNCTION("GOOGLEFINANCE(""ASX:AMS"", ""low52"")"),0.0)</f>
        <v>0</v>
      </c>
      <c r="I174" s="9">
        <f>IFERROR(__xludf.DUMMYFUNCTION("GOOGLEFINANCE(""ASX:AMS"", ""marketcap"")"),4.013478E7)</f>
        <v>40134780</v>
      </c>
      <c r="J174" s="5"/>
      <c r="K174" s="5"/>
      <c r="L174" s="5"/>
      <c r="M174" s="5"/>
      <c r="N174" s="11" t="s">
        <v>19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6" t="s">
        <v>392</v>
      </c>
      <c r="B175" s="6" t="s">
        <v>393</v>
      </c>
      <c r="C175" s="5" t="s">
        <v>18</v>
      </c>
      <c r="D175" s="7">
        <f>IFERROR(__xludf.DUMMYFUNCTION("GOOGLEFINANCE(""ASX:AMU"", ""price"")"),0.15)</f>
        <v>0.15</v>
      </c>
      <c r="E175" s="8">
        <f>IFERROR(__xludf.DUMMYFUNCTION("GOOGLEFINANCE(""ASX:AMU"", ""closeyest"")"),0.16)</f>
        <v>0.16</v>
      </c>
      <c r="F175" s="5" t="str">
        <f>IFERROR(__xludf.DUMMYFUNCTION("GOOGLEFINANCE(""ASX:AMU"", ""pe"")"),"#N/A")</f>
        <v>#N/A</v>
      </c>
      <c r="G175" s="9">
        <f>IFERROR(__xludf.DUMMYFUNCTION("GOOGLEFINANCE(""ASX:AMU"", ""high52"")"),0.3)</f>
        <v>0.3</v>
      </c>
      <c r="H175" s="9">
        <f>IFERROR(__xludf.DUMMYFUNCTION("GOOGLEFINANCE(""ASX:AMU"", ""low52"")"),0.13)</f>
        <v>0.13</v>
      </c>
      <c r="I175" s="9">
        <f>IFERROR(__xludf.DUMMYFUNCTION("GOOGLEFINANCE(""ASX:AMU"", ""marketcap"")"),1.606758E7)</f>
        <v>16067580</v>
      </c>
      <c r="J175" s="5"/>
      <c r="K175" s="5"/>
      <c r="L175" s="5"/>
      <c r="M175" s="5"/>
      <c r="N175" s="11" t="s">
        <v>19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6" t="s">
        <v>394</v>
      </c>
      <c r="B176" s="6" t="s">
        <v>395</v>
      </c>
      <c r="C176" s="5" t="s">
        <v>396</v>
      </c>
      <c r="D176" s="7">
        <f>IFERROR(__xludf.DUMMYFUNCTION("GOOGLEFINANCE(""ASX:AMX"", ""price"")"),0.27)</f>
        <v>0.27</v>
      </c>
      <c r="E176" s="8">
        <f>IFERROR(__xludf.DUMMYFUNCTION("GOOGLEFINANCE(""ASX:AMX"", ""closeyest"")"),0.27)</f>
        <v>0.27</v>
      </c>
      <c r="F176" s="5" t="str">
        <f>IFERROR(__xludf.DUMMYFUNCTION("GOOGLEFINANCE(""ASX:AMX"", ""pe"")"),"#N/A")</f>
        <v>#N/A</v>
      </c>
      <c r="G176" s="9">
        <f>IFERROR(__xludf.DUMMYFUNCTION("GOOGLEFINANCE(""ASX:AMX"", ""high52"")"),0.32)</f>
        <v>0.32</v>
      </c>
      <c r="H176" s="9">
        <f>IFERROR(__xludf.DUMMYFUNCTION("GOOGLEFINANCE(""ASX:AMX"", ""low52"")"),0.17)</f>
        <v>0.17</v>
      </c>
      <c r="I176" s="9">
        <f>IFERROR(__xludf.DUMMYFUNCTION("GOOGLEFINANCE(""ASX:AMX"", ""marketcap"")"),2.6105461E7)</f>
        <v>26105461</v>
      </c>
      <c r="J176" s="5"/>
      <c r="K176" s="5"/>
      <c r="L176" s="5"/>
      <c r="M176" s="5"/>
      <c r="N176" s="11" t="s">
        <v>19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6" t="s">
        <v>397</v>
      </c>
      <c r="B177" s="6" t="s">
        <v>398</v>
      </c>
      <c r="C177" s="5" t="s">
        <v>399</v>
      </c>
      <c r="D177" s="7">
        <f>IFERROR(__xludf.DUMMYFUNCTION("GOOGLEFINANCE(""ASX:AN1"", ""price"")"),0.01)</f>
        <v>0.01</v>
      </c>
      <c r="E177" s="8">
        <f>IFERROR(__xludf.DUMMYFUNCTION("GOOGLEFINANCE(""ASX:AN1"", ""closeyest"")"),0.01)</f>
        <v>0.01</v>
      </c>
      <c r="F177" s="5" t="str">
        <f>IFERROR(__xludf.DUMMYFUNCTION("GOOGLEFINANCE(""ASX:AN1"", ""pe"")"),"#N/A")</f>
        <v>#N/A</v>
      </c>
      <c r="G177" s="9">
        <f>IFERROR(__xludf.DUMMYFUNCTION("GOOGLEFINANCE(""ASX:AN1"", ""high52"")"),0.01)</f>
        <v>0.01</v>
      </c>
      <c r="H177" s="9">
        <f>IFERROR(__xludf.DUMMYFUNCTION("GOOGLEFINANCE(""ASX:AN1"", ""low52"")"),0.0)</f>
        <v>0</v>
      </c>
      <c r="I177" s="9">
        <f>IFERROR(__xludf.DUMMYFUNCTION("GOOGLEFINANCE(""ASX:AN1"", ""marketcap"")"),2853840.0)</f>
        <v>2853840</v>
      </c>
      <c r="J177" s="5"/>
      <c r="K177" s="5"/>
      <c r="L177" s="5"/>
      <c r="M177" s="5"/>
      <c r="N177" s="11" t="s">
        <v>19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6" t="s">
        <v>400</v>
      </c>
      <c r="B178" s="6" t="s">
        <v>401</v>
      </c>
      <c r="C178" s="5" t="s">
        <v>402</v>
      </c>
      <c r="D178" s="7">
        <f>IFERROR(__xludf.DUMMYFUNCTION("GOOGLEFINANCE(""ASX:ANG"", ""price"")"),0.25)</f>
        <v>0.25</v>
      </c>
      <c r="E178" s="8">
        <f>IFERROR(__xludf.DUMMYFUNCTION("GOOGLEFINANCE(""ASX:ANG"", ""closeyest"")"),0.25)</f>
        <v>0.25</v>
      </c>
      <c r="F178" s="9">
        <f>IFERROR(__xludf.DUMMYFUNCTION("GOOGLEFINANCE(""ASX:ANG"", ""pe"")"),5.95)</f>
        <v>5.95</v>
      </c>
      <c r="G178" s="9">
        <f>IFERROR(__xludf.DUMMYFUNCTION("GOOGLEFINANCE(""ASX:ANG"", ""high52"")"),0.56)</f>
        <v>0.56</v>
      </c>
      <c r="H178" s="9">
        <f>IFERROR(__xludf.DUMMYFUNCTION("GOOGLEFINANCE(""ASX:ANG"", ""low52"")"),0.19)</f>
        <v>0.19</v>
      </c>
      <c r="I178" s="9">
        <f>IFERROR(__xludf.DUMMYFUNCTION("GOOGLEFINANCE(""ASX:ANG"", ""marketcap"")"),1.525985E8)</f>
        <v>152598500</v>
      </c>
      <c r="J178" s="5"/>
      <c r="K178" s="5"/>
      <c r="L178" s="5"/>
      <c r="M178" s="5"/>
      <c r="N178" s="10">
        <v>6.42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6" t="s">
        <v>403</v>
      </c>
      <c r="B179" s="6" t="s">
        <v>404</v>
      </c>
      <c r="C179" s="5" t="s">
        <v>276</v>
      </c>
      <c r="D179" s="7">
        <f>IFERROR(__xludf.DUMMYFUNCTION("GOOGLEFINANCE(""ASX:ANN"", ""price"")"),35.58)</f>
        <v>35.58</v>
      </c>
      <c r="E179" s="8">
        <f>IFERROR(__xludf.DUMMYFUNCTION("GOOGLEFINANCE(""ASX:ANN"", ""closeyest"")"),35.24)</f>
        <v>35.24</v>
      </c>
      <c r="F179" s="9">
        <f>IFERROR(__xludf.DUMMYFUNCTION("GOOGLEFINANCE(""ASX:ANN"", ""pe"")"),34.24)</f>
        <v>34.24</v>
      </c>
      <c r="G179" s="9">
        <f>IFERROR(__xludf.DUMMYFUNCTION("GOOGLEFINANCE(""ASX:ANN"", ""high52"")"),37.85)</f>
        <v>37.85</v>
      </c>
      <c r="H179" s="9">
        <f>IFERROR(__xludf.DUMMYFUNCTION("GOOGLEFINANCE(""ASX:ANN"", ""low52"")"),28.19)</f>
        <v>28.19</v>
      </c>
      <c r="I179" s="9">
        <f>IFERROR(__xludf.DUMMYFUNCTION("GOOGLEFINANCE(""ASX:ANN"", ""marketcap"")"),5.117517917E9)</f>
        <v>5117517917</v>
      </c>
      <c r="J179" s="5"/>
      <c r="K179" s="5"/>
      <c r="L179" s="5"/>
      <c r="M179" s="5"/>
      <c r="N179" s="10">
        <v>33.88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6" t="s">
        <v>405</v>
      </c>
      <c r="B180" s="6" t="s">
        <v>406</v>
      </c>
      <c r="C180" s="5" t="s">
        <v>228</v>
      </c>
      <c r="D180" s="7">
        <f>IFERROR(__xludf.DUMMYFUNCTION("GOOGLEFINANCE(""ASX:ANO"", ""price"")"),0.94)</f>
        <v>0.94</v>
      </c>
      <c r="E180" s="8">
        <f>IFERROR(__xludf.DUMMYFUNCTION("GOOGLEFINANCE(""ASX:ANO"", ""closeyest"")"),0.95)</f>
        <v>0.95</v>
      </c>
      <c r="F180" s="9">
        <f>IFERROR(__xludf.DUMMYFUNCTION("GOOGLEFINANCE(""ASX:ANO"", ""pe"")"),47.45)</f>
        <v>47.45</v>
      </c>
      <c r="G180" s="9">
        <f>IFERROR(__xludf.DUMMYFUNCTION("GOOGLEFINANCE(""ASX:ANO"", ""high52"")"),1.25)</f>
        <v>1.25</v>
      </c>
      <c r="H180" s="9">
        <f>IFERROR(__xludf.DUMMYFUNCTION("GOOGLEFINANCE(""ASX:ANO"", ""low52"")"),0.72)</f>
        <v>0.72</v>
      </c>
      <c r="I180" s="9">
        <f>IFERROR(__xludf.DUMMYFUNCTION("GOOGLEFINANCE(""ASX:ANO"", ""marketcap"")"),5.8887333E7)</f>
        <v>58887333</v>
      </c>
      <c r="J180" s="5"/>
      <c r="K180" s="5"/>
      <c r="L180" s="5"/>
      <c r="M180" s="5"/>
      <c r="N180" s="10">
        <v>47.96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6" t="s">
        <v>407</v>
      </c>
      <c r="B181" s="6" t="s">
        <v>408</v>
      </c>
      <c r="C181" s="5" t="s">
        <v>174</v>
      </c>
      <c r="D181" s="7">
        <f>IFERROR(__xludf.DUMMYFUNCTION("GOOGLEFINANCE(""ASX:ANR"", ""price"")"),0.01)</f>
        <v>0.01</v>
      </c>
      <c r="E181" s="8">
        <f>IFERROR(__xludf.DUMMYFUNCTION("GOOGLEFINANCE(""ASX:ANR"", ""closeyest"")"),0.01)</f>
        <v>0.01</v>
      </c>
      <c r="F181" s="5" t="str">
        <f>IFERROR(__xludf.DUMMYFUNCTION("GOOGLEFINANCE(""ASX:ANR"", ""pe"")"),"#N/A")</f>
        <v>#N/A</v>
      </c>
      <c r="G181" s="9">
        <f>IFERROR(__xludf.DUMMYFUNCTION("GOOGLEFINANCE(""ASX:ANR"", ""high52"")"),0.06)</f>
        <v>0.06</v>
      </c>
      <c r="H181" s="9">
        <f>IFERROR(__xludf.DUMMYFUNCTION("GOOGLEFINANCE(""ASX:ANR"", ""low52"")"),0.0)</f>
        <v>0</v>
      </c>
      <c r="I181" s="9">
        <f>IFERROR(__xludf.DUMMYFUNCTION("GOOGLEFINANCE(""ASX:ANR"", ""marketcap"")"),4390260.0)</f>
        <v>4390260</v>
      </c>
      <c r="J181" s="5"/>
      <c r="K181" s="5"/>
      <c r="L181" s="5"/>
      <c r="M181" s="5"/>
      <c r="N181" s="11" t="s">
        <v>19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6" t="s">
        <v>409</v>
      </c>
      <c r="B182" s="6" t="s">
        <v>410</v>
      </c>
      <c r="C182" s="5" t="s">
        <v>18</v>
      </c>
      <c r="D182" s="7">
        <f>IFERROR(__xludf.DUMMYFUNCTION("GOOGLEFINANCE(""ASX:ANX"", ""price"")"),0.02)</f>
        <v>0.02</v>
      </c>
      <c r="E182" s="8">
        <f>IFERROR(__xludf.DUMMYFUNCTION("GOOGLEFINANCE(""ASX:ANX"", ""closeyest"")"),0.02)</f>
        <v>0.02</v>
      </c>
      <c r="F182" s="5" t="str">
        <f>IFERROR(__xludf.DUMMYFUNCTION("GOOGLEFINANCE(""ASX:ANX"", ""pe"")"),"#N/A")</f>
        <v>#N/A</v>
      </c>
      <c r="G182" s="9">
        <f>IFERROR(__xludf.DUMMYFUNCTION("GOOGLEFINANCE(""ASX:ANX"", ""high52"")"),0.02)</f>
        <v>0.02</v>
      </c>
      <c r="H182" s="9">
        <f>IFERROR(__xludf.DUMMYFUNCTION("GOOGLEFINANCE(""ASX:ANX"", ""low52"")"),0.0)</f>
        <v>0</v>
      </c>
      <c r="I182" s="9">
        <f>IFERROR(__xludf.DUMMYFUNCTION("GOOGLEFINANCE(""ASX:ANX"", ""marketcap"")"),1.7854532E7)</f>
        <v>17854532</v>
      </c>
      <c r="J182" s="5"/>
      <c r="K182" s="5"/>
      <c r="L182" s="5"/>
      <c r="M182" s="5"/>
      <c r="N182" s="11" t="s">
        <v>19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6" t="s">
        <v>411</v>
      </c>
      <c r="B183" s="6" t="s">
        <v>412</v>
      </c>
      <c r="C183" s="5" t="s">
        <v>413</v>
      </c>
      <c r="D183" s="7">
        <f>IFERROR(__xludf.DUMMYFUNCTION("GOOGLEFINANCE(""ASX:ANZ"", ""price"")"),35.43)</f>
        <v>35.43</v>
      </c>
      <c r="E183" s="8">
        <f>IFERROR(__xludf.DUMMYFUNCTION("GOOGLEFINANCE(""ASX:ANZ"", ""closeyest"")"),35.97)</f>
        <v>35.97</v>
      </c>
      <c r="F183" s="9">
        <f>IFERROR(__xludf.DUMMYFUNCTION("GOOGLEFINANCE(""ASX:ANZ"", ""pe"")"),18.03)</f>
        <v>18.03</v>
      </c>
      <c r="G183" s="9">
        <f>IFERROR(__xludf.DUMMYFUNCTION("GOOGLEFINANCE(""ASX:ANZ"", ""high52"")"),38.93)</f>
        <v>38.93</v>
      </c>
      <c r="H183" s="9">
        <f>IFERROR(__xludf.DUMMYFUNCTION("GOOGLEFINANCE(""ASX:ANZ"", ""low52"")"),26.22)</f>
        <v>26.22</v>
      </c>
      <c r="I183" s="9">
        <f>IFERROR(__xludf.DUMMYFUNCTION("GOOGLEFINANCE(""ASX:ANZ"", ""marketcap"")"),1.06793106919E11)</f>
        <v>106793106919</v>
      </c>
      <c r="J183" s="5"/>
      <c r="K183" s="5"/>
      <c r="L183" s="5"/>
      <c r="M183" s="5"/>
      <c r="N183" s="10">
        <v>18.54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6" t="s">
        <v>414</v>
      </c>
      <c r="B184" s="6" t="s">
        <v>415</v>
      </c>
      <c r="C184" s="5" t="s">
        <v>18</v>
      </c>
      <c r="D184" s="7">
        <f>IFERROR(__xludf.DUMMYFUNCTION("GOOGLEFINANCE(""ASX:AOA"", ""price"")"),0.0)</f>
        <v>0</v>
      </c>
      <c r="E184" s="8">
        <f>IFERROR(__xludf.DUMMYFUNCTION("GOOGLEFINANCE(""ASX:AOA"", ""closeyest"")"),0.0)</f>
        <v>0</v>
      </c>
      <c r="F184" s="5" t="str">
        <f>IFERROR(__xludf.DUMMYFUNCTION("GOOGLEFINANCE(""ASX:AOA"", ""pe"")"),"#N/A")</f>
        <v>#N/A</v>
      </c>
      <c r="G184" s="9">
        <f>IFERROR(__xludf.DUMMYFUNCTION("GOOGLEFINANCE(""ASX:AOA"", ""high52"")"),0.01)</f>
        <v>0.01</v>
      </c>
      <c r="H184" s="9">
        <f>IFERROR(__xludf.DUMMYFUNCTION("GOOGLEFINANCE(""ASX:AOA"", ""low52"")"),0.0)</f>
        <v>0</v>
      </c>
      <c r="I184" s="9">
        <f>IFERROR(__xludf.DUMMYFUNCTION("GOOGLEFINANCE(""ASX:AOA"", ""marketcap"")"),1966821.0)</f>
        <v>1966821</v>
      </c>
      <c r="J184" s="12">
        <v>0.003</v>
      </c>
      <c r="K184" s="12">
        <v>0.003</v>
      </c>
      <c r="L184" s="12">
        <v>0.009</v>
      </c>
      <c r="M184" s="12">
        <v>0.001</v>
      </c>
      <c r="N184" s="11" t="s">
        <v>19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6" t="s">
        <v>416</v>
      </c>
      <c r="B185" s="6" t="s">
        <v>417</v>
      </c>
      <c r="C185" s="5" t="s">
        <v>418</v>
      </c>
      <c r="D185" s="7">
        <f>IFERROR(__xludf.DUMMYFUNCTION("GOOGLEFINANCE(""ASX:AOF"", ""price"")"),0.38)</f>
        <v>0.38</v>
      </c>
      <c r="E185" s="8">
        <f>IFERROR(__xludf.DUMMYFUNCTION("GOOGLEFINANCE(""ASX:AOF"", ""closeyest"")"),0.38)</f>
        <v>0.38</v>
      </c>
      <c r="F185" s="5" t="str">
        <f>IFERROR(__xludf.DUMMYFUNCTION("GOOGLEFINANCE(""ASX:AOF"", ""pe"")"),"#N/A")</f>
        <v>#N/A</v>
      </c>
      <c r="G185" s="9">
        <f>IFERROR(__xludf.DUMMYFUNCTION("GOOGLEFINANCE(""ASX:AOF"", ""high52"")"),1.12)</f>
        <v>1.12</v>
      </c>
      <c r="H185" s="9">
        <f>IFERROR(__xludf.DUMMYFUNCTION("GOOGLEFINANCE(""ASX:AOF"", ""low52"")"),0.35)</f>
        <v>0.35</v>
      </c>
      <c r="I185" s="9">
        <f>IFERROR(__xludf.DUMMYFUNCTION("GOOGLEFINANCE(""ASX:AOF"", ""marketcap"")"),6.0832687E7)</f>
        <v>60832687</v>
      </c>
      <c r="J185" s="5"/>
      <c r="K185" s="5"/>
      <c r="L185" s="5"/>
      <c r="M185" s="5"/>
      <c r="N185" s="11" t="s">
        <v>19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6" t="s">
        <v>419</v>
      </c>
      <c r="B186" s="6" t="s">
        <v>420</v>
      </c>
      <c r="C186" s="5" t="s">
        <v>171</v>
      </c>
      <c r="D186" s="7">
        <f>IFERROR(__xludf.DUMMYFUNCTION("GOOGLEFINANCE(""ASX:AOH"", ""price"")"),0.0)</f>
        <v>0</v>
      </c>
      <c r="E186" s="8" t="str">
        <f>IFERROR(__xludf.DUMMYFUNCTION("GOOGLEFINANCE(""ASX:AOH"", ""closeyest"")"),"#N/A")</f>
        <v>#N/A</v>
      </c>
      <c r="F186" s="5" t="str">
        <f>IFERROR(__xludf.DUMMYFUNCTION("GOOGLEFINANCE(""ASX:AOH"", ""pe"")"),"#N/A")</f>
        <v>#N/A</v>
      </c>
      <c r="G186" s="9">
        <f>IFERROR(__xludf.DUMMYFUNCTION("GOOGLEFINANCE(""ASX:AOH"", ""high52"")"),0.16)</f>
        <v>0.16</v>
      </c>
      <c r="H186" s="9">
        <f>IFERROR(__xludf.DUMMYFUNCTION("GOOGLEFINANCE(""ASX:AOH"", ""low52"")"),0.09)</f>
        <v>0.09</v>
      </c>
      <c r="I186" s="9" t="str">
        <f>IFERROR(__xludf.DUMMYFUNCTION("GOOGLEFINANCE(""ASX:AOH"", ""marketcap"")"),"#N/A")</f>
        <v>#N/A</v>
      </c>
      <c r="J186" s="16" t="s">
        <v>421</v>
      </c>
      <c r="K186" s="5"/>
      <c r="L186" s="5"/>
      <c r="M186" s="5"/>
      <c r="N186" s="11" t="s">
        <v>19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6" t="s">
        <v>422</v>
      </c>
      <c r="B187" s="6" t="s">
        <v>423</v>
      </c>
      <c r="C187" s="5" t="s">
        <v>78</v>
      </c>
      <c r="D187" s="7">
        <f>IFERROR(__xludf.DUMMYFUNCTION("GOOGLEFINANCE(""ASX:AOK"", ""price"")"),0.0)</f>
        <v>0</v>
      </c>
      <c r="E187" s="8">
        <f>IFERROR(__xludf.DUMMYFUNCTION("GOOGLEFINANCE(""ASX:AOK"", ""closeyest"")"),0.0)</f>
        <v>0</v>
      </c>
      <c r="F187" s="5" t="str">
        <f>IFERROR(__xludf.DUMMYFUNCTION("GOOGLEFINANCE(""ASX:AOK"", ""pe"")"),"#N/A")</f>
        <v>#N/A</v>
      </c>
      <c r="G187" s="9">
        <f>IFERROR(__xludf.DUMMYFUNCTION("GOOGLEFINANCE(""ASX:AOK"", ""high52"")"),0.0)</f>
        <v>0</v>
      </c>
      <c r="H187" s="9">
        <f>IFERROR(__xludf.DUMMYFUNCTION("GOOGLEFINANCE(""ASX:AOK"", ""low52"")"),0.0)</f>
        <v>0</v>
      </c>
      <c r="I187" s="9">
        <f>IFERROR(__xludf.DUMMYFUNCTION("GOOGLEFINANCE(""ASX:AOK"", ""marketcap"")"),958496.0)</f>
        <v>958496</v>
      </c>
      <c r="J187" s="12">
        <v>0.002</v>
      </c>
      <c r="K187" s="12">
        <v>0.0025</v>
      </c>
      <c r="L187" s="12">
        <v>0.003</v>
      </c>
      <c r="M187" s="12">
        <v>0.001</v>
      </c>
      <c r="N187" s="11" t="s">
        <v>19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6" t="s">
        <v>424</v>
      </c>
      <c r="B188" s="6" t="s">
        <v>425</v>
      </c>
      <c r="C188" s="5" t="s">
        <v>18</v>
      </c>
      <c r="D188" s="7">
        <f>IFERROR(__xludf.DUMMYFUNCTION("GOOGLEFINANCE(""ASX:AON"", ""price"")"),0.01)</f>
        <v>0.01</v>
      </c>
      <c r="E188" s="8">
        <f>IFERROR(__xludf.DUMMYFUNCTION("GOOGLEFINANCE(""ASX:AON"", ""closeyest"")"),0.01)</f>
        <v>0.01</v>
      </c>
      <c r="F188" s="5" t="str">
        <f>IFERROR(__xludf.DUMMYFUNCTION("GOOGLEFINANCE(""ASX:AON"", ""pe"")"),"#N/A")</f>
        <v>#N/A</v>
      </c>
      <c r="G188" s="9">
        <f>IFERROR(__xludf.DUMMYFUNCTION("GOOGLEFINANCE(""ASX:AON"", ""high52"")"),0.03)</f>
        <v>0.03</v>
      </c>
      <c r="H188" s="9">
        <f>IFERROR(__xludf.DUMMYFUNCTION("GOOGLEFINANCE(""ASX:AON"", ""low52"")"),0.0)</f>
        <v>0</v>
      </c>
      <c r="I188" s="9">
        <f>IFERROR(__xludf.DUMMYFUNCTION("GOOGLEFINANCE(""ASX:AON"", ""marketcap"")"),5942128.0)</f>
        <v>5942128</v>
      </c>
      <c r="J188" s="5"/>
      <c r="K188" s="5"/>
      <c r="L188" s="5"/>
      <c r="M188" s="5"/>
      <c r="N188" s="11" t="s">
        <v>19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6" t="s">
        <v>426</v>
      </c>
      <c r="B189" s="6" t="s">
        <v>427</v>
      </c>
      <c r="C189" s="5" t="s">
        <v>148</v>
      </c>
      <c r="D189" s="7">
        <f>IFERROR(__xludf.DUMMYFUNCTION("GOOGLEFINANCE(""ASX:AOV"", ""price"")"),8.86)</f>
        <v>8.86</v>
      </c>
      <c r="E189" s="8">
        <f>IFERROR(__xludf.DUMMYFUNCTION("GOOGLEFINANCE(""ASX:AOV"", ""closeyest"")"),8.7)</f>
        <v>8.7</v>
      </c>
      <c r="F189" s="5" t="str">
        <f>IFERROR(__xludf.DUMMYFUNCTION("GOOGLEFINANCE(""ASX:AOV"", ""pe"")"),"#N/A")</f>
        <v>#N/A</v>
      </c>
      <c r="G189" s="9">
        <f>IFERROR(__xludf.DUMMYFUNCTION("GOOGLEFINANCE(""ASX:AOV"", ""high52"")"),11.13)</f>
        <v>11.13</v>
      </c>
      <c r="H189" s="9">
        <f>IFERROR(__xludf.DUMMYFUNCTION("GOOGLEFINANCE(""ASX:AOV"", ""low52"")"),6.78)</f>
        <v>6.78</v>
      </c>
      <c r="I189" s="9">
        <f>IFERROR(__xludf.DUMMYFUNCTION("GOOGLEFINANCE(""ASX:AOV"", ""marketcap"")"),1.185910068E9)</f>
        <v>1185910068</v>
      </c>
      <c r="J189" s="5"/>
      <c r="K189" s="5"/>
      <c r="L189" s="5"/>
      <c r="M189" s="5"/>
      <c r="N189" s="11" t="s">
        <v>19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6" t="s">
        <v>428</v>
      </c>
      <c r="B190" s="6" t="s">
        <v>429</v>
      </c>
      <c r="C190" s="5" t="s">
        <v>430</v>
      </c>
      <c r="D190" s="7">
        <f>IFERROR(__xludf.DUMMYFUNCTION("GOOGLEFINANCE(""ASX:APA"", ""price"")"),8.82)</f>
        <v>8.82</v>
      </c>
      <c r="E190" s="8">
        <f>IFERROR(__xludf.DUMMYFUNCTION("GOOGLEFINANCE(""ASX:APA"", ""closeyest"")"),8.77)</f>
        <v>8.77</v>
      </c>
      <c r="F190" s="9">
        <f>IFERROR(__xludf.DUMMYFUNCTION("GOOGLEFINANCE(""ASX:APA"", ""pe"")"),115.73)</f>
        <v>115.73</v>
      </c>
      <c r="G190" s="9">
        <f>IFERROR(__xludf.DUMMYFUNCTION("GOOGLEFINANCE(""ASX:APA"", ""high52"")"),9.49)</f>
        <v>9.49</v>
      </c>
      <c r="H190" s="9">
        <f>IFERROR(__xludf.DUMMYFUNCTION("GOOGLEFINANCE(""ASX:APA"", ""low52"")"),6.49)</f>
        <v>6.49</v>
      </c>
      <c r="I190" s="9">
        <f>IFERROR(__xludf.DUMMYFUNCTION("GOOGLEFINANCE(""ASX:APA"", ""marketcap"")"),1.1599887198E10)</f>
        <v>11599887198</v>
      </c>
      <c r="J190" s="5"/>
      <c r="K190" s="5"/>
      <c r="L190" s="5"/>
      <c r="M190" s="5"/>
      <c r="N190" s="10">
        <v>118.62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6" t="s">
        <v>431</v>
      </c>
      <c r="B191" s="6" t="s">
        <v>432</v>
      </c>
      <c r="C191" s="5" t="s">
        <v>18</v>
      </c>
      <c r="D191" s="7">
        <f>IFERROR(__xludf.DUMMYFUNCTION("GOOGLEFINANCE(""ASX:APC"", ""price"")"),0.01)</f>
        <v>0.01</v>
      </c>
      <c r="E191" s="8">
        <f>IFERROR(__xludf.DUMMYFUNCTION("GOOGLEFINANCE(""ASX:APC"", ""closeyest"")"),0.01)</f>
        <v>0.01</v>
      </c>
      <c r="F191" s="5" t="str">
        <f>IFERROR(__xludf.DUMMYFUNCTION("GOOGLEFINANCE(""ASX:APC"", ""pe"")"),"#N/A")</f>
        <v>#N/A</v>
      </c>
      <c r="G191" s="9">
        <f>IFERROR(__xludf.DUMMYFUNCTION("GOOGLEFINANCE(""ASX:APC"", ""high52"")"),0.01)</f>
        <v>0.01</v>
      </c>
      <c r="H191" s="9">
        <f>IFERROR(__xludf.DUMMYFUNCTION("GOOGLEFINANCE(""ASX:APC"", ""low52"")"),0.0)</f>
        <v>0</v>
      </c>
      <c r="I191" s="9">
        <f>IFERROR(__xludf.DUMMYFUNCTION("GOOGLEFINANCE(""ASX:APC"", ""marketcap"")"),5345016.0)</f>
        <v>5345016</v>
      </c>
      <c r="J191" s="5"/>
      <c r="K191" s="5"/>
      <c r="L191" s="5"/>
      <c r="M191" s="5"/>
      <c r="N191" s="11" t="s">
        <v>19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6" t="s">
        <v>433</v>
      </c>
      <c r="B192" s="6" t="s">
        <v>434</v>
      </c>
      <c r="C192" s="5" t="s">
        <v>435</v>
      </c>
      <c r="D192" s="7">
        <f>IFERROR(__xludf.DUMMYFUNCTION("GOOGLEFINANCE(""ASX:APE"", ""price"")"),24.94)</f>
        <v>24.94</v>
      </c>
      <c r="E192" s="8">
        <f>IFERROR(__xludf.DUMMYFUNCTION("GOOGLEFINANCE(""ASX:APE"", ""closeyest"")"),24.7)</f>
        <v>24.7</v>
      </c>
      <c r="F192" s="9">
        <f>IFERROR(__xludf.DUMMYFUNCTION("GOOGLEFINANCE(""ASX:APE"", ""pe"")"),31.46)</f>
        <v>31.46</v>
      </c>
      <c r="G192" s="9">
        <f>IFERROR(__xludf.DUMMYFUNCTION("GOOGLEFINANCE(""ASX:APE"", ""high52"")"),35.64)</f>
        <v>35.64</v>
      </c>
      <c r="H192" s="9">
        <f>IFERROR(__xludf.DUMMYFUNCTION("GOOGLEFINANCE(""ASX:APE"", ""low52"")"),11.27)</f>
        <v>11.27</v>
      </c>
      <c r="I192" s="9">
        <f>IFERROR(__xludf.DUMMYFUNCTION("GOOGLEFINANCE(""ASX:APE"", ""marketcap"")"),7.042165792E9)</f>
        <v>7042165792</v>
      </c>
      <c r="J192" s="5"/>
      <c r="K192" s="5"/>
      <c r="L192" s="5"/>
      <c r="M192" s="5"/>
      <c r="N192" s="10">
        <v>31.1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6" t="s">
        <v>436</v>
      </c>
      <c r="B193" s="6" t="s">
        <v>437</v>
      </c>
      <c r="C193" s="5" t="s">
        <v>171</v>
      </c>
      <c r="D193" s="7">
        <f>IFERROR(__xludf.DUMMYFUNCTION("GOOGLEFINANCE(""ASX:APL"", ""price"")"),0.17)</f>
        <v>0.17</v>
      </c>
      <c r="E193" s="8">
        <f>IFERROR(__xludf.DUMMYFUNCTION("GOOGLEFINANCE(""ASX:APL"", ""closeyest"")"),0.2)</f>
        <v>0.2</v>
      </c>
      <c r="F193" s="5" t="str">
        <f>IFERROR(__xludf.DUMMYFUNCTION("GOOGLEFINANCE(""ASX:APL"", ""pe"")"),"#N/A")</f>
        <v>#N/A</v>
      </c>
      <c r="G193" s="9">
        <f>IFERROR(__xludf.DUMMYFUNCTION("GOOGLEFINANCE(""ASX:APL"", ""high52"")"),0.2)</f>
        <v>0.2</v>
      </c>
      <c r="H193" s="9">
        <f>IFERROR(__xludf.DUMMYFUNCTION("GOOGLEFINANCE(""ASX:APL"", ""low52"")"),0.1)</f>
        <v>0.1</v>
      </c>
      <c r="I193" s="9">
        <f>IFERROR(__xludf.DUMMYFUNCTION("GOOGLEFINANCE(""ASX:APL"", ""marketcap"")"),9782216.0)</f>
        <v>9782216</v>
      </c>
      <c r="J193" s="5"/>
      <c r="K193" s="5"/>
      <c r="L193" s="5"/>
      <c r="M193" s="5"/>
      <c r="N193" s="11" t="s">
        <v>19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6" t="s">
        <v>438</v>
      </c>
      <c r="B194" s="6" t="s">
        <v>439</v>
      </c>
      <c r="C194" s="5" t="s">
        <v>418</v>
      </c>
      <c r="D194" s="7">
        <f>IFERROR(__xludf.DUMMYFUNCTION("GOOGLEFINANCE(""ASX:APW"", ""price"")"),3.1)</f>
        <v>3.1</v>
      </c>
      <c r="E194" s="8">
        <f>IFERROR(__xludf.DUMMYFUNCTION("GOOGLEFINANCE(""ASX:APW"", ""closeyest"")"),3.1)</f>
        <v>3.1</v>
      </c>
      <c r="F194" s="9">
        <f>IFERROR(__xludf.DUMMYFUNCTION("GOOGLEFINANCE(""ASX:APW"", ""pe"")"),2.62)</f>
        <v>2.62</v>
      </c>
      <c r="G194" s="9">
        <f>IFERROR(__xludf.DUMMYFUNCTION("GOOGLEFINANCE(""ASX:APW"", ""high52"")"),3.6)</f>
        <v>3.6</v>
      </c>
      <c r="H194" s="9">
        <f>IFERROR(__xludf.DUMMYFUNCTION("GOOGLEFINANCE(""ASX:APW"", ""low52"")"),1.7)</f>
        <v>1.7</v>
      </c>
      <c r="I194" s="9">
        <f>IFERROR(__xludf.DUMMYFUNCTION("GOOGLEFINANCE(""ASX:APW"", ""marketcap"")"),1.380092E8)</f>
        <v>138009200</v>
      </c>
      <c r="J194" s="9">
        <v>51.41</v>
      </c>
      <c r="K194" s="9">
        <v>51.44</v>
      </c>
      <c r="L194" s="9">
        <v>73.88</v>
      </c>
      <c r="M194" s="9">
        <v>50.54</v>
      </c>
      <c r="N194" s="10">
        <v>2.64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6" t="s">
        <v>440</v>
      </c>
      <c r="B195" s="6" t="s">
        <v>441</v>
      </c>
      <c r="C195" s="5" t="s">
        <v>184</v>
      </c>
      <c r="D195" s="7">
        <f>IFERROR(__xludf.DUMMYFUNCTION("GOOGLEFINANCE(""ASX:APX"", ""price"")"),0.88)</f>
        <v>0.88</v>
      </c>
      <c r="E195" s="8">
        <f>IFERROR(__xludf.DUMMYFUNCTION("GOOGLEFINANCE(""ASX:APX"", ""closeyest"")"),0.86)</f>
        <v>0.86</v>
      </c>
      <c r="F195" s="5" t="str">
        <f>IFERROR(__xludf.DUMMYFUNCTION("GOOGLEFINANCE(""ASX:APX"", ""pe"")"),"#N/A")</f>
        <v>#N/A</v>
      </c>
      <c r="G195" s="9">
        <f>IFERROR(__xludf.DUMMYFUNCTION("GOOGLEFINANCE(""ASX:APX"", ""high52"")"),3.11)</f>
        <v>3.11</v>
      </c>
      <c r="H195" s="9">
        <f>IFERROR(__xludf.DUMMYFUNCTION("GOOGLEFINANCE(""ASX:APX"", ""low52"")"),0.65)</f>
        <v>0.65</v>
      </c>
      <c r="I195" s="9">
        <f>IFERROR(__xludf.DUMMYFUNCTION("GOOGLEFINANCE(""ASX:APX"", ""marketcap"")"),2.31058012E8)</f>
        <v>231058012</v>
      </c>
      <c r="J195" s="5"/>
      <c r="K195" s="5"/>
      <c r="L195" s="5"/>
      <c r="M195" s="5"/>
      <c r="N195" s="11" t="s">
        <v>19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6" t="s">
        <v>442</v>
      </c>
      <c r="B196" s="6" t="s">
        <v>443</v>
      </c>
      <c r="C196" s="5" t="s">
        <v>143</v>
      </c>
      <c r="D196" s="7">
        <f>IFERROR(__xludf.DUMMYFUNCTION("GOOGLEFINANCE(""ASX:APZ"", ""price"")"),5.63)</f>
        <v>5.63</v>
      </c>
      <c r="E196" s="8">
        <f>IFERROR(__xludf.DUMMYFUNCTION("GOOGLEFINANCE(""ASX:APZ"", ""closeyest"")"),5.51)</f>
        <v>5.51</v>
      </c>
      <c r="F196" s="9">
        <f>IFERROR(__xludf.DUMMYFUNCTION("GOOGLEFINANCE(""ASX:APZ"", ""pe"")"),20.34)</f>
        <v>20.34</v>
      </c>
      <c r="G196" s="9">
        <f>IFERROR(__xludf.DUMMYFUNCTION("GOOGLEFINANCE(""ASX:APZ"", ""high52"")"),5.79)</f>
        <v>5.79</v>
      </c>
      <c r="H196" s="9">
        <f>IFERROR(__xludf.DUMMYFUNCTION("GOOGLEFINANCE(""ASX:APZ"", ""low52"")"),2.25)</f>
        <v>2.25</v>
      </c>
      <c r="I196" s="9">
        <f>IFERROR(__xludf.DUMMYFUNCTION("GOOGLEFINANCE(""ASX:APZ"", ""marketcap"")"),1.281756228E9)</f>
        <v>1281756228</v>
      </c>
      <c r="J196" s="5"/>
      <c r="K196" s="5"/>
      <c r="L196" s="5"/>
      <c r="M196" s="5"/>
      <c r="N196" s="10">
        <v>19.8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6" t="s">
        <v>444</v>
      </c>
      <c r="B197" s="6" t="s">
        <v>445</v>
      </c>
      <c r="C197" s="5" t="s">
        <v>314</v>
      </c>
      <c r="D197" s="7">
        <f>IFERROR(__xludf.DUMMYFUNCTION("GOOGLEFINANCE(""ASX:AQC"", ""price"")"),0.01)</f>
        <v>0.01</v>
      </c>
      <c r="E197" s="8">
        <f>IFERROR(__xludf.DUMMYFUNCTION("GOOGLEFINANCE(""ASX:AQC"", ""closeyest"")"),0.01)</f>
        <v>0.01</v>
      </c>
      <c r="F197" s="5" t="str">
        <f>IFERROR(__xludf.DUMMYFUNCTION("GOOGLEFINANCE(""ASX:AQC"", ""pe"")"),"#N/A")</f>
        <v>#N/A</v>
      </c>
      <c r="G197" s="9">
        <f>IFERROR(__xludf.DUMMYFUNCTION("GOOGLEFINANCE(""ASX:AQC"", ""high52"")"),0.1)</f>
        <v>0.1</v>
      </c>
      <c r="H197" s="9">
        <f>IFERROR(__xludf.DUMMYFUNCTION("GOOGLEFINANCE(""ASX:AQC"", ""low52"")"),0.01)</f>
        <v>0.01</v>
      </c>
      <c r="I197" s="9">
        <f>IFERROR(__xludf.DUMMYFUNCTION("GOOGLEFINANCE(""ASX:AQC"", ""marketcap"")"),4553040.0)</f>
        <v>4553040</v>
      </c>
      <c r="J197" s="5"/>
      <c r="K197" s="5"/>
      <c r="L197" s="5"/>
      <c r="M197" s="5"/>
      <c r="N197" s="11" t="s">
        <v>19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6" t="s">
        <v>446</v>
      </c>
      <c r="B198" s="6" t="s">
        <v>447</v>
      </c>
      <c r="C198" s="5" t="s">
        <v>18</v>
      </c>
      <c r="D198" s="7">
        <f>IFERROR(__xludf.DUMMYFUNCTION("GOOGLEFINANCE(""ASX:AQD"", ""price"")"),0.05)</f>
        <v>0.05</v>
      </c>
      <c r="E198" s="8">
        <f>IFERROR(__xludf.DUMMYFUNCTION("GOOGLEFINANCE(""ASX:AQD"", ""closeyest"")"),0.06)</f>
        <v>0.06</v>
      </c>
      <c r="F198" s="5" t="str">
        <f>IFERROR(__xludf.DUMMYFUNCTION("GOOGLEFINANCE(""ASX:AQD"", ""pe"")"),"#N/A")</f>
        <v>#N/A</v>
      </c>
      <c r="G198" s="9">
        <f>IFERROR(__xludf.DUMMYFUNCTION("GOOGLEFINANCE(""ASX:AQD"", ""high52"")"),0.07)</f>
        <v>0.07</v>
      </c>
      <c r="H198" s="9">
        <f>IFERROR(__xludf.DUMMYFUNCTION("GOOGLEFINANCE(""ASX:AQD"", ""low52"")"),0.01)</f>
        <v>0.01</v>
      </c>
      <c r="I198" s="9">
        <f>IFERROR(__xludf.DUMMYFUNCTION("GOOGLEFINANCE(""ASX:AQD"", ""marketcap"")"),7.7742254E7)</f>
        <v>77742254</v>
      </c>
      <c r="J198" s="5"/>
      <c r="K198" s="5"/>
      <c r="L198" s="5"/>
      <c r="M198" s="5"/>
      <c r="N198" s="11" t="s">
        <v>19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6" t="s">
        <v>448</v>
      </c>
      <c r="B199" s="6" t="s">
        <v>449</v>
      </c>
      <c r="C199" s="5" t="s">
        <v>450</v>
      </c>
      <c r="D199" s="7">
        <f>IFERROR(__xludf.DUMMYFUNCTION("GOOGLEFINANCE(""ASX:AQI"", ""price"")"),0.16)</f>
        <v>0.16</v>
      </c>
      <c r="E199" s="8">
        <f>IFERROR(__xludf.DUMMYFUNCTION("GOOGLEFINANCE(""ASX:AQI"", ""closeyest"")"),0.14)</f>
        <v>0.14</v>
      </c>
      <c r="F199" s="5" t="str">
        <f>IFERROR(__xludf.DUMMYFUNCTION("GOOGLEFINANCE(""ASX:AQI"", ""pe"")"),"#N/A")</f>
        <v>#N/A</v>
      </c>
      <c r="G199" s="9">
        <f>IFERROR(__xludf.DUMMYFUNCTION("GOOGLEFINANCE(""ASX:AQI"", ""high52"")"),0.17)</f>
        <v>0.17</v>
      </c>
      <c r="H199" s="9">
        <f>IFERROR(__xludf.DUMMYFUNCTION("GOOGLEFINANCE(""ASX:AQI"", ""low52"")"),0.02)</f>
        <v>0.02</v>
      </c>
      <c r="I199" s="9">
        <f>IFERROR(__xludf.DUMMYFUNCTION("GOOGLEFINANCE(""ASX:AQI"", ""marketcap"")"),1.79851771E8)</f>
        <v>179851771</v>
      </c>
      <c r="J199" s="5"/>
      <c r="K199" s="5"/>
      <c r="L199" s="5"/>
      <c r="M199" s="5"/>
      <c r="N199" s="11" t="s">
        <v>19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6" t="s">
        <v>451</v>
      </c>
      <c r="B200" s="6" t="s">
        <v>452</v>
      </c>
      <c r="C200" s="5" t="s">
        <v>36</v>
      </c>
      <c r="D200" s="7">
        <f>IFERROR(__xludf.DUMMYFUNCTION("GOOGLEFINANCE(""ASX:AQLT"", ""price"")"),33.29)</f>
        <v>33.29</v>
      </c>
      <c r="E200" s="8">
        <f>IFERROR(__xludf.DUMMYFUNCTION("GOOGLEFINANCE(""ASX:AQLT"", ""closeyest"")"),33.34)</f>
        <v>33.34</v>
      </c>
      <c r="F200" s="5" t="str">
        <f>IFERROR(__xludf.DUMMYFUNCTION("GOOGLEFINANCE(""ASX:AQLT"", ""pe"")"),"#N/A")</f>
        <v>#N/A</v>
      </c>
      <c r="G200" s="9">
        <f>IFERROR(__xludf.DUMMYFUNCTION("GOOGLEFINANCE(""ASX:AQLT"", ""high52"")"),36.0)</f>
        <v>36</v>
      </c>
      <c r="H200" s="9">
        <f>IFERROR(__xludf.DUMMYFUNCTION("GOOGLEFINANCE(""ASX:AQLT"", ""low52"")"),26.37)</f>
        <v>26.37</v>
      </c>
      <c r="I200" s="9" t="str">
        <f>IFERROR(__xludf.DUMMYFUNCTION("GOOGLEFINANCE(""ASX:AQLT"", ""marketcap"")"),"#N/A")</f>
        <v>#N/A</v>
      </c>
      <c r="J200" s="5"/>
      <c r="K200" s="5"/>
      <c r="L200" s="5"/>
      <c r="M200" s="5"/>
      <c r="N200" s="11" t="s">
        <v>19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6" t="s">
        <v>453</v>
      </c>
      <c r="B201" s="6" t="s">
        <v>454</v>
      </c>
      <c r="C201" s="5" t="s">
        <v>396</v>
      </c>
      <c r="D201" s="7">
        <f>IFERROR(__xludf.DUMMYFUNCTION("GOOGLEFINANCE(""ASX:AQN"", ""price"")"),0.44)</f>
        <v>0.44</v>
      </c>
      <c r="E201" s="8">
        <f>IFERROR(__xludf.DUMMYFUNCTION("GOOGLEFINANCE(""ASX:AQN"", ""closeyest"")"),0.44)</f>
        <v>0.44</v>
      </c>
      <c r="F201" s="5" t="str">
        <f>IFERROR(__xludf.DUMMYFUNCTION("GOOGLEFINANCE(""ASX:AQN"", ""pe"")"),"#N/A")</f>
        <v>#N/A</v>
      </c>
      <c r="G201" s="9">
        <f>IFERROR(__xludf.DUMMYFUNCTION("GOOGLEFINANCE(""ASX:AQN"", ""high52"")"),0.48)</f>
        <v>0.48</v>
      </c>
      <c r="H201" s="9">
        <f>IFERROR(__xludf.DUMMYFUNCTION("GOOGLEFINANCE(""ASX:AQN"", ""low52"")"),0.17)</f>
        <v>0.17</v>
      </c>
      <c r="I201" s="9">
        <f>IFERROR(__xludf.DUMMYFUNCTION("GOOGLEFINANCE(""ASX:AQN"", ""marketcap"")"),4.6630495E7)</f>
        <v>46630495</v>
      </c>
      <c r="J201" s="5"/>
      <c r="K201" s="5"/>
      <c r="L201" s="5"/>
      <c r="M201" s="5"/>
      <c r="N201" s="11" t="s">
        <v>19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6" t="s">
        <v>455</v>
      </c>
      <c r="B202" s="6" t="s">
        <v>456</v>
      </c>
      <c r="C202" s="5" t="s">
        <v>18</v>
      </c>
      <c r="D202" s="7">
        <f>IFERROR(__xludf.DUMMYFUNCTION("GOOGLEFINANCE(""ASX:AQX"", ""price"")"),0.01)</f>
        <v>0.01</v>
      </c>
      <c r="E202" s="8">
        <f>IFERROR(__xludf.DUMMYFUNCTION("GOOGLEFINANCE(""ASX:AQX"", ""closeyest"")"),0.01)</f>
        <v>0.01</v>
      </c>
      <c r="F202" s="5" t="str">
        <f>IFERROR(__xludf.DUMMYFUNCTION("GOOGLEFINANCE(""ASX:AQX"", ""pe"")"),"#N/A")</f>
        <v>#N/A</v>
      </c>
      <c r="G202" s="9">
        <f>IFERROR(__xludf.DUMMYFUNCTION("GOOGLEFINANCE(""ASX:AQX"", ""high52"")"),0.01)</f>
        <v>0.01</v>
      </c>
      <c r="H202" s="9">
        <f>IFERROR(__xludf.DUMMYFUNCTION("GOOGLEFINANCE(""ASX:AQX"", ""low52"")"),0.0)</f>
        <v>0</v>
      </c>
      <c r="I202" s="9">
        <f>IFERROR(__xludf.DUMMYFUNCTION("GOOGLEFINANCE(""ASX:AQX"", ""marketcap"")"),3767429.0)</f>
        <v>3767429</v>
      </c>
      <c r="J202" s="12">
        <v>0.004</v>
      </c>
      <c r="K202" s="12">
        <v>0.005</v>
      </c>
      <c r="L202" s="12">
        <v>0.01</v>
      </c>
      <c r="M202" s="12">
        <v>0.002</v>
      </c>
      <c r="N202" s="11" t="s">
        <v>19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6" t="s">
        <v>457</v>
      </c>
      <c r="B203" s="6" t="s">
        <v>458</v>
      </c>
      <c r="C203" s="5" t="s">
        <v>311</v>
      </c>
      <c r="D203" s="7">
        <f>IFERROR(__xludf.DUMMYFUNCTION("GOOGLEFINANCE(""ASX:AQZ"", ""price"")"),1.22)</f>
        <v>1.22</v>
      </c>
      <c r="E203" s="8">
        <f>IFERROR(__xludf.DUMMYFUNCTION("GOOGLEFINANCE(""ASX:AQZ"", ""closeyest"")"),1.21)</f>
        <v>1.21</v>
      </c>
      <c r="F203" s="9">
        <f>IFERROR(__xludf.DUMMYFUNCTION("GOOGLEFINANCE(""ASX:AQZ"", ""pe"")"),3.42)</f>
        <v>3.42</v>
      </c>
      <c r="G203" s="9">
        <f>IFERROR(__xludf.DUMMYFUNCTION("GOOGLEFINANCE(""ASX:AQZ"", ""high52"")"),2.97)</f>
        <v>2.97</v>
      </c>
      <c r="H203" s="9">
        <f>IFERROR(__xludf.DUMMYFUNCTION("GOOGLEFINANCE(""ASX:AQZ"", ""low52"")"),1.12)</f>
        <v>1.12</v>
      </c>
      <c r="I203" s="9">
        <f>IFERROR(__xludf.DUMMYFUNCTION("GOOGLEFINANCE(""ASX:AQZ"", ""marketcap"")"),1.9564781E8)</f>
        <v>195647810</v>
      </c>
      <c r="J203" s="5"/>
      <c r="K203" s="5"/>
      <c r="L203" s="5"/>
      <c r="M203" s="5"/>
      <c r="N203" s="10">
        <v>3.49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6" t="s">
        <v>459</v>
      </c>
      <c r="B204" s="6" t="s">
        <v>460</v>
      </c>
      <c r="C204" s="5" t="s">
        <v>15</v>
      </c>
      <c r="D204" s="7">
        <f>IFERROR(__xludf.DUMMYFUNCTION("GOOGLEFINANCE(""ASX:AR1"", ""price"")"),0.1)</f>
        <v>0.1</v>
      </c>
      <c r="E204" s="8">
        <f>IFERROR(__xludf.DUMMYFUNCTION("GOOGLEFINANCE(""ASX:AR1"", ""closeyest"")"),0.11)</f>
        <v>0.11</v>
      </c>
      <c r="F204" s="5" t="str">
        <f>IFERROR(__xludf.DUMMYFUNCTION("GOOGLEFINANCE(""ASX:AR1"", ""pe"")"),"#N/A")</f>
        <v>#N/A</v>
      </c>
      <c r="G204" s="9">
        <f>IFERROR(__xludf.DUMMYFUNCTION("GOOGLEFINANCE(""ASX:AR1"", ""high52"")"),0.12)</f>
        <v>0.12</v>
      </c>
      <c r="H204" s="9">
        <f>IFERROR(__xludf.DUMMYFUNCTION("GOOGLEFINANCE(""ASX:AR1"", ""low52"")"),0.04)</f>
        <v>0.04</v>
      </c>
      <c r="I204" s="9">
        <f>IFERROR(__xludf.DUMMYFUNCTION("GOOGLEFINANCE(""ASX:AR1"", ""marketcap"")"),1.78374802E8)</f>
        <v>178374802</v>
      </c>
      <c r="J204" s="5"/>
      <c r="K204" s="5"/>
      <c r="L204" s="5"/>
      <c r="M204" s="5"/>
      <c r="N204" s="11" t="s">
        <v>19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6" t="s">
        <v>461</v>
      </c>
      <c r="B205" s="6" t="s">
        <v>462</v>
      </c>
      <c r="C205" s="5" t="s">
        <v>450</v>
      </c>
      <c r="D205" s="7">
        <f>IFERROR(__xludf.DUMMYFUNCTION("GOOGLEFINANCE(""ASX:AR3"", ""price"")"),0.25)</f>
        <v>0.25</v>
      </c>
      <c r="E205" s="8">
        <f>IFERROR(__xludf.DUMMYFUNCTION("GOOGLEFINANCE(""ASX:AR3"", ""closeyest"")"),0.22)</f>
        <v>0.22</v>
      </c>
      <c r="F205" s="5" t="str">
        <f>IFERROR(__xludf.DUMMYFUNCTION("GOOGLEFINANCE(""ASX:AR3"", ""pe"")"),"#N/A")</f>
        <v>#N/A</v>
      </c>
      <c r="G205" s="9">
        <f>IFERROR(__xludf.DUMMYFUNCTION("GOOGLEFINANCE(""ASX:AR3"", ""high52"")"),0.41)</f>
        <v>0.41</v>
      </c>
      <c r="H205" s="9">
        <f>IFERROR(__xludf.DUMMYFUNCTION("GOOGLEFINANCE(""ASX:AR3"", ""low52"")"),0.05)</f>
        <v>0.05</v>
      </c>
      <c r="I205" s="9">
        <f>IFERROR(__xludf.DUMMYFUNCTION("GOOGLEFINANCE(""ASX:AR3"", ""marketcap"")"),5.3221155E7)</f>
        <v>53221155</v>
      </c>
      <c r="J205" s="5"/>
      <c r="K205" s="5"/>
      <c r="L205" s="5"/>
      <c r="M205" s="5"/>
      <c r="N205" s="11" t="s">
        <v>19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6" t="s">
        <v>463</v>
      </c>
      <c r="B206" s="6" t="s">
        <v>464</v>
      </c>
      <c r="C206" s="5" t="s">
        <v>15</v>
      </c>
      <c r="D206" s="7">
        <f>IFERROR(__xludf.DUMMYFUNCTION("GOOGLEFINANCE(""ASX:AR9"", ""price"")"),0.12)</f>
        <v>0.12</v>
      </c>
      <c r="E206" s="8">
        <f>IFERROR(__xludf.DUMMYFUNCTION("GOOGLEFINANCE(""ASX:AR9"", ""closeyest"")"),0.12)</f>
        <v>0.12</v>
      </c>
      <c r="F206" s="5" t="str">
        <f>IFERROR(__xludf.DUMMYFUNCTION("GOOGLEFINANCE(""ASX:AR9"", ""pe"")"),"#N/A")</f>
        <v>#N/A</v>
      </c>
      <c r="G206" s="9">
        <f>IFERROR(__xludf.DUMMYFUNCTION("GOOGLEFINANCE(""ASX:AR9"", ""high52"")"),0.27)</f>
        <v>0.27</v>
      </c>
      <c r="H206" s="9">
        <f>IFERROR(__xludf.DUMMYFUNCTION("GOOGLEFINANCE(""ASX:AR9"", ""low52"")"),0.05)</f>
        <v>0.05</v>
      </c>
      <c r="I206" s="9">
        <f>IFERROR(__xludf.DUMMYFUNCTION("GOOGLEFINANCE(""ASX:AR9"", ""marketcap"")"),5.6374682E7)</f>
        <v>56374682</v>
      </c>
      <c r="J206" s="5"/>
      <c r="K206" s="5"/>
      <c r="L206" s="5"/>
      <c r="M206" s="5"/>
      <c r="N206" s="11" t="s">
        <v>19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6" t="s">
        <v>465</v>
      </c>
      <c r="B207" s="6" t="s">
        <v>466</v>
      </c>
      <c r="C207" s="5" t="s">
        <v>171</v>
      </c>
      <c r="D207" s="7">
        <f>IFERROR(__xludf.DUMMYFUNCTION("GOOGLEFINANCE(""ASX:ARA"", ""price"")"),0.54)</f>
        <v>0.54</v>
      </c>
      <c r="E207" s="8">
        <f>IFERROR(__xludf.DUMMYFUNCTION("GOOGLEFINANCE(""ASX:ARA"", ""closeyest"")"),0.55)</f>
        <v>0.55</v>
      </c>
      <c r="F207" s="9">
        <f>IFERROR(__xludf.DUMMYFUNCTION("GOOGLEFINANCE(""ASX:ARA"", ""pe"")"),24.52)</f>
        <v>24.52</v>
      </c>
      <c r="G207" s="9">
        <f>IFERROR(__xludf.DUMMYFUNCTION("GOOGLEFINANCE(""ASX:ARA"", ""high52"")"),0.55)</f>
        <v>0.55</v>
      </c>
      <c r="H207" s="9">
        <f>IFERROR(__xludf.DUMMYFUNCTION("GOOGLEFINANCE(""ASX:ARA"", ""low52"")"),0.41)</f>
        <v>0.41</v>
      </c>
      <c r="I207" s="9">
        <f>IFERROR(__xludf.DUMMYFUNCTION("GOOGLEFINANCE(""ASX:ARA"", ""marketcap"")"),1.0478965E8)</f>
        <v>104789650</v>
      </c>
      <c r="J207" s="5"/>
      <c r="K207" s="5"/>
      <c r="L207" s="5"/>
      <c r="M207" s="5"/>
      <c r="N207" s="10">
        <v>23.61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6" t="s">
        <v>467</v>
      </c>
      <c r="B208" s="6" t="s">
        <v>468</v>
      </c>
      <c r="C208" s="5" t="s">
        <v>148</v>
      </c>
      <c r="D208" s="7">
        <f>IFERROR(__xludf.DUMMYFUNCTION("GOOGLEFINANCE(""ASX:ARB"", ""price"")"),31.25)</f>
        <v>31.25</v>
      </c>
      <c r="E208" s="8">
        <f>IFERROR(__xludf.DUMMYFUNCTION("GOOGLEFINANCE(""ASX:ARB"", ""closeyest"")"),31.13)</f>
        <v>31.13</v>
      </c>
      <c r="F208" s="9">
        <f>IFERROR(__xludf.DUMMYFUNCTION("GOOGLEFINANCE(""ASX:ARB"", ""pe"")"),26.56)</f>
        <v>26.56</v>
      </c>
      <c r="G208" s="9">
        <f>IFERROR(__xludf.DUMMYFUNCTION("GOOGLEFINANCE(""ASX:ARB"", ""high52"")"),41.5)</f>
        <v>41.5</v>
      </c>
      <c r="H208" s="9">
        <f>IFERROR(__xludf.DUMMYFUNCTION("GOOGLEFINANCE(""ASX:ARB"", ""low52"")"),27.15)</f>
        <v>27.15</v>
      </c>
      <c r="I208" s="9">
        <f>IFERROR(__xludf.DUMMYFUNCTION("GOOGLEFINANCE(""ASX:ARB"", ""marketcap"")"),2.6079825E9)</f>
        <v>2607982500</v>
      </c>
      <c r="J208" s="5"/>
      <c r="K208" s="5"/>
      <c r="L208" s="5"/>
      <c r="M208" s="5"/>
      <c r="N208" s="10">
        <v>27.14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6" t="s">
        <v>469</v>
      </c>
      <c r="B209" s="6" t="s">
        <v>470</v>
      </c>
      <c r="C209" s="5" t="s">
        <v>171</v>
      </c>
      <c r="D209" s="7">
        <f>IFERROR(__xludf.DUMMYFUNCTION("GOOGLEFINANCE(""ASX:ARC"", ""price"")"),0.12)</f>
        <v>0.12</v>
      </c>
      <c r="E209" s="8">
        <f>IFERROR(__xludf.DUMMYFUNCTION("GOOGLEFINANCE(""ASX:ARC"", ""closeyest"")"),0.12)</f>
        <v>0.12</v>
      </c>
      <c r="F209" s="5" t="str">
        <f>IFERROR(__xludf.DUMMYFUNCTION("GOOGLEFINANCE(""ASX:ARC"", ""pe"")"),"#N/A")</f>
        <v>#N/A</v>
      </c>
      <c r="G209" s="9">
        <f>IFERROR(__xludf.DUMMYFUNCTION("GOOGLEFINANCE(""ASX:ARC"", ""high52"")"),0.2)</f>
        <v>0.2</v>
      </c>
      <c r="H209" s="9">
        <f>IFERROR(__xludf.DUMMYFUNCTION("GOOGLEFINANCE(""ASX:ARC"", ""low52"")"),0.09)</f>
        <v>0.09</v>
      </c>
      <c r="I209" s="9">
        <f>IFERROR(__xludf.DUMMYFUNCTION("GOOGLEFINANCE(""ASX:ARC"", ""marketcap"")"),7967602.0)</f>
        <v>7967602</v>
      </c>
      <c r="J209" s="5"/>
      <c r="K209" s="5"/>
      <c r="L209" s="5"/>
      <c r="M209" s="5"/>
      <c r="N209" s="11" t="s">
        <v>19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6" t="s">
        <v>471</v>
      </c>
      <c r="B210" s="6" t="s">
        <v>472</v>
      </c>
      <c r="C210" s="5" t="s">
        <v>18</v>
      </c>
      <c r="D210" s="7">
        <f>IFERROR(__xludf.DUMMYFUNCTION("GOOGLEFINANCE(""ASX:ARD"", ""price"")"),0.04)</f>
        <v>0.04</v>
      </c>
      <c r="E210" s="8">
        <f>IFERROR(__xludf.DUMMYFUNCTION("GOOGLEFINANCE(""ASX:ARD"", ""closeyest"")"),0.05)</f>
        <v>0.05</v>
      </c>
      <c r="F210" s="5" t="str">
        <f>IFERROR(__xludf.DUMMYFUNCTION("GOOGLEFINANCE(""ASX:ARD"", ""pe"")"),"#N/A")</f>
        <v>#N/A</v>
      </c>
      <c r="G210" s="9">
        <f>IFERROR(__xludf.DUMMYFUNCTION("GOOGLEFINANCE(""ASX:ARD"", ""high52"")"),0.05)</f>
        <v>0.05</v>
      </c>
      <c r="H210" s="9">
        <f>IFERROR(__xludf.DUMMYFUNCTION("GOOGLEFINANCE(""ASX:ARD"", ""low52"")"),0.02)</f>
        <v>0.02</v>
      </c>
      <c r="I210" s="9">
        <f>IFERROR(__xludf.DUMMYFUNCTION("GOOGLEFINANCE(""ASX:ARD"", ""marketcap"")"),7.771889E7)</f>
        <v>77718890</v>
      </c>
      <c r="J210" s="9">
        <v>6.22</v>
      </c>
      <c r="K210" s="9">
        <v>6.22</v>
      </c>
      <c r="L210" s="9">
        <v>6.45</v>
      </c>
      <c r="M210" s="9">
        <v>4.69</v>
      </c>
      <c r="N210" s="11" t="s">
        <v>19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6" t="s">
        <v>473</v>
      </c>
      <c r="B211" s="6" t="s">
        <v>474</v>
      </c>
      <c r="C211" s="5" t="s">
        <v>475</v>
      </c>
      <c r="D211" s="7">
        <f>IFERROR(__xludf.DUMMYFUNCTION("GOOGLEFINANCE(""ASX:ARF"", ""price"")"),3.58)</f>
        <v>3.58</v>
      </c>
      <c r="E211" s="8">
        <f>IFERROR(__xludf.DUMMYFUNCTION("GOOGLEFINANCE(""ASX:ARF"", ""closeyest"")"),3.55)</f>
        <v>3.55</v>
      </c>
      <c r="F211" s="9">
        <f>IFERROR(__xludf.DUMMYFUNCTION("GOOGLEFINANCE(""ASX:ARF"", ""pe"")"),17.37)</f>
        <v>17.37</v>
      </c>
      <c r="G211" s="9">
        <f>IFERROR(__xludf.DUMMYFUNCTION("GOOGLEFINANCE(""ASX:ARF"", ""high52"")"),4.1)</f>
        <v>4.1</v>
      </c>
      <c r="H211" s="9">
        <f>IFERROR(__xludf.DUMMYFUNCTION("GOOGLEFINANCE(""ASX:ARF"", ""low52"")"),3.33)</f>
        <v>3.33</v>
      </c>
      <c r="I211" s="9">
        <f>IFERROR(__xludf.DUMMYFUNCTION("GOOGLEFINANCE(""ASX:ARF"", ""marketcap"")"),1.444543931E9)</f>
        <v>1444543931</v>
      </c>
      <c r="J211" s="5"/>
      <c r="K211" s="5"/>
      <c r="L211" s="5"/>
      <c r="M211" s="5"/>
      <c r="N211" s="10">
        <v>17.27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6" t="s">
        <v>476</v>
      </c>
      <c r="B212" s="6" t="s">
        <v>477</v>
      </c>
      <c r="C212" s="5" t="s">
        <v>171</v>
      </c>
      <c r="D212" s="7">
        <f>IFERROR(__xludf.DUMMYFUNCTION("GOOGLEFINANCE(""ASX:ARG"", ""price"")"),9.12)</f>
        <v>9.12</v>
      </c>
      <c r="E212" s="8">
        <f>IFERROR(__xludf.DUMMYFUNCTION("GOOGLEFINANCE(""ASX:ARG"", ""closeyest"")"),9.12)</f>
        <v>9.12</v>
      </c>
      <c r="F212" s="9">
        <f>IFERROR(__xludf.DUMMYFUNCTION("GOOGLEFINANCE(""ASX:ARG"", ""pe"")"),26.78)</f>
        <v>26.78</v>
      </c>
      <c r="G212" s="9">
        <f>IFERROR(__xludf.DUMMYFUNCTION("GOOGLEFINANCE(""ASX:ARG"", ""high52"")"),9.59)</f>
        <v>9.59</v>
      </c>
      <c r="H212" s="9">
        <f>IFERROR(__xludf.DUMMYFUNCTION("GOOGLEFINANCE(""ASX:ARG"", ""low52"")"),8.16)</f>
        <v>8.16</v>
      </c>
      <c r="I212" s="9">
        <f>IFERROR(__xludf.DUMMYFUNCTION("GOOGLEFINANCE(""ASX:ARG"", ""marketcap"")"),6.920155593E9)</f>
        <v>6920155593</v>
      </c>
      <c r="J212" s="9">
        <v>0.002</v>
      </c>
      <c r="K212" s="9">
        <v>0.002</v>
      </c>
      <c r="L212" s="9">
        <v>0.003</v>
      </c>
      <c r="M212" s="9">
        <v>0.001</v>
      </c>
      <c r="N212" s="10">
        <v>26.78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6" t="s">
        <v>478</v>
      </c>
      <c r="B213" s="6" t="s">
        <v>479</v>
      </c>
      <c r="C213" s="5" t="s">
        <v>88</v>
      </c>
      <c r="D213" s="7">
        <f>IFERROR(__xludf.DUMMYFUNCTION("GOOGLEFINANCE(""ASX:ARI"", ""price"")"),0.03)</f>
        <v>0.03</v>
      </c>
      <c r="E213" s="8">
        <f>IFERROR(__xludf.DUMMYFUNCTION("GOOGLEFINANCE(""ASX:ARI"", ""closeyest"")"),0.03)</f>
        <v>0.03</v>
      </c>
      <c r="F213" s="5" t="str">
        <f>IFERROR(__xludf.DUMMYFUNCTION("GOOGLEFINANCE(""ASX:ARI"", ""pe"")"),"#N/A")</f>
        <v>#N/A</v>
      </c>
      <c r="G213" s="9">
        <f>IFERROR(__xludf.DUMMYFUNCTION("GOOGLEFINANCE(""ASX:ARI"", ""high52"")"),0.05)</f>
        <v>0.05</v>
      </c>
      <c r="H213" s="9">
        <f>IFERROR(__xludf.DUMMYFUNCTION("GOOGLEFINANCE(""ASX:ARI"", ""low52"")"),0.02)</f>
        <v>0.02</v>
      </c>
      <c r="I213" s="9">
        <f>IFERROR(__xludf.DUMMYFUNCTION("GOOGLEFINANCE(""ASX:ARI"", ""marketcap"")"),3.8111105E7)</f>
        <v>38111105</v>
      </c>
      <c r="J213" s="5"/>
      <c r="K213" s="5"/>
      <c r="L213" s="5"/>
      <c r="M213" s="5"/>
      <c r="N213" s="11" t="s">
        <v>19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6" t="s">
        <v>480</v>
      </c>
      <c r="B214" s="6" t="s">
        <v>481</v>
      </c>
      <c r="C214" s="5" t="s">
        <v>18</v>
      </c>
      <c r="D214" s="7">
        <f>IFERROR(__xludf.DUMMYFUNCTION("GOOGLEFINANCE(""ASX:ARL"", ""price"")"),0.73)</f>
        <v>0.73</v>
      </c>
      <c r="E214" s="8">
        <f>IFERROR(__xludf.DUMMYFUNCTION("GOOGLEFINANCE(""ASX:ARL"", ""closeyest"")"),0.68)</f>
        <v>0.68</v>
      </c>
      <c r="F214" s="5" t="str">
        <f>IFERROR(__xludf.DUMMYFUNCTION("GOOGLEFINANCE(""ASX:ARL"", ""pe"")"),"#N/A")</f>
        <v>#N/A</v>
      </c>
      <c r="G214" s="9">
        <f>IFERROR(__xludf.DUMMYFUNCTION("GOOGLEFINANCE(""ASX:ARL"", ""high52"")"),0.73)</f>
        <v>0.73</v>
      </c>
      <c r="H214" s="9">
        <f>IFERROR(__xludf.DUMMYFUNCTION("GOOGLEFINANCE(""ASX:ARL"", ""low52"")"),0.32)</f>
        <v>0.32</v>
      </c>
      <c r="I214" s="9">
        <f>IFERROR(__xludf.DUMMYFUNCTION("GOOGLEFINANCE(""ASX:ARL"", ""marketcap"")"),1.5267286E8)</f>
        <v>152672860</v>
      </c>
      <c r="J214" s="9">
        <v>0.003</v>
      </c>
      <c r="K214" s="9">
        <v>0.003</v>
      </c>
      <c r="L214" s="9">
        <v>0.006</v>
      </c>
      <c r="M214" s="9">
        <v>0.002</v>
      </c>
      <c r="N214" s="11" t="s">
        <v>19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6" t="s">
        <v>482</v>
      </c>
      <c r="B215" s="6" t="s">
        <v>483</v>
      </c>
      <c r="C215" s="5" t="s">
        <v>36</v>
      </c>
      <c r="D215" s="7">
        <f>IFERROR(__xludf.DUMMYFUNCTION("GOOGLEFINANCE(""ASX:ARMR"", ""price"")"),26.25)</f>
        <v>26.25</v>
      </c>
      <c r="E215" s="8">
        <f>IFERROR(__xludf.DUMMYFUNCTION("GOOGLEFINANCE(""ASX:ARMR"", ""closeyest"")"),26.29)</f>
        <v>26.29</v>
      </c>
      <c r="F215" s="5" t="str">
        <f>IFERROR(__xludf.DUMMYFUNCTION("GOOGLEFINANCE(""ASX:ARMR"", ""pe"")"),"#N/A")</f>
        <v>#N/A</v>
      </c>
      <c r="G215" s="9">
        <f>IFERROR(__xludf.DUMMYFUNCTION("GOOGLEFINANCE(""ASX:ARMR"", ""high52"")"),26.87)</f>
        <v>26.87</v>
      </c>
      <c r="H215" s="9">
        <f>IFERROR(__xludf.DUMMYFUNCTION("GOOGLEFINANCE(""ASX:ARMR"", ""low52"")"),16.76)</f>
        <v>16.76</v>
      </c>
      <c r="I215" s="9" t="str">
        <f>IFERROR(__xludf.DUMMYFUNCTION("GOOGLEFINANCE(""ASX:ARMR"", ""marketcap"")"),"#N/A")</f>
        <v>#N/A</v>
      </c>
      <c r="J215" s="5"/>
      <c r="K215" s="5"/>
      <c r="L215" s="5"/>
      <c r="M215" s="5"/>
      <c r="N215" s="11" t="s">
        <v>19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6" t="s">
        <v>484</v>
      </c>
      <c r="B216" s="6" t="s">
        <v>485</v>
      </c>
      <c r="C216" s="5" t="s">
        <v>18</v>
      </c>
      <c r="D216" s="7">
        <f>IFERROR(__xludf.DUMMYFUNCTION("GOOGLEFINANCE(""ASX:ARN"", ""price"")"),0.45)</f>
        <v>0.45</v>
      </c>
      <c r="E216" s="8">
        <f>IFERROR(__xludf.DUMMYFUNCTION("GOOGLEFINANCE(""ASX:ARN"", ""closeyest"")"),0.46)</f>
        <v>0.46</v>
      </c>
      <c r="F216" s="5" t="str">
        <f>IFERROR(__xludf.DUMMYFUNCTION("GOOGLEFINANCE(""ASX:ARN"", ""pe"")"),"#N/A")</f>
        <v>#N/A</v>
      </c>
      <c r="G216" s="9">
        <f>IFERROR(__xludf.DUMMYFUNCTION("GOOGLEFINANCE(""ASX:ARN"", ""high52"")"),0.71)</f>
        <v>0.71</v>
      </c>
      <c r="H216" s="9">
        <f>IFERROR(__xludf.DUMMYFUNCTION("GOOGLEFINANCE(""ASX:ARN"", ""low52"")"),0.24)</f>
        <v>0.24</v>
      </c>
      <c r="I216" s="9">
        <f>IFERROR(__xludf.DUMMYFUNCTION("GOOGLEFINANCE(""ASX:ARN"", ""marketcap"")"),1.01929947E8)</f>
        <v>101929947</v>
      </c>
      <c r="J216" s="5"/>
      <c r="K216" s="5"/>
      <c r="L216" s="5"/>
      <c r="M216" s="5"/>
      <c r="N216" s="11" t="s">
        <v>19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6" t="s">
        <v>486</v>
      </c>
      <c r="B217" s="6" t="s">
        <v>487</v>
      </c>
      <c r="C217" s="5" t="s">
        <v>450</v>
      </c>
      <c r="D217" s="7">
        <f>IFERROR(__xludf.DUMMYFUNCTION("GOOGLEFINANCE(""ASX:ARR"", ""price"")"),0.4)</f>
        <v>0.4</v>
      </c>
      <c r="E217" s="8">
        <f>IFERROR(__xludf.DUMMYFUNCTION("GOOGLEFINANCE(""ASX:ARR"", ""closeyest"")"),0.35)</f>
        <v>0.35</v>
      </c>
      <c r="F217" s="5" t="str">
        <f>IFERROR(__xludf.DUMMYFUNCTION("GOOGLEFINANCE(""ASX:ARR"", ""pe"")"),"#N/A")</f>
        <v>#N/A</v>
      </c>
      <c r="G217" s="9">
        <f>IFERROR(__xludf.DUMMYFUNCTION("GOOGLEFINANCE(""ASX:ARR"", ""high52"")"),0.85)</f>
        <v>0.85</v>
      </c>
      <c r="H217" s="9">
        <f>IFERROR(__xludf.DUMMYFUNCTION("GOOGLEFINANCE(""ASX:ARR"", ""low52"")"),0.23)</f>
        <v>0.23</v>
      </c>
      <c r="I217" s="9">
        <f>IFERROR(__xludf.DUMMYFUNCTION("GOOGLEFINANCE(""ASX:ARR"", ""marketcap"")"),2.26424083E8)</f>
        <v>226424083</v>
      </c>
      <c r="J217" s="5"/>
      <c r="K217" s="5"/>
      <c r="L217" s="5"/>
      <c r="M217" s="5"/>
      <c r="N217" s="11" t="s">
        <v>19</v>
      </c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6" t="s">
        <v>488</v>
      </c>
      <c r="B218" s="6" t="s">
        <v>489</v>
      </c>
      <c r="C218" s="5" t="s">
        <v>15</v>
      </c>
      <c r="D218" s="7">
        <f>IFERROR(__xludf.DUMMYFUNCTION("GOOGLEFINANCE(""ASX:ART"", ""price"")"),0.33)</f>
        <v>0.33</v>
      </c>
      <c r="E218" s="8">
        <f>IFERROR(__xludf.DUMMYFUNCTION("GOOGLEFINANCE(""ASX:ART"", ""closeyest"")"),0.36)</f>
        <v>0.36</v>
      </c>
      <c r="F218" s="5" t="str">
        <f>IFERROR(__xludf.DUMMYFUNCTION("GOOGLEFINANCE(""ASX:ART"", ""pe"")"),"#N/A")</f>
        <v>#N/A</v>
      </c>
      <c r="G218" s="9">
        <f>IFERROR(__xludf.DUMMYFUNCTION("GOOGLEFINANCE(""ASX:ART"", ""high52"")"),0.5)</f>
        <v>0.5</v>
      </c>
      <c r="H218" s="9">
        <f>IFERROR(__xludf.DUMMYFUNCTION("GOOGLEFINANCE(""ASX:ART"", ""low52"")"),0.23)</f>
        <v>0.23</v>
      </c>
      <c r="I218" s="9">
        <f>IFERROR(__xludf.DUMMYFUNCTION("GOOGLEFINANCE(""ASX:ART"", ""marketcap"")"),1.58382351E8)</f>
        <v>158382351</v>
      </c>
      <c r="J218" s="9">
        <v>17.6</v>
      </c>
      <c r="K218" s="9">
        <v>17.94</v>
      </c>
      <c r="L218" s="9">
        <v>18.71</v>
      </c>
      <c r="M218" s="9">
        <v>15.71</v>
      </c>
      <c r="N218" s="11" t="s">
        <v>19</v>
      </c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6" t="s">
        <v>490</v>
      </c>
      <c r="B219" s="6" t="s">
        <v>491</v>
      </c>
      <c r="C219" s="5" t="s">
        <v>450</v>
      </c>
      <c r="D219" s="7">
        <f>IFERROR(__xludf.DUMMYFUNCTION("GOOGLEFINANCE(""ASX:ARU"", ""price"")"),0.31)</f>
        <v>0.31</v>
      </c>
      <c r="E219" s="8">
        <f>IFERROR(__xludf.DUMMYFUNCTION("GOOGLEFINANCE(""ASX:ARU"", ""closeyest"")"),0.29)</f>
        <v>0.29</v>
      </c>
      <c r="F219" s="5" t="str">
        <f>IFERROR(__xludf.DUMMYFUNCTION("GOOGLEFINANCE(""ASX:ARU"", ""pe"")"),"#N/A")</f>
        <v>#N/A</v>
      </c>
      <c r="G219" s="9">
        <f>IFERROR(__xludf.DUMMYFUNCTION("GOOGLEFINANCE(""ASX:ARU"", ""high52"")"),0.62)</f>
        <v>0.62</v>
      </c>
      <c r="H219" s="9">
        <f>IFERROR(__xludf.DUMMYFUNCTION("GOOGLEFINANCE(""ASX:ARU"", ""low52"")"),0.11)</f>
        <v>0.11</v>
      </c>
      <c r="I219" s="9">
        <f>IFERROR(__xludf.DUMMYFUNCTION("GOOGLEFINANCE(""ASX:ARU"", ""marketcap"")"),1.394922717E9)</f>
        <v>1394922717</v>
      </c>
      <c r="J219" s="5"/>
      <c r="K219" s="5"/>
      <c r="L219" s="5"/>
      <c r="M219" s="5"/>
      <c r="N219" s="11" t="s">
        <v>19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6" t="s">
        <v>492</v>
      </c>
      <c r="B220" s="6" t="s">
        <v>493</v>
      </c>
      <c r="C220" s="5" t="s">
        <v>18</v>
      </c>
      <c r="D220" s="7">
        <f>IFERROR(__xludf.DUMMYFUNCTION("GOOGLEFINANCE(""ASX:ARV"", ""price"")"),0.01)</f>
        <v>0.01</v>
      </c>
      <c r="E220" s="8">
        <f>IFERROR(__xludf.DUMMYFUNCTION("GOOGLEFINANCE(""ASX:ARV"", ""closeyest"")"),0.01)</f>
        <v>0.01</v>
      </c>
      <c r="F220" s="5" t="str">
        <f>IFERROR(__xludf.DUMMYFUNCTION("GOOGLEFINANCE(""ASX:ARV"", ""pe"")"),"#N/A")</f>
        <v>#N/A</v>
      </c>
      <c r="G220" s="9">
        <f>IFERROR(__xludf.DUMMYFUNCTION("GOOGLEFINANCE(""ASX:ARV"", ""high52"")"),0.01)</f>
        <v>0.01</v>
      </c>
      <c r="H220" s="9">
        <f>IFERROR(__xludf.DUMMYFUNCTION("GOOGLEFINANCE(""ASX:ARV"", ""low52"")"),0.0)</f>
        <v>0</v>
      </c>
      <c r="I220" s="9">
        <f>IFERROR(__xludf.DUMMYFUNCTION("GOOGLEFINANCE(""ASX:ARV"", ""marketcap"")"),3.0544468E7)</f>
        <v>30544468</v>
      </c>
      <c r="J220" s="5"/>
      <c r="K220" s="5"/>
      <c r="L220" s="5"/>
      <c r="M220" s="5"/>
      <c r="N220" s="11" t="s">
        <v>19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6" t="s">
        <v>494</v>
      </c>
      <c r="B221" s="6" t="s">
        <v>495</v>
      </c>
      <c r="C221" s="5" t="s">
        <v>276</v>
      </c>
      <c r="D221" s="7">
        <f>IFERROR(__xludf.DUMMYFUNCTION("GOOGLEFINANCE(""ASX:ARX"", ""price"")"),0.76)</f>
        <v>0.76</v>
      </c>
      <c r="E221" s="8">
        <f>IFERROR(__xludf.DUMMYFUNCTION("GOOGLEFINANCE(""ASX:ARX"", ""closeyest"")"),0.75)</f>
        <v>0.75</v>
      </c>
      <c r="F221" s="5" t="str">
        <f>IFERROR(__xludf.DUMMYFUNCTION("GOOGLEFINANCE(""ASX:ARX"", ""pe"")"),"#N/A")</f>
        <v>#N/A</v>
      </c>
      <c r="G221" s="9">
        <f>IFERROR(__xludf.DUMMYFUNCTION("GOOGLEFINANCE(""ASX:ARX"", ""high52"")"),0.82)</f>
        <v>0.82</v>
      </c>
      <c r="H221" s="9">
        <f>IFERROR(__xludf.DUMMYFUNCTION("GOOGLEFINANCE(""ASX:ARX"", ""low52"")"),0.35)</f>
        <v>0.35</v>
      </c>
      <c r="I221" s="9">
        <f>IFERROR(__xludf.DUMMYFUNCTION("GOOGLEFINANCE(""ASX:ARX"", ""marketcap"")"),2.60477076E8)</f>
        <v>260477076</v>
      </c>
      <c r="J221" s="5"/>
      <c r="K221" s="5"/>
      <c r="L221" s="5"/>
      <c r="M221" s="5"/>
      <c r="N221" s="11" t="s">
        <v>19</v>
      </c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6" t="s">
        <v>496</v>
      </c>
      <c r="B222" s="6" t="s">
        <v>497</v>
      </c>
      <c r="C222" s="5" t="s">
        <v>88</v>
      </c>
      <c r="D222" s="7">
        <f>IFERROR(__xludf.DUMMYFUNCTION("GOOGLEFINANCE(""ASX:AS1"", ""price"")"),0.1)</f>
        <v>0.1</v>
      </c>
      <c r="E222" s="8">
        <f>IFERROR(__xludf.DUMMYFUNCTION("GOOGLEFINANCE(""ASX:AS1"", ""closeyest"")"),0.1)</f>
        <v>0.1</v>
      </c>
      <c r="F222" s="5" t="str">
        <f>IFERROR(__xludf.DUMMYFUNCTION("GOOGLEFINANCE(""ASX:AS1"", ""pe"")"),"#N/A")</f>
        <v>#N/A</v>
      </c>
      <c r="G222" s="9">
        <f>IFERROR(__xludf.DUMMYFUNCTION("GOOGLEFINANCE(""ASX:AS1"", ""high52"")"),0.11)</f>
        <v>0.11</v>
      </c>
      <c r="H222" s="9">
        <f>IFERROR(__xludf.DUMMYFUNCTION("GOOGLEFINANCE(""ASX:AS1"", ""low52"")"),0.02)</f>
        <v>0.02</v>
      </c>
      <c r="I222" s="9">
        <f>IFERROR(__xludf.DUMMYFUNCTION("GOOGLEFINANCE(""ASX:AS1"", ""marketcap"")"),1.58714621E8)</f>
        <v>158714621</v>
      </c>
      <c r="J222" s="5"/>
      <c r="K222" s="5"/>
      <c r="L222" s="5"/>
      <c r="M222" s="5"/>
      <c r="N222" s="11" t="s">
        <v>19</v>
      </c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6" t="s">
        <v>498</v>
      </c>
      <c r="B223" s="6" t="s">
        <v>499</v>
      </c>
      <c r="C223" s="5" t="s">
        <v>18</v>
      </c>
      <c r="D223" s="7">
        <f>IFERROR(__xludf.DUMMYFUNCTION("GOOGLEFINANCE(""ASX:AS2"", ""price"")"),0.01)</f>
        <v>0.01</v>
      </c>
      <c r="E223" s="8">
        <f>IFERROR(__xludf.DUMMYFUNCTION("GOOGLEFINANCE(""ASX:AS2"", ""closeyest"")"),0.01)</f>
        <v>0.01</v>
      </c>
      <c r="F223" s="5" t="str">
        <f>IFERROR(__xludf.DUMMYFUNCTION("GOOGLEFINANCE(""ASX:AS2"", ""pe"")"),"#N/A")</f>
        <v>#N/A</v>
      </c>
      <c r="G223" s="9">
        <f>IFERROR(__xludf.DUMMYFUNCTION("GOOGLEFINANCE(""ASX:AS2"", ""high52"")"),0.02)</f>
        <v>0.02</v>
      </c>
      <c r="H223" s="9">
        <f>IFERROR(__xludf.DUMMYFUNCTION("GOOGLEFINANCE(""ASX:AS2"", ""low52"")"),0.0)</f>
        <v>0</v>
      </c>
      <c r="I223" s="9">
        <f>IFERROR(__xludf.DUMMYFUNCTION("GOOGLEFINANCE(""ASX:AS2"", ""marketcap"")"),1.0151602E7)</f>
        <v>10151602</v>
      </c>
      <c r="J223" s="5"/>
      <c r="K223" s="5"/>
      <c r="L223" s="5"/>
      <c r="M223" s="5"/>
      <c r="N223" s="11" t="s">
        <v>19</v>
      </c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6" t="s">
        <v>500</v>
      </c>
      <c r="B224" s="6" t="s">
        <v>501</v>
      </c>
      <c r="C224" s="5" t="s">
        <v>36</v>
      </c>
      <c r="D224" s="7" t="str">
        <f>IFERROR(__xludf.DUMMYFUNCTION("GOOGLEFINANCE(""ASX:ASAO"", ""price"")"),"#N/A")</f>
        <v>#N/A</v>
      </c>
      <c r="E224" s="8" t="str">
        <f>IFERROR(__xludf.DUMMYFUNCTION("GOOGLEFINANCE(""ASX:ASAO"", ""closeyest"")"),"#N/A")</f>
        <v>#N/A</v>
      </c>
      <c r="F224" s="5" t="str">
        <f>IFERROR(__xludf.DUMMYFUNCTION("GOOGLEFINANCE(""ASX:ASAO"", ""pe"")"),"#N/A")</f>
        <v>#N/A</v>
      </c>
      <c r="G224" s="5" t="str">
        <f>IFERROR(__xludf.DUMMYFUNCTION("GOOGLEFINANCE(""ASX:ASAO"", ""high52"")"),"#N/A")</f>
        <v>#N/A</v>
      </c>
      <c r="H224" s="5" t="str">
        <f>IFERROR(__xludf.DUMMYFUNCTION("GOOGLEFINANCE(""ASX:ASAO"", ""low52"")"),"#N/A")</f>
        <v>#N/A</v>
      </c>
      <c r="I224" s="9" t="str">
        <f>IFERROR(__xludf.DUMMYFUNCTION("GOOGLEFINANCE(""ASX:ASAO"", ""marketcap"")"),"#N/A")</f>
        <v>#N/A</v>
      </c>
      <c r="J224" s="12">
        <v>1.435</v>
      </c>
      <c r="K224" s="12">
        <v>1.435</v>
      </c>
      <c r="L224" s="12">
        <v>1.435</v>
      </c>
      <c r="M224" s="12">
        <v>1.08</v>
      </c>
      <c r="N224" s="11" t="s">
        <v>19</v>
      </c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6" t="s">
        <v>502</v>
      </c>
      <c r="B225" s="6" t="s">
        <v>503</v>
      </c>
      <c r="C225" s="5" t="s">
        <v>504</v>
      </c>
      <c r="D225" s="7">
        <f>IFERROR(__xludf.DUMMYFUNCTION("GOOGLEFINANCE(""ASX:ASB"", ""price"")"),7.39)</f>
        <v>7.39</v>
      </c>
      <c r="E225" s="8">
        <f>IFERROR(__xludf.DUMMYFUNCTION("GOOGLEFINANCE(""ASX:ASB"", ""closeyest"")"),7.18)</f>
        <v>7.18</v>
      </c>
      <c r="F225" s="9">
        <f>IFERROR(__xludf.DUMMYFUNCTION("GOOGLEFINANCE(""ASX:ASB"", ""pe"")"),31.65)</f>
        <v>31.65</v>
      </c>
      <c r="G225" s="9">
        <f>IFERROR(__xludf.DUMMYFUNCTION("GOOGLEFINANCE(""ASX:ASB"", ""high52"")"),8.6)</f>
        <v>8.6</v>
      </c>
      <c r="H225" s="9">
        <f>IFERROR(__xludf.DUMMYFUNCTION("GOOGLEFINANCE(""ASX:ASB"", ""low52"")"),3.04)</f>
        <v>3.04</v>
      </c>
      <c r="I225" s="9">
        <f>IFERROR(__xludf.DUMMYFUNCTION("GOOGLEFINANCE(""ASX:ASB"", ""marketcap"")"),3.118950921E9)</f>
        <v>3118950921</v>
      </c>
      <c r="J225" s="5"/>
      <c r="K225" s="5"/>
      <c r="L225" s="5"/>
      <c r="M225" s="5"/>
      <c r="N225" s="10">
        <v>29.04</v>
      </c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6" t="s">
        <v>505</v>
      </c>
      <c r="B226" s="6" t="s">
        <v>506</v>
      </c>
      <c r="C226" s="5" t="s">
        <v>435</v>
      </c>
      <c r="D226" s="7">
        <f>IFERROR(__xludf.DUMMYFUNCTION("GOOGLEFINANCE(""ASX:ASG"", ""price"")"),3.73)</f>
        <v>3.73</v>
      </c>
      <c r="E226" s="8">
        <f>IFERROR(__xludf.DUMMYFUNCTION("GOOGLEFINANCE(""ASX:ASG"", ""closeyest"")"),3.71)</f>
        <v>3.71</v>
      </c>
      <c r="F226" s="9">
        <f>IFERROR(__xludf.DUMMYFUNCTION("GOOGLEFINANCE(""ASX:ASG"", ""pe"")"),23.13)</f>
        <v>23.13</v>
      </c>
      <c r="G226" s="9">
        <f>IFERROR(__xludf.DUMMYFUNCTION("GOOGLEFINANCE(""ASX:ASG"", ""high52"")"),4.7)</f>
        <v>4.7</v>
      </c>
      <c r="H226" s="9">
        <f>IFERROR(__xludf.DUMMYFUNCTION("GOOGLEFINANCE(""ASX:ASG"", ""low52"")"),1.61)</f>
        <v>1.61</v>
      </c>
      <c r="I226" s="9">
        <f>IFERROR(__xludf.DUMMYFUNCTION("GOOGLEFINANCE(""ASX:ASG"", ""marketcap"")"),7.67603417E8)</f>
        <v>767603417</v>
      </c>
      <c r="J226" s="5"/>
      <c r="K226" s="5"/>
      <c r="L226" s="5"/>
      <c r="M226" s="5"/>
      <c r="N226" s="10">
        <v>23.44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6" t="s">
        <v>507</v>
      </c>
      <c r="B227" s="6" t="s">
        <v>508</v>
      </c>
      <c r="C227" s="5" t="s">
        <v>509</v>
      </c>
      <c r="D227" s="7">
        <f>IFERROR(__xludf.DUMMYFUNCTION("GOOGLEFINANCE(""ASX:ASH"", ""price"")"),0.22)</f>
        <v>0.22</v>
      </c>
      <c r="E227" s="8">
        <f>IFERROR(__xludf.DUMMYFUNCTION("GOOGLEFINANCE(""ASX:ASH"", ""closeyest"")"),0.21)</f>
        <v>0.21</v>
      </c>
      <c r="F227" s="9">
        <f>IFERROR(__xludf.DUMMYFUNCTION("GOOGLEFINANCE(""ASX:ASH"", ""pe"")"),15.0)</f>
        <v>15</v>
      </c>
      <c r="G227" s="9">
        <f>IFERROR(__xludf.DUMMYFUNCTION("GOOGLEFINANCE(""ASX:ASH"", ""high52"")"),0.25)</f>
        <v>0.25</v>
      </c>
      <c r="H227" s="9">
        <f>IFERROR(__xludf.DUMMYFUNCTION("GOOGLEFINANCE(""ASX:ASH"", ""low52"")"),0.13)</f>
        <v>0.13</v>
      </c>
      <c r="I227" s="9">
        <f>IFERROR(__xludf.DUMMYFUNCTION("GOOGLEFINANCE(""ASX:ASH"", ""marketcap"")"),3.0954819E7)</f>
        <v>30954819</v>
      </c>
      <c r="J227" s="5"/>
      <c r="K227" s="5"/>
      <c r="L227" s="5"/>
      <c r="M227" s="5"/>
      <c r="N227" s="10">
        <v>14.65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6" t="s">
        <v>510</v>
      </c>
      <c r="B228" s="6" t="s">
        <v>511</v>
      </c>
      <c r="C228" s="5" t="s">
        <v>36</v>
      </c>
      <c r="D228" s="7">
        <f>IFERROR(__xludf.DUMMYFUNCTION("GOOGLEFINANCE(""ASX:ASIA"", ""price"")"),15.27)</f>
        <v>15.27</v>
      </c>
      <c r="E228" s="8">
        <f>IFERROR(__xludf.DUMMYFUNCTION("GOOGLEFINANCE(""ASX:ASIA"", ""closeyest"")"),15.48)</f>
        <v>15.48</v>
      </c>
      <c r="F228" s="5" t="str">
        <f>IFERROR(__xludf.DUMMYFUNCTION("GOOGLEFINANCE(""ASX:ASIA"", ""pe"")"),"#N/A")</f>
        <v>#N/A</v>
      </c>
      <c r="G228" s="9">
        <f>IFERROR(__xludf.DUMMYFUNCTION("GOOGLEFINANCE(""ASX:ASIA"", ""high52"")"),15.68)</f>
        <v>15.68</v>
      </c>
      <c r="H228" s="9">
        <f>IFERROR(__xludf.DUMMYFUNCTION("GOOGLEFINANCE(""ASX:ASIA"", ""low52"")"),9.36)</f>
        <v>9.36</v>
      </c>
      <c r="I228" s="9" t="str">
        <f>IFERROR(__xludf.DUMMYFUNCTION("GOOGLEFINANCE(""ASX:ASIA"", ""marketcap"")"),"#N/A")</f>
        <v>#N/A</v>
      </c>
      <c r="J228" s="5"/>
      <c r="K228" s="5"/>
      <c r="L228" s="5"/>
      <c r="M228" s="5"/>
      <c r="N228" s="11" t="s">
        <v>19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6" t="s">
        <v>512</v>
      </c>
      <c r="B229" s="6" t="s">
        <v>513</v>
      </c>
      <c r="C229" s="5" t="s">
        <v>475</v>
      </c>
      <c r="D229" s="7">
        <f>IFERROR(__xludf.DUMMYFUNCTION("GOOGLEFINANCE(""ASX:ASK"", ""price"")"),1.51)</f>
        <v>1.51</v>
      </c>
      <c r="E229" s="8">
        <f>IFERROR(__xludf.DUMMYFUNCTION("GOOGLEFINANCE(""ASX:ASK"", ""closeyest"")"),1.51)</f>
        <v>1.51</v>
      </c>
      <c r="F229" s="9">
        <f>IFERROR(__xludf.DUMMYFUNCTION("GOOGLEFINANCE(""ASX:ASK"", ""pe"")"),6.84)</f>
        <v>6.84</v>
      </c>
      <c r="G229" s="9">
        <f>IFERROR(__xludf.DUMMYFUNCTION("GOOGLEFINANCE(""ASX:ASK"", ""high52"")"),1.62)</f>
        <v>1.62</v>
      </c>
      <c r="H229" s="9">
        <f>IFERROR(__xludf.DUMMYFUNCTION("GOOGLEFINANCE(""ASX:ASK"", ""low52"")"),1.11)</f>
        <v>1.11</v>
      </c>
      <c r="I229" s="9">
        <f>IFERROR(__xludf.DUMMYFUNCTION("GOOGLEFINANCE(""ASX:ASK"", ""marketcap"")"),1.977723503E9)</f>
        <v>1977723503</v>
      </c>
      <c r="J229" s="5"/>
      <c r="K229" s="5"/>
      <c r="L229" s="5"/>
      <c r="M229" s="5"/>
      <c r="N229" s="10">
        <v>6.86</v>
      </c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6" t="s">
        <v>514</v>
      </c>
      <c r="B230" s="6" t="s">
        <v>515</v>
      </c>
      <c r="C230" s="5" t="s">
        <v>18</v>
      </c>
      <c r="D230" s="7">
        <f>IFERROR(__xludf.DUMMYFUNCTION("GOOGLEFINANCE(""ASX:ASL"", ""price"")"),2.45)</f>
        <v>2.45</v>
      </c>
      <c r="E230" s="8">
        <f>IFERROR(__xludf.DUMMYFUNCTION("GOOGLEFINANCE(""ASX:ASL"", ""closeyest"")"),2.51)</f>
        <v>2.51</v>
      </c>
      <c r="F230" s="5" t="str">
        <f>IFERROR(__xludf.DUMMYFUNCTION("GOOGLEFINANCE(""ASX:ASL"", ""pe"")"),"#N/A")</f>
        <v>#N/A</v>
      </c>
      <c r="G230" s="9">
        <f>IFERROR(__xludf.DUMMYFUNCTION("GOOGLEFINANCE(""ASX:ASL"", ""high52"")"),2.74)</f>
        <v>2.74</v>
      </c>
      <c r="H230" s="9">
        <f>IFERROR(__xludf.DUMMYFUNCTION("GOOGLEFINANCE(""ASX:ASL"", ""low52"")"),0.82)</f>
        <v>0.82</v>
      </c>
      <c r="I230" s="9">
        <f>IFERROR(__xludf.DUMMYFUNCTION("GOOGLEFINANCE(""ASX:ASL"", ""marketcap"")"),5.09821979E8)</f>
        <v>509821979</v>
      </c>
      <c r="J230" s="5"/>
      <c r="K230" s="5"/>
      <c r="L230" s="5"/>
      <c r="M230" s="5"/>
      <c r="N230" s="11" t="s">
        <v>19</v>
      </c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6" t="s">
        <v>516</v>
      </c>
      <c r="B231" s="6" t="s">
        <v>517</v>
      </c>
      <c r="C231" s="5" t="s">
        <v>450</v>
      </c>
      <c r="D231" s="7">
        <f>IFERROR(__xludf.DUMMYFUNCTION("GOOGLEFINANCE(""ASX:ASM"", ""price"")"),0.78)</f>
        <v>0.78</v>
      </c>
      <c r="E231" s="8">
        <f>IFERROR(__xludf.DUMMYFUNCTION("GOOGLEFINANCE(""ASX:ASM"", ""closeyest"")"),0.72)</f>
        <v>0.72</v>
      </c>
      <c r="F231" s="5" t="str">
        <f>IFERROR(__xludf.DUMMYFUNCTION("GOOGLEFINANCE(""ASX:ASM"", ""pe"")"),"#N/A")</f>
        <v>#N/A</v>
      </c>
      <c r="G231" s="9">
        <f>IFERROR(__xludf.DUMMYFUNCTION("GOOGLEFINANCE(""ASX:ASM"", ""high52"")"),2.06)</f>
        <v>2.06</v>
      </c>
      <c r="H231" s="9">
        <f>IFERROR(__xludf.DUMMYFUNCTION("GOOGLEFINANCE(""ASX:ASM"", ""low52"")"),0.32)</f>
        <v>0.32</v>
      </c>
      <c r="I231" s="9">
        <f>IFERROR(__xludf.DUMMYFUNCTION("GOOGLEFINANCE(""ASX:ASM"", ""marketcap"")"),2.06279341E8)</f>
        <v>206279341</v>
      </c>
      <c r="J231" s="5"/>
      <c r="K231" s="5"/>
      <c r="L231" s="5"/>
      <c r="M231" s="5"/>
      <c r="N231" s="11" t="s">
        <v>19</v>
      </c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6" t="s">
        <v>518</v>
      </c>
      <c r="B232" s="6" t="s">
        <v>519</v>
      </c>
      <c r="C232" s="5" t="s">
        <v>39</v>
      </c>
      <c r="D232" s="7">
        <f>IFERROR(__xludf.DUMMYFUNCTION("GOOGLEFINANCE(""ASX:ASN"", ""price"")"),0.08)</f>
        <v>0.08</v>
      </c>
      <c r="E232" s="8">
        <f>IFERROR(__xludf.DUMMYFUNCTION("GOOGLEFINANCE(""ASX:ASN"", ""closeyest"")"),0.07)</f>
        <v>0.07</v>
      </c>
      <c r="F232" s="5" t="str">
        <f>IFERROR(__xludf.DUMMYFUNCTION("GOOGLEFINANCE(""ASX:ASN"", ""pe"")"),"#N/A")</f>
        <v>#N/A</v>
      </c>
      <c r="G232" s="9">
        <f>IFERROR(__xludf.DUMMYFUNCTION("GOOGLEFINANCE(""ASX:ASN"", ""high52"")"),0.13)</f>
        <v>0.13</v>
      </c>
      <c r="H232" s="9">
        <f>IFERROR(__xludf.DUMMYFUNCTION("GOOGLEFINANCE(""ASX:ASN"", ""low52"")"),0.04)</f>
        <v>0.04</v>
      </c>
      <c r="I232" s="9">
        <f>IFERROR(__xludf.DUMMYFUNCTION("GOOGLEFINANCE(""ASX:ASN"", ""marketcap"")"),1.23007668E8)</f>
        <v>123007668</v>
      </c>
      <c r="J232" s="5"/>
      <c r="K232" s="5"/>
      <c r="L232" s="5"/>
      <c r="M232" s="5"/>
      <c r="N232" s="11" t="s">
        <v>19</v>
      </c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6" t="s">
        <v>520</v>
      </c>
      <c r="B233" s="6" t="s">
        <v>521</v>
      </c>
      <c r="C233" s="5" t="s">
        <v>522</v>
      </c>
      <c r="D233" s="7">
        <f>IFERROR(__xludf.DUMMYFUNCTION("GOOGLEFINANCE(""ASX:ASP"", ""price"")"),0.01)</f>
        <v>0.01</v>
      </c>
      <c r="E233" s="8">
        <f>IFERROR(__xludf.DUMMYFUNCTION("GOOGLEFINANCE(""ASX:ASP"", ""closeyest"")"),0.01)</f>
        <v>0.01</v>
      </c>
      <c r="F233" s="5" t="str">
        <f>IFERROR(__xludf.DUMMYFUNCTION("GOOGLEFINANCE(""ASX:ASP"", ""pe"")"),"#N/A")</f>
        <v>#N/A</v>
      </c>
      <c r="G233" s="9">
        <f>IFERROR(__xludf.DUMMYFUNCTION("GOOGLEFINANCE(""ASX:ASP"", ""high52"")"),0.01)</f>
        <v>0.01</v>
      </c>
      <c r="H233" s="9">
        <f>IFERROR(__xludf.DUMMYFUNCTION("GOOGLEFINANCE(""ASX:ASP"", ""low52"")"),0.0)</f>
        <v>0</v>
      </c>
      <c r="I233" s="9">
        <f>IFERROR(__xludf.DUMMYFUNCTION("GOOGLEFINANCE(""ASX:ASP"", ""marketcap"")"),2.9090639E7)</f>
        <v>29090639</v>
      </c>
      <c r="J233" s="5"/>
      <c r="K233" s="5"/>
      <c r="L233" s="5"/>
      <c r="M233" s="5"/>
      <c r="N233" s="11" t="s">
        <v>19</v>
      </c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6" t="s">
        <v>523</v>
      </c>
      <c r="B234" s="6" t="s">
        <v>524</v>
      </c>
      <c r="C234" s="5" t="s">
        <v>75</v>
      </c>
      <c r="D234" s="7">
        <f>IFERROR(__xludf.DUMMYFUNCTION("GOOGLEFINANCE(""ASX:ASQ"", ""price"")"),0.02)</f>
        <v>0.02</v>
      </c>
      <c r="E234" s="8">
        <f>IFERROR(__xludf.DUMMYFUNCTION("GOOGLEFINANCE(""ASX:ASQ"", ""closeyest"")"),0.02)</f>
        <v>0.02</v>
      </c>
      <c r="F234" s="5" t="str">
        <f>IFERROR(__xludf.DUMMYFUNCTION("GOOGLEFINANCE(""ASX:ASQ"", ""pe"")"),"#N/A")</f>
        <v>#N/A</v>
      </c>
      <c r="G234" s="9">
        <f>IFERROR(__xludf.DUMMYFUNCTION("GOOGLEFINANCE(""ASX:ASQ"", ""high52"")"),0.03)</f>
        <v>0.03</v>
      </c>
      <c r="H234" s="9">
        <f>IFERROR(__xludf.DUMMYFUNCTION("GOOGLEFINANCE(""ASX:ASQ"", ""low52"")"),0.01)</f>
        <v>0.01</v>
      </c>
      <c r="I234" s="9">
        <f>IFERROR(__xludf.DUMMYFUNCTION("GOOGLEFINANCE(""ASX:ASQ"", ""marketcap"")"),5637209.0)</f>
        <v>5637209</v>
      </c>
      <c r="J234" s="5"/>
      <c r="K234" s="5"/>
      <c r="L234" s="5"/>
      <c r="M234" s="5"/>
      <c r="N234" s="11" t="s">
        <v>19</v>
      </c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6" t="s">
        <v>525</v>
      </c>
      <c r="B235" s="6" t="s">
        <v>526</v>
      </c>
      <c r="C235" s="5" t="s">
        <v>15</v>
      </c>
      <c r="D235" s="7">
        <f>IFERROR(__xludf.DUMMYFUNCTION("GOOGLEFINANCE(""ASX:ASV"", ""price"")"),0.05)</f>
        <v>0.05</v>
      </c>
      <c r="E235" s="8">
        <f>IFERROR(__xludf.DUMMYFUNCTION("GOOGLEFINANCE(""ASX:ASV"", ""closeyest"")"),0.05)</f>
        <v>0.05</v>
      </c>
      <c r="F235" s="5" t="str">
        <f>IFERROR(__xludf.DUMMYFUNCTION("GOOGLEFINANCE(""ASX:ASV"", ""pe"")"),"#N/A")</f>
        <v>#N/A</v>
      </c>
      <c r="G235" s="9">
        <f>IFERROR(__xludf.DUMMYFUNCTION("GOOGLEFINANCE(""ASX:ASV"", ""high52"")"),0.05)</f>
        <v>0.05</v>
      </c>
      <c r="H235" s="9">
        <f>IFERROR(__xludf.DUMMYFUNCTION("GOOGLEFINANCE(""ASX:ASV"", ""low52"")"),0.02)</f>
        <v>0.02</v>
      </c>
      <c r="I235" s="9">
        <f>IFERROR(__xludf.DUMMYFUNCTION("GOOGLEFINANCE(""ASX:ASV"", ""marketcap"")"),3.1772017E7)</f>
        <v>31772017</v>
      </c>
      <c r="J235" s="5"/>
      <c r="K235" s="5"/>
      <c r="L235" s="5"/>
      <c r="M235" s="5"/>
      <c r="N235" s="11" t="s">
        <v>19</v>
      </c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6" t="s">
        <v>527</v>
      </c>
      <c r="B236" s="6" t="s">
        <v>528</v>
      </c>
      <c r="C236" s="5" t="s">
        <v>529</v>
      </c>
      <c r="D236" s="7" t="str">
        <f>IFERROR(__xludf.DUMMYFUNCTION("GOOGLEFINANCE(""ASX:ASX"", ""price"")"),"#N/A")</f>
        <v>#N/A</v>
      </c>
      <c r="E236" s="8" t="str">
        <f>IFERROR(__xludf.DUMMYFUNCTION("GOOGLEFINANCE(""ASX:ASX"", ""closeyest"")"),"#N/A")</f>
        <v>#N/A</v>
      </c>
      <c r="F236" s="5" t="str">
        <f>IFERROR(__xludf.DUMMYFUNCTION("GOOGLEFINANCE(""ASX:ASX"", ""pe"")"),"#N/A")</f>
        <v>#N/A</v>
      </c>
      <c r="G236" s="5" t="str">
        <f>IFERROR(__xludf.DUMMYFUNCTION("GOOGLEFINANCE(""ASX:ASX"", ""high52"")"),"#N/A")</f>
        <v>#N/A</v>
      </c>
      <c r="H236" s="5" t="str">
        <f>IFERROR(__xludf.DUMMYFUNCTION("GOOGLEFINANCE(""ASX:ASX"", ""low52"")"),"#N/A")</f>
        <v>#N/A</v>
      </c>
      <c r="I236" s="9" t="str">
        <f>IFERROR(__xludf.DUMMYFUNCTION("GOOGLEFINANCE(""ASX:ASX"", ""marketcap"")"),"#N/A")</f>
        <v>#N/A</v>
      </c>
      <c r="J236" s="12">
        <v>51.12</v>
      </c>
      <c r="K236" s="12">
        <v>50.53</v>
      </c>
      <c r="L236" s="12">
        <v>73.88</v>
      </c>
      <c r="M236" s="12">
        <v>49.985</v>
      </c>
      <c r="N236" s="11" t="s">
        <v>19</v>
      </c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6" t="s">
        <v>530</v>
      </c>
      <c r="B237" s="6" t="s">
        <v>531</v>
      </c>
      <c r="C237" s="5" t="s">
        <v>62</v>
      </c>
      <c r="D237" s="7">
        <f>IFERROR(__xludf.DUMMYFUNCTION("GOOGLEFINANCE(""ASX:AT1"", ""price"")"),0.04)</f>
        <v>0.04</v>
      </c>
      <c r="E237" s="8">
        <f>IFERROR(__xludf.DUMMYFUNCTION("GOOGLEFINANCE(""ASX:AT1"", ""closeyest"")"),0.04)</f>
        <v>0.04</v>
      </c>
      <c r="F237" s="5" t="str">
        <f>IFERROR(__xludf.DUMMYFUNCTION("GOOGLEFINANCE(""ASX:AT1"", ""pe"")"),"#N/A")</f>
        <v>#N/A</v>
      </c>
      <c r="G237" s="9">
        <f>IFERROR(__xludf.DUMMYFUNCTION("GOOGLEFINANCE(""ASX:AT1"", ""high52"")"),0.04)</f>
        <v>0.04</v>
      </c>
      <c r="H237" s="9">
        <f>IFERROR(__xludf.DUMMYFUNCTION("GOOGLEFINANCE(""ASX:AT1"", ""low52"")"),0.01)</f>
        <v>0.01</v>
      </c>
      <c r="I237" s="9">
        <f>IFERROR(__xludf.DUMMYFUNCTION("GOOGLEFINANCE(""ASX:AT1"", ""marketcap"")"),2.7728251E7)</f>
        <v>27728251</v>
      </c>
      <c r="J237" s="9">
        <v>5.07</v>
      </c>
      <c r="K237" s="9">
        <v>4.71</v>
      </c>
      <c r="L237" s="9">
        <v>5.11</v>
      </c>
      <c r="M237" s="9">
        <v>0.56</v>
      </c>
      <c r="N237" s="11" t="s">
        <v>19</v>
      </c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6" t="s">
        <v>532</v>
      </c>
      <c r="B238" s="6" t="s">
        <v>533</v>
      </c>
      <c r="C238" s="5" t="s">
        <v>18</v>
      </c>
      <c r="D238" s="7">
        <f>IFERROR(__xludf.DUMMYFUNCTION("GOOGLEFINANCE(""ASX:AT4"", ""price"")"),0.11)</f>
        <v>0.11</v>
      </c>
      <c r="E238" s="8">
        <f>IFERROR(__xludf.DUMMYFUNCTION("GOOGLEFINANCE(""ASX:AT4"", ""closeyest"")"),0.12)</f>
        <v>0.12</v>
      </c>
      <c r="F238" s="5" t="str">
        <f>IFERROR(__xludf.DUMMYFUNCTION("GOOGLEFINANCE(""ASX:AT4"", ""pe"")"),"#N/A")</f>
        <v>#N/A</v>
      </c>
      <c r="G238" s="9">
        <f>IFERROR(__xludf.DUMMYFUNCTION("GOOGLEFINANCE(""ASX:AT4"", ""high52"")"),0.13)</f>
        <v>0.13</v>
      </c>
      <c r="H238" s="9">
        <f>IFERROR(__xludf.DUMMYFUNCTION("GOOGLEFINANCE(""ASX:AT4"", ""low52"")"),0.11)</f>
        <v>0.11</v>
      </c>
      <c r="I238" s="9">
        <f>IFERROR(__xludf.DUMMYFUNCTION("GOOGLEFINANCE(""ASX:AT4"", ""marketcap"")"),1.33860429E8)</f>
        <v>133860429</v>
      </c>
      <c r="J238" s="9">
        <v>0.001</v>
      </c>
      <c r="K238" s="9">
        <v>0.001</v>
      </c>
      <c r="L238" s="9">
        <v>0.001</v>
      </c>
      <c r="M238" s="9">
        <v>0.001</v>
      </c>
      <c r="N238" s="11" t="s">
        <v>19</v>
      </c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6" t="s">
        <v>534</v>
      </c>
      <c r="B239" s="6" t="s">
        <v>535</v>
      </c>
      <c r="C239" s="5" t="s">
        <v>184</v>
      </c>
      <c r="D239" s="7">
        <f>IFERROR(__xludf.DUMMYFUNCTION("GOOGLEFINANCE(""ASX:ATA"", ""price"")"),0.67)</f>
        <v>0.67</v>
      </c>
      <c r="E239" s="8">
        <f>IFERROR(__xludf.DUMMYFUNCTION("GOOGLEFINANCE(""ASX:ATA"", ""closeyest"")"),0.66)</f>
        <v>0.66</v>
      </c>
      <c r="F239" s="9">
        <f>IFERROR(__xludf.DUMMYFUNCTION("GOOGLEFINANCE(""ASX:ATA"", ""pe"")"),26.27)</f>
        <v>26.27</v>
      </c>
      <c r="G239" s="9">
        <f>IFERROR(__xludf.DUMMYFUNCTION("GOOGLEFINANCE(""ASX:ATA"", ""high52"")"),1.05)</f>
        <v>1.05</v>
      </c>
      <c r="H239" s="9">
        <f>IFERROR(__xludf.DUMMYFUNCTION("GOOGLEFINANCE(""ASX:ATA"", ""low52"")"),0.63)</f>
        <v>0.63</v>
      </c>
      <c r="I239" s="9">
        <f>IFERROR(__xludf.DUMMYFUNCTION("GOOGLEFINANCE(""ASX:ATA"", ""marketcap"")"),2.47309468E8)</f>
        <v>247309468</v>
      </c>
      <c r="J239" s="5"/>
      <c r="K239" s="5"/>
      <c r="L239" s="5"/>
      <c r="M239" s="5"/>
      <c r="N239" s="10">
        <v>27.25</v>
      </c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6" t="s">
        <v>536</v>
      </c>
      <c r="B240" s="6" t="s">
        <v>537</v>
      </c>
      <c r="C240" s="5" t="s">
        <v>22</v>
      </c>
      <c r="D240" s="7">
        <f>IFERROR(__xludf.DUMMYFUNCTION("GOOGLEFINANCE(""ASX:ATC"", ""price"")"),0.03)</f>
        <v>0.03</v>
      </c>
      <c r="E240" s="8">
        <f>IFERROR(__xludf.DUMMYFUNCTION("GOOGLEFINANCE(""ASX:ATC"", ""closeyest"")"),0.03)</f>
        <v>0.03</v>
      </c>
      <c r="F240" s="5" t="str">
        <f>IFERROR(__xludf.DUMMYFUNCTION("GOOGLEFINANCE(""ASX:ATC"", ""pe"")"),"#N/A")</f>
        <v>#N/A</v>
      </c>
      <c r="G240" s="9">
        <f>IFERROR(__xludf.DUMMYFUNCTION("GOOGLEFINANCE(""ASX:ATC"", ""high52"")"),0.06)</f>
        <v>0.06</v>
      </c>
      <c r="H240" s="9">
        <f>IFERROR(__xludf.DUMMYFUNCTION("GOOGLEFINANCE(""ASX:ATC"", ""low52"")"),0.02)</f>
        <v>0.02</v>
      </c>
      <c r="I240" s="9">
        <f>IFERROR(__xludf.DUMMYFUNCTION("GOOGLEFINANCE(""ASX:ATC"", ""marketcap"")"),6.8943254E7)</f>
        <v>68943254</v>
      </c>
      <c r="J240" s="5"/>
      <c r="K240" s="5"/>
      <c r="L240" s="5"/>
      <c r="M240" s="5"/>
      <c r="N240" s="11" t="s">
        <v>19</v>
      </c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6" t="s">
        <v>538</v>
      </c>
      <c r="B241" s="6" t="s">
        <v>539</v>
      </c>
      <c r="C241" s="5" t="s">
        <v>36</v>
      </c>
      <c r="D241" s="7">
        <f>IFERROR(__xludf.DUMMYFUNCTION("GOOGLEFINANCE(""ASX:ATEC"", ""price"")"),25.63)</f>
        <v>25.63</v>
      </c>
      <c r="E241" s="8">
        <f>IFERROR(__xludf.DUMMYFUNCTION("GOOGLEFINANCE(""ASX:ATEC"", ""closeyest"")"),25.39)</f>
        <v>25.39</v>
      </c>
      <c r="F241" s="5" t="str">
        <f>IFERROR(__xludf.DUMMYFUNCTION("GOOGLEFINANCE(""ASX:ATEC"", ""pe"")"),"#N/A")</f>
        <v>#N/A</v>
      </c>
      <c r="G241" s="9">
        <f>IFERROR(__xludf.DUMMYFUNCTION("GOOGLEFINANCE(""ASX:ATEC"", ""high52"")"),33.42)</f>
        <v>33.42</v>
      </c>
      <c r="H241" s="9">
        <f>IFERROR(__xludf.DUMMYFUNCTION("GOOGLEFINANCE(""ASX:ATEC"", ""low52"")"),22.44)</f>
        <v>22.44</v>
      </c>
      <c r="I241" s="9" t="str">
        <f>IFERROR(__xludf.DUMMYFUNCTION("GOOGLEFINANCE(""ASX:ATEC"", ""marketcap"")"),"#N/A")</f>
        <v>#N/A</v>
      </c>
      <c r="J241" s="5"/>
      <c r="K241" s="5"/>
      <c r="L241" s="5"/>
      <c r="M241" s="5"/>
      <c r="N241" s="11" t="s">
        <v>19</v>
      </c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6" t="s">
        <v>540</v>
      </c>
      <c r="B242" s="6" t="s">
        <v>541</v>
      </c>
      <c r="C242" s="5" t="s">
        <v>70</v>
      </c>
      <c r="D242" s="7">
        <f>IFERROR(__xludf.DUMMYFUNCTION("GOOGLEFINANCE(""ASX:ATG"", ""price"")"),0.24)</f>
        <v>0.24</v>
      </c>
      <c r="E242" s="8">
        <f>IFERROR(__xludf.DUMMYFUNCTION("GOOGLEFINANCE(""ASX:ATG"", ""closeyest"")"),0.23)</f>
        <v>0.23</v>
      </c>
      <c r="F242" s="5" t="str">
        <f>IFERROR(__xludf.DUMMYFUNCTION("GOOGLEFINANCE(""ASX:ATG"", ""pe"")"),"#N/A")</f>
        <v>#N/A</v>
      </c>
      <c r="G242" s="9">
        <f>IFERROR(__xludf.DUMMYFUNCTION("GOOGLEFINANCE(""ASX:ATG"", ""high52"")"),0.35)</f>
        <v>0.35</v>
      </c>
      <c r="H242" s="9">
        <f>IFERROR(__xludf.DUMMYFUNCTION("GOOGLEFINANCE(""ASX:ATG"", ""low52"")"),0.14)</f>
        <v>0.14</v>
      </c>
      <c r="I242" s="9">
        <f>IFERROR(__xludf.DUMMYFUNCTION("GOOGLEFINANCE(""ASX:ATG"", ""marketcap"")"),7.0454446E7)</f>
        <v>70454446</v>
      </c>
      <c r="J242" s="5"/>
      <c r="K242" s="5"/>
      <c r="L242" s="5"/>
      <c r="M242" s="5"/>
      <c r="N242" s="11" t="s">
        <v>19</v>
      </c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6" t="s">
        <v>542</v>
      </c>
      <c r="B243" s="6" t="s">
        <v>543</v>
      </c>
      <c r="C243" s="5" t="s">
        <v>25</v>
      </c>
      <c r="D243" s="7">
        <f>IFERROR(__xludf.DUMMYFUNCTION("GOOGLEFINANCE(""ASX:ATH"", ""price"")"),0.01)</f>
        <v>0.01</v>
      </c>
      <c r="E243" s="8">
        <f>IFERROR(__xludf.DUMMYFUNCTION("GOOGLEFINANCE(""ASX:ATH"", ""closeyest"")"),0.01)</f>
        <v>0.01</v>
      </c>
      <c r="F243" s="5" t="str">
        <f>IFERROR(__xludf.DUMMYFUNCTION("GOOGLEFINANCE(""ASX:ATH"", ""pe"")"),"#N/A")</f>
        <v>#N/A</v>
      </c>
      <c r="G243" s="9">
        <f>IFERROR(__xludf.DUMMYFUNCTION("GOOGLEFINANCE(""ASX:ATH"", ""high52"")"),0.02)</f>
        <v>0.02</v>
      </c>
      <c r="H243" s="9">
        <f>IFERROR(__xludf.DUMMYFUNCTION("GOOGLEFINANCE(""ASX:ATH"", ""low52"")"),0.01)</f>
        <v>0.01</v>
      </c>
      <c r="I243" s="9">
        <f>IFERROR(__xludf.DUMMYFUNCTION("GOOGLEFINANCE(""ASX:ATH"", ""marketcap"")"),8.8090871E7)</f>
        <v>88090871</v>
      </c>
      <c r="J243" s="5"/>
      <c r="K243" s="5"/>
      <c r="L243" s="5"/>
      <c r="M243" s="5"/>
      <c r="N243" s="11" t="s">
        <v>19</v>
      </c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6" t="s">
        <v>544</v>
      </c>
      <c r="B244" s="6" t="s">
        <v>545</v>
      </c>
      <c r="C244" s="5" t="s">
        <v>88</v>
      </c>
      <c r="D244" s="7">
        <f>IFERROR(__xludf.DUMMYFUNCTION("GOOGLEFINANCE(""ASX:ATM"", ""price"")"),0.87)</f>
        <v>0.87</v>
      </c>
      <c r="E244" s="8">
        <f>IFERROR(__xludf.DUMMYFUNCTION("GOOGLEFINANCE(""ASX:ATM"", ""closeyest"")"),0.87)</f>
        <v>0.87</v>
      </c>
      <c r="F244" s="5" t="str">
        <f>IFERROR(__xludf.DUMMYFUNCTION("GOOGLEFINANCE(""ASX:ATM"", ""pe"")"),"#N/A")</f>
        <v>#N/A</v>
      </c>
      <c r="G244" s="9">
        <f>IFERROR(__xludf.DUMMYFUNCTION("GOOGLEFINANCE(""ASX:ATM"", ""high52"")"),1.2)</f>
        <v>1.2</v>
      </c>
      <c r="H244" s="9">
        <f>IFERROR(__xludf.DUMMYFUNCTION("GOOGLEFINANCE(""ASX:ATM"", ""low52"")"),0.8)</f>
        <v>0.8</v>
      </c>
      <c r="I244" s="9">
        <f>IFERROR(__xludf.DUMMYFUNCTION("GOOGLEFINANCE(""ASX:ATM"", ""marketcap"")"),9.17975032E13)</f>
        <v>91797503200000</v>
      </c>
      <c r="J244" s="5"/>
      <c r="K244" s="5"/>
      <c r="L244" s="5"/>
      <c r="M244" s="5"/>
      <c r="N244" s="11" t="s">
        <v>19</v>
      </c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6" t="s">
        <v>546</v>
      </c>
      <c r="B245" s="6" t="s">
        <v>547</v>
      </c>
      <c r="C245" s="5" t="s">
        <v>36</v>
      </c>
      <c r="D245" s="7">
        <f>IFERROR(__xludf.DUMMYFUNCTION("GOOGLEFINANCE(""ASX:ATOM"", ""price"")"),26.1)</f>
        <v>26.1</v>
      </c>
      <c r="E245" s="8">
        <f>IFERROR(__xludf.DUMMYFUNCTION("GOOGLEFINANCE(""ASX:ATOM"", ""closeyest"")"),26.1)</f>
        <v>26.1</v>
      </c>
      <c r="F245" s="5" t="str">
        <f>IFERROR(__xludf.DUMMYFUNCTION("GOOGLEFINANCE(""ASX:ATOM"", ""pe"")"),"#N/A")</f>
        <v>#N/A</v>
      </c>
      <c r="G245" s="9">
        <f>IFERROR(__xludf.DUMMYFUNCTION("GOOGLEFINANCE(""ASX:ATOM"", ""high52"")"),31.08)</f>
        <v>31.08</v>
      </c>
      <c r="H245" s="9">
        <f>IFERROR(__xludf.DUMMYFUNCTION("GOOGLEFINANCE(""ASX:ATOM"", ""low52"")"),11.32)</f>
        <v>11.32</v>
      </c>
      <c r="I245" s="9" t="str">
        <f>IFERROR(__xludf.DUMMYFUNCTION("GOOGLEFINANCE(""ASX:ATOM"", ""marketcap"")"),"#N/A")</f>
        <v>#N/A</v>
      </c>
      <c r="J245" s="5"/>
      <c r="K245" s="5"/>
      <c r="L245" s="5"/>
      <c r="M245" s="5"/>
      <c r="N245" s="11" t="s">
        <v>19</v>
      </c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6" t="s">
        <v>548</v>
      </c>
      <c r="B246" s="6" t="s">
        <v>549</v>
      </c>
      <c r="C246" s="5" t="s">
        <v>550</v>
      </c>
      <c r="D246" s="7">
        <f>IFERROR(__xludf.DUMMYFUNCTION("GOOGLEFINANCE(""ASX:ATP"", ""price"")"),0.19)</f>
        <v>0.19</v>
      </c>
      <c r="E246" s="8">
        <f>IFERROR(__xludf.DUMMYFUNCTION("GOOGLEFINANCE(""ASX:ATP"", ""closeyest"")"),0.2)</f>
        <v>0.2</v>
      </c>
      <c r="F246" s="9">
        <f>IFERROR(__xludf.DUMMYFUNCTION("GOOGLEFINANCE(""ASX:ATP"", ""pe"")"),3.73)</f>
        <v>3.73</v>
      </c>
      <c r="G246" s="9">
        <f>IFERROR(__xludf.DUMMYFUNCTION("GOOGLEFINANCE(""ASX:ATP"", ""high52"")"),0.23)</f>
        <v>0.23</v>
      </c>
      <c r="H246" s="9">
        <f>IFERROR(__xludf.DUMMYFUNCTION("GOOGLEFINANCE(""ASX:ATP"", ""low52"")"),0.13)</f>
        <v>0.13</v>
      </c>
      <c r="I246" s="9">
        <f>IFERROR(__xludf.DUMMYFUNCTION("GOOGLEFINANCE(""ASX:ATP"", ""marketcap"")"),8.1222863E7)</f>
        <v>81222863</v>
      </c>
      <c r="J246" s="5"/>
      <c r="K246" s="5"/>
      <c r="L246" s="5"/>
      <c r="M246" s="5"/>
      <c r="N246" s="10">
        <v>4.03</v>
      </c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6" t="s">
        <v>551</v>
      </c>
      <c r="B247" s="6" t="s">
        <v>552</v>
      </c>
      <c r="C247" s="5" t="s">
        <v>18</v>
      </c>
      <c r="D247" s="7">
        <f>IFERROR(__xludf.DUMMYFUNCTION("GOOGLEFINANCE(""ASX:ATR"", ""price"")"),0.74)</f>
        <v>0.74</v>
      </c>
      <c r="E247" s="8">
        <f>IFERROR(__xludf.DUMMYFUNCTION("GOOGLEFINANCE(""ASX:ATR"", ""closeyest"")"),0.7)</f>
        <v>0.7</v>
      </c>
      <c r="F247" s="9">
        <f>IFERROR(__xludf.DUMMYFUNCTION("GOOGLEFINANCE(""ASX:ATR"", ""pe"")"),7.35)</f>
        <v>7.35</v>
      </c>
      <c r="G247" s="9">
        <f>IFERROR(__xludf.DUMMYFUNCTION("GOOGLEFINANCE(""ASX:ATR"", ""high52"")"),1.34)</f>
        <v>1.34</v>
      </c>
      <c r="H247" s="9">
        <f>IFERROR(__xludf.DUMMYFUNCTION("GOOGLEFINANCE(""ASX:ATR"", ""low52"")"),0.39)</f>
        <v>0.39</v>
      </c>
      <c r="I247" s="9">
        <f>IFERROR(__xludf.DUMMYFUNCTION("GOOGLEFINANCE(""ASX:ATR"", ""marketcap"")"),3.07873865E8)</f>
        <v>307873865</v>
      </c>
      <c r="J247" s="9">
        <v>20.64</v>
      </c>
      <c r="K247" s="9">
        <v>20.64</v>
      </c>
      <c r="L247" s="9">
        <v>20.89</v>
      </c>
      <c r="M247" s="9">
        <v>18.0</v>
      </c>
      <c r="N247" s="10">
        <v>6.9</v>
      </c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6" t="s">
        <v>553</v>
      </c>
      <c r="B248" s="6" t="s">
        <v>554</v>
      </c>
      <c r="C248" s="5" t="s">
        <v>78</v>
      </c>
      <c r="D248" s="7">
        <f>IFERROR(__xludf.DUMMYFUNCTION("GOOGLEFINANCE(""ASX:ATS"", ""price"")"),0.02)</f>
        <v>0.02</v>
      </c>
      <c r="E248" s="8">
        <f>IFERROR(__xludf.DUMMYFUNCTION("GOOGLEFINANCE(""ASX:ATS"", ""closeyest"")"),0.02)</f>
        <v>0.02</v>
      </c>
      <c r="F248" s="5" t="str">
        <f>IFERROR(__xludf.DUMMYFUNCTION("GOOGLEFINANCE(""ASX:ATS"", ""pe"")"),"#N/A")</f>
        <v>#N/A</v>
      </c>
      <c r="G248" s="9">
        <f>IFERROR(__xludf.DUMMYFUNCTION("GOOGLEFINANCE(""ASX:ATS"", ""high52"")"),0.03)</f>
        <v>0.03</v>
      </c>
      <c r="H248" s="9">
        <f>IFERROR(__xludf.DUMMYFUNCTION("GOOGLEFINANCE(""ASX:ATS"", ""low52"")"),0.01)</f>
        <v>0.01</v>
      </c>
      <c r="I248" s="9">
        <f>IFERROR(__xludf.DUMMYFUNCTION("GOOGLEFINANCE(""ASX:ATS"", ""marketcap"")"),1.6005168E7)</f>
        <v>16005168</v>
      </c>
      <c r="J248" s="5"/>
      <c r="K248" s="5"/>
      <c r="L248" s="5"/>
      <c r="M248" s="5"/>
      <c r="N248" s="11" t="s">
        <v>19</v>
      </c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6" t="s">
        <v>555</v>
      </c>
      <c r="B249" s="6" t="s">
        <v>556</v>
      </c>
      <c r="C249" s="5" t="s">
        <v>18</v>
      </c>
      <c r="D249" s="7">
        <f>IFERROR(__xludf.DUMMYFUNCTION("GOOGLEFINANCE(""ASX:ATT"", ""price"")"),0.03)</f>
        <v>0.03</v>
      </c>
      <c r="E249" s="8">
        <f>IFERROR(__xludf.DUMMYFUNCTION("GOOGLEFINANCE(""ASX:ATT"", ""closeyest"")"),0.02)</f>
        <v>0.02</v>
      </c>
      <c r="F249" s="5" t="str">
        <f>IFERROR(__xludf.DUMMYFUNCTION("GOOGLEFINANCE(""ASX:ATT"", ""pe"")"),"#N/A")</f>
        <v>#N/A</v>
      </c>
      <c r="G249" s="9">
        <f>IFERROR(__xludf.DUMMYFUNCTION("GOOGLEFINANCE(""ASX:ATT"", ""high52"")"),0.05)</f>
        <v>0.05</v>
      </c>
      <c r="H249" s="9">
        <f>IFERROR(__xludf.DUMMYFUNCTION("GOOGLEFINANCE(""ASX:ATT"", ""low52"")"),0.02)</f>
        <v>0.02</v>
      </c>
      <c r="I249" s="9">
        <f>IFERROR(__xludf.DUMMYFUNCTION("GOOGLEFINANCE(""ASX:ATT"", ""marketcap"")"),7812157.0)</f>
        <v>7812157</v>
      </c>
      <c r="J249" s="9">
        <v>19.08</v>
      </c>
      <c r="K249" s="9">
        <v>19.08</v>
      </c>
      <c r="L249" s="9">
        <v>21.77</v>
      </c>
      <c r="M249" s="9">
        <v>18.02</v>
      </c>
      <c r="N249" s="11" t="s">
        <v>19</v>
      </c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6" t="s">
        <v>557</v>
      </c>
      <c r="B250" s="6" t="s">
        <v>558</v>
      </c>
      <c r="C250" s="5" t="s">
        <v>184</v>
      </c>
      <c r="D250" s="7">
        <f>IFERROR(__xludf.DUMMYFUNCTION("GOOGLEFINANCE(""ASX:ATV"", ""price"")"),0.02)</f>
        <v>0.02</v>
      </c>
      <c r="E250" s="8">
        <f>IFERROR(__xludf.DUMMYFUNCTION("GOOGLEFINANCE(""ASX:ATV"", ""closeyest"")"),0.02)</f>
        <v>0.02</v>
      </c>
      <c r="F250" s="5" t="str">
        <f>IFERROR(__xludf.DUMMYFUNCTION("GOOGLEFINANCE(""ASX:ATV"", ""pe"")"),"#N/A")</f>
        <v>#N/A</v>
      </c>
      <c r="G250" s="9">
        <f>IFERROR(__xludf.DUMMYFUNCTION("GOOGLEFINANCE(""ASX:ATV"", ""high52"")"),0.04)</f>
        <v>0.04</v>
      </c>
      <c r="H250" s="9">
        <f>IFERROR(__xludf.DUMMYFUNCTION("GOOGLEFINANCE(""ASX:ATV"", ""low52"")"),0.01)</f>
        <v>0.01</v>
      </c>
      <c r="I250" s="9">
        <f>IFERROR(__xludf.DUMMYFUNCTION("GOOGLEFINANCE(""ASX:ATV"", ""marketcap"")"),2.0844045E7)</f>
        <v>20844045</v>
      </c>
      <c r="J250" s="5"/>
      <c r="K250" s="5"/>
      <c r="L250" s="5"/>
      <c r="M250" s="5"/>
      <c r="N250" s="11" t="s">
        <v>19</v>
      </c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6" t="s">
        <v>559</v>
      </c>
      <c r="B251" s="6" t="s">
        <v>560</v>
      </c>
      <c r="C251" s="5" t="s">
        <v>25</v>
      </c>
      <c r="D251" s="7">
        <f>IFERROR(__xludf.DUMMYFUNCTION("GOOGLEFINANCE(""ASX:ATX"", ""price"")"),0.17)</f>
        <v>0.17</v>
      </c>
      <c r="E251" s="8">
        <f>IFERROR(__xludf.DUMMYFUNCTION("GOOGLEFINANCE(""ASX:ATX"", ""closeyest"")"),0.16)</f>
        <v>0.16</v>
      </c>
      <c r="F251" s="5" t="str">
        <f>IFERROR(__xludf.DUMMYFUNCTION("GOOGLEFINANCE(""ASX:ATX"", ""pe"")"),"#N/A")</f>
        <v>#N/A</v>
      </c>
      <c r="G251" s="9">
        <f>IFERROR(__xludf.DUMMYFUNCTION("GOOGLEFINANCE(""ASX:ATX"", ""high52"")"),0.43)</f>
        <v>0.43</v>
      </c>
      <c r="H251" s="9">
        <f>IFERROR(__xludf.DUMMYFUNCTION("GOOGLEFINANCE(""ASX:ATX"", ""low52"")"),0.05)</f>
        <v>0.05</v>
      </c>
      <c r="I251" s="9">
        <f>IFERROR(__xludf.DUMMYFUNCTION("GOOGLEFINANCE(""ASX:ATX"", ""marketcap"")"),8.7222172E7)</f>
        <v>87222172</v>
      </c>
      <c r="J251" s="9">
        <v>22.3</v>
      </c>
      <c r="K251" s="9">
        <v>22.4</v>
      </c>
      <c r="L251" s="9">
        <v>35.18</v>
      </c>
      <c r="M251" s="9">
        <v>20.1</v>
      </c>
      <c r="N251" s="11" t="s">
        <v>19</v>
      </c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6" t="s">
        <v>561</v>
      </c>
      <c r="B252" s="6" t="s">
        <v>562</v>
      </c>
      <c r="C252" s="5" t="s">
        <v>179</v>
      </c>
      <c r="D252" s="7">
        <f>IFERROR(__xludf.DUMMYFUNCTION("GOOGLEFINANCE(""ASX:AU1"", ""price"")"),0.03)</f>
        <v>0.03</v>
      </c>
      <c r="E252" s="8">
        <f>IFERROR(__xludf.DUMMYFUNCTION("GOOGLEFINANCE(""ASX:AU1"", ""closeyest"")"),0.03)</f>
        <v>0.03</v>
      </c>
      <c r="F252" s="5" t="str">
        <f>IFERROR(__xludf.DUMMYFUNCTION("GOOGLEFINANCE(""ASX:AU1"", ""pe"")"),"#N/A")</f>
        <v>#N/A</v>
      </c>
      <c r="G252" s="9">
        <f>IFERROR(__xludf.DUMMYFUNCTION("GOOGLEFINANCE(""ASX:AU1"", ""high52"")"),0.03)</f>
        <v>0.03</v>
      </c>
      <c r="H252" s="9">
        <f>IFERROR(__xludf.DUMMYFUNCTION("GOOGLEFINANCE(""ASX:AU1"", ""low52"")"),0.02)</f>
        <v>0.02</v>
      </c>
      <c r="I252" s="9">
        <f>IFERROR(__xludf.DUMMYFUNCTION("GOOGLEFINANCE(""ASX:AU1"", ""marketcap"")"),1.3451046E7)</f>
        <v>13451046</v>
      </c>
      <c r="J252" s="9">
        <v>28.1</v>
      </c>
      <c r="K252" s="9">
        <v>27.98</v>
      </c>
      <c r="L252" s="9">
        <v>29.7</v>
      </c>
      <c r="M252" s="9">
        <v>2.77</v>
      </c>
      <c r="N252" s="11" t="s">
        <v>19</v>
      </c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6" t="s">
        <v>563</v>
      </c>
      <c r="B253" s="6" t="s">
        <v>564</v>
      </c>
      <c r="C253" s="5" t="s">
        <v>386</v>
      </c>
      <c r="D253" s="7">
        <f>IFERROR(__xludf.DUMMYFUNCTION("GOOGLEFINANCE(""ASX:AUA"", ""price"")"),0.06)</f>
        <v>0.06</v>
      </c>
      <c r="E253" s="8">
        <f>IFERROR(__xludf.DUMMYFUNCTION("GOOGLEFINANCE(""ASX:AUA"", ""closeyest"")"),0.06)</f>
        <v>0.06</v>
      </c>
      <c r="F253" s="5" t="str">
        <f>IFERROR(__xludf.DUMMYFUNCTION("GOOGLEFINANCE(""ASX:AUA"", ""pe"")"),"#N/A")</f>
        <v>#N/A</v>
      </c>
      <c r="G253" s="9">
        <f>IFERROR(__xludf.DUMMYFUNCTION("GOOGLEFINANCE(""ASX:AUA"", ""high52"")"),0.09)</f>
        <v>0.09</v>
      </c>
      <c r="H253" s="9">
        <f>IFERROR(__xludf.DUMMYFUNCTION("GOOGLEFINANCE(""ASX:AUA"", ""low52"")"),0.02)</f>
        <v>0.02</v>
      </c>
      <c r="I253" s="9">
        <f>IFERROR(__xludf.DUMMYFUNCTION("GOOGLEFINANCE(""ASX:AUA"", ""marketcap"")"),1.049415E7)</f>
        <v>10494150</v>
      </c>
      <c r="J253" s="5"/>
      <c r="K253" s="5"/>
      <c r="L253" s="5"/>
      <c r="M253" s="5"/>
      <c r="N253" s="11" t="s">
        <v>19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6" t="s">
        <v>565</v>
      </c>
      <c r="B254" s="6" t="s">
        <v>566</v>
      </c>
      <c r="C254" s="5" t="s">
        <v>567</v>
      </c>
      <c r="D254" s="7">
        <f>IFERROR(__xludf.DUMMYFUNCTION("GOOGLEFINANCE(""ASX:AUB"", ""price"")"),30.63)</f>
        <v>30.63</v>
      </c>
      <c r="E254" s="8">
        <f>IFERROR(__xludf.DUMMYFUNCTION("GOOGLEFINANCE(""ASX:AUB"", ""closeyest"")"),30.0)</f>
        <v>30</v>
      </c>
      <c r="F254" s="9">
        <f>IFERROR(__xludf.DUMMYFUNCTION("GOOGLEFINANCE(""ASX:AUB"", ""pe"")"),19.99)</f>
        <v>19.99</v>
      </c>
      <c r="G254" s="9">
        <f>IFERROR(__xludf.DUMMYFUNCTION("GOOGLEFINANCE(""ASX:AUB"", ""high52"")"),40.28)</f>
        <v>40.28</v>
      </c>
      <c r="H254" s="9">
        <f>IFERROR(__xludf.DUMMYFUNCTION("GOOGLEFINANCE(""ASX:AUB"", ""low52"")"),27.21)</f>
        <v>27.21</v>
      </c>
      <c r="I254" s="9">
        <f>IFERROR(__xludf.DUMMYFUNCTION("GOOGLEFINANCE(""ASX:AUB"", ""marketcap"")"),3.571071964E9)</f>
        <v>3571071964</v>
      </c>
      <c r="J254" s="5"/>
      <c r="K254" s="5"/>
      <c r="L254" s="5"/>
      <c r="M254" s="5"/>
      <c r="N254" s="10">
        <v>19.95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6" t="s">
        <v>568</v>
      </c>
      <c r="B255" s="6" t="s">
        <v>569</v>
      </c>
      <c r="C255" s="5" t="s">
        <v>88</v>
      </c>
      <c r="D255" s="7">
        <f>IFERROR(__xludf.DUMMYFUNCTION("GOOGLEFINANCE(""ASX:AUC"", ""price"")"),1.09)</f>
        <v>1.09</v>
      </c>
      <c r="E255" s="8">
        <f>IFERROR(__xludf.DUMMYFUNCTION("GOOGLEFINANCE(""ASX:AUC"", ""closeyest"")"),1.12)</f>
        <v>1.12</v>
      </c>
      <c r="F255" s="5" t="str">
        <f>IFERROR(__xludf.DUMMYFUNCTION("GOOGLEFINANCE(""ASX:AUC"", ""pe"")"),"#N/A")</f>
        <v>#N/A</v>
      </c>
      <c r="G255" s="9">
        <f>IFERROR(__xludf.DUMMYFUNCTION("GOOGLEFINANCE(""ASX:AUC"", ""high52"")"),1.32)</f>
        <v>1.32</v>
      </c>
      <c r="H255" s="9">
        <f>IFERROR(__xludf.DUMMYFUNCTION("GOOGLEFINANCE(""ASX:AUC"", ""low52"")"),0.4)</f>
        <v>0.4</v>
      </c>
      <c r="I255" s="9">
        <f>IFERROR(__xludf.DUMMYFUNCTION("GOOGLEFINANCE(""ASX:AUC"", ""marketcap"")"),5.49453567E8)</f>
        <v>549453567</v>
      </c>
      <c r="J255" s="5"/>
      <c r="K255" s="5"/>
      <c r="L255" s="5"/>
      <c r="M255" s="5"/>
      <c r="N255" s="11" t="s">
        <v>19</v>
      </c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6" t="s">
        <v>570</v>
      </c>
      <c r="B256" s="6" t="s">
        <v>571</v>
      </c>
      <c r="C256" s="5" t="s">
        <v>36</v>
      </c>
      <c r="D256" s="7" t="str">
        <f>IFERROR(__xludf.DUMMYFUNCTION("GOOGLEFINANCE(""ASX:AUDS"", ""price"")"),"#N/A")</f>
        <v>#N/A</v>
      </c>
      <c r="E256" s="8" t="str">
        <f>IFERROR(__xludf.DUMMYFUNCTION("GOOGLEFINANCE(""ASX:AUDS"", ""closeyest"")"),"#N/A")</f>
        <v>#N/A</v>
      </c>
      <c r="F256" s="5" t="str">
        <f>IFERROR(__xludf.DUMMYFUNCTION("GOOGLEFINANCE(""ASX:AUDS"", ""pe"")"),"#N/A")</f>
        <v>#N/A</v>
      </c>
      <c r="G256" s="5" t="str">
        <f>IFERROR(__xludf.DUMMYFUNCTION("GOOGLEFINANCE(""ASX:AUDS"", ""high52"")"),"#N/A")</f>
        <v>#N/A</v>
      </c>
      <c r="H256" s="5" t="str">
        <f>IFERROR(__xludf.DUMMYFUNCTION("GOOGLEFINANCE(""ASX:AUDS"", ""low52"")"),"#N/A")</f>
        <v>#N/A</v>
      </c>
      <c r="I256" s="9" t="str">
        <f>IFERROR(__xludf.DUMMYFUNCTION("GOOGLEFINANCE(""ASX:AUDS"", ""marketcap"")"),"#N/A")</f>
        <v>#N/A</v>
      </c>
      <c r="J256" s="12">
        <v>6.36</v>
      </c>
      <c r="K256" s="12">
        <v>6.28</v>
      </c>
      <c r="L256" s="12">
        <v>6.45</v>
      </c>
      <c r="M256" s="12">
        <v>4.69</v>
      </c>
      <c r="N256" s="11" t="s">
        <v>19</v>
      </c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6" t="s">
        <v>572</v>
      </c>
      <c r="B257" s="6" t="s">
        <v>573</v>
      </c>
      <c r="C257" s="5" t="s">
        <v>88</v>
      </c>
      <c r="D257" s="7">
        <f>IFERROR(__xludf.DUMMYFUNCTION("GOOGLEFINANCE(""ASX:AUE"", ""price"")"),0.69)</f>
        <v>0.69</v>
      </c>
      <c r="E257" s="8">
        <f>IFERROR(__xludf.DUMMYFUNCTION("GOOGLEFINANCE(""ASX:AUE"", ""closeyest"")"),0.69)</f>
        <v>0.69</v>
      </c>
      <c r="F257" s="5" t="str">
        <f>IFERROR(__xludf.DUMMYFUNCTION("GOOGLEFINANCE(""ASX:AUE"", ""pe"")"),"#N/A")</f>
        <v>#N/A</v>
      </c>
      <c r="G257" s="9">
        <f>IFERROR(__xludf.DUMMYFUNCTION("GOOGLEFINANCE(""ASX:AUE"", ""high52"")"),0.77)</f>
        <v>0.77</v>
      </c>
      <c r="H257" s="9">
        <f>IFERROR(__xludf.DUMMYFUNCTION("GOOGLEFINANCE(""ASX:AUE"", ""low52"")"),0.25)</f>
        <v>0.25</v>
      </c>
      <c r="I257" s="9">
        <f>IFERROR(__xludf.DUMMYFUNCTION("GOOGLEFINANCE(""ASX:AUE"", ""marketcap"")"),2.38708397E8)</f>
        <v>238708397</v>
      </c>
      <c r="J257" s="5"/>
      <c r="K257" s="5"/>
      <c r="L257" s="5"/>
      <c r="M257" s="5"/>
      <c r="N257" s="11" t="s">
        <v>19</v>
      </c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6" t="s">
        <v>574</v>
      </c>
      <c r="B258" s="6" t="s">
        <v>575</v>
      </c>
      <c r="C258" s="5" t="s">
        <v>18</v>
      </c>
      <c r="D258" s="7">
        <f>IFERROR(__xludf.DUMMYFUNCTION("GOOGLEFINANCE(""ASX:AUG"", ""price"")"),0.04)</f>
        <v>0.04</v>
      </c>
      <c r="E258" s="8">
        <f>IFERROR(__xludf.DUMMYFUNCTION("GOOGLEFINANCE(""ASX:AUG"", ""closeyest"")"),0.04)</f>
        <v>0.04</v>
      </c>
      <c r="F258" s="5" t="str">
        <f>IFERROR(__xludf.DUMMYFUNCTION("GOOGLEFINANCE(""ASX:AUG"", ""pe"")"),"#N/A")</f>
        <v>#N/A</v>
      </c>
      <c r="G258" s="9">
        <f>IFERROR(__xludf.DUMMYFUNCTION("GOOGLEFINANCE(""ASX:AUG"", ""high52"")"),0.06)</f>
        <v>0.06</v>
      </c>
      <c r="H258" s="9">
        <f>IFERROR(__xludf.DUMMYFUNCTION("GOOGLEFINANCE(""ASX:AUG"", ""low52"")"),0.02)</f>
        <v>0.02</v>
      </c>
      <c r="I258" s="9">
        <f>IFERROR(__xludf.DUMMYFUNCTION("GOOGLEFINANCE(""ASX:AUG"", ""marketcap"")"),9533810.0)</f>
        <v>9533810</v>
      </c>
      <c r="J258" s="5"/>
      <c r="K258" s="5"/>
      <c r="L258" s="5"/>
      <c r="M258" s="5"/>
      <c r="N258" s="11" t="s">
        <v>19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6" t="s">
        <v>576</v>
      </c>
      <c r="B259" s="6" t="s">
        <v>577</v>
      </c>
      <c r="C259" s="5" t="s">
        <v>171</v>
      </c>
      <c r="D259" s="7">
        <f>IFERROR(__xludf.DUMMYFUNCTION("GOOGLEFINANCE(""ASX:AUI"", ""price"")"),11.23)</f>
        <v>11.23</v>
      </c>
      <c r="E259" s="8">
        <f>IFERROR(__xludf.DUMMYFUNCTION("GOOGLEFINANCE(""ASX:AUI"", ""closeyest"")"),11.3)</f>
        <v>11.3</v>
      </c>
      <c r="F259" s="9">
        <f>IFERROR(__xludf.DUMMYFUNCTION("GOOGLEFINANCE(""ASX:AUI"", ""pe"")"),27.94)</f>
        <v>27.94</v>
      </c>
      <c r="G259" s="9">
        <f>IFERROR(__xludf.DUMMYFUNCTION("GOOGLEFINANCE(""ASX:AUI"", ""high52"")"),11.76)</f>
        <v>11.76</v>
      </c>
      <c r="H259" s="9">
        <f>IFERROR(__xludf.DUMMYFUNCTION("GOOGLEFINANCE(""ASX:AUI"", ""low52"")"),9.67)</f>
        <v>9.67</v>
      </c>
      <c r="I259" s="9">
        <f>IFERROR(__xludf.DUMMYFUNCTION("GOOGLEFINANCE(""ASX:AUI"", ""marketcap"")"),1.389796668E9)</f>
        <v>1389796668</v>
      </c>
      <c r="J259" s="5"/>
      <c r="K259" s="5"/>
      <c r="L259" s="5"/>
      <c r="M259" s="5"/>
      <c r="N259" s="10">
        <v>28.16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6" t="s">
        <v>578</v>
      </c>
      <c r="B260" s="6" t="s">
        <v>579</v>
      </c>
      <c r="C260" s="5" t="s">
        <v>580</v>
      </c>
      <c r="D260" s="7">
        <f>IFERROR(__xludf.DUMMYFUNCTION("GOOGLEFINANCE(""ASX:AUK"", ""price"")"),0.0)</f>
        <v>0</v>
      </c>
      <c r="E260" s="8">
        <f>IFERROR(__xludf.DUMMYFUNCTION("GOOGLEFINANCE(""ASX:AUK"", ""closeyest"")"),0.0)</f>
        <v>0</v>
      </c>
      <c r="F260" s="5" t="str">
        <f>IFERROR(__xludf.DUMMYFUNCTION("GOOGLEFINANCE(""ASX:AUK"", ""pe"")"),"#N/A")</f>
        <v>#N/A</v>
      </c>
      <c r="G260" s="9">
        <f>IFERROR(__xludf.DUMMYFUNCTION("GOOGLEFINANCE(""ASX:AUK"", ""high52"")"),0.01)</f>
        <v>0.01</v>
      </c>
      <c r="H260" s="9">
        <f>IFERROR(__xludf.DUMMYFUNCTION("GOOGLEFINANCE(""ASX:AUK"", ""low52"")"),0.0)</f>
        <v>0</v>
      </c>
      <c r="I260" s="9">
        <f>IFERROR(__xludf.DUMMYFUNCTION("GOOGLEFINANCE(""ASX:AUK"", ""marketcap"")"),1.154358E7)</f>
        <v>11543580</v>
      </c>
      <c r="J260" s="12">
        <v>0.003</v>
      </c>
      <c r="K260" s="12">
        <v>0.003</v>
      </c>
      <c r="L260" s="12">
        <v>0.006</v>
      </c>
      <c r="M260" s="12">
        <v>0.002</v>
      </c>
      <c r="N260" s="11" t="s">
        <v>19</v>
      </c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6" t="s">
        <v>581</v>
      </c>
      <c r="B261" s="6" t="s">
        <v>582</v>
      </c>
      <c r="C261" s="5" t="s">
        <v>36</v>
      </c>
      <c r="D261" s="7">
        <f>IFERROR(__xludf.DUMMYFUNCTION("GOOGLEFINANCE(""ASX:AUMF"", ""price"")"),39.12)</f>
        <v>39.12</v>
      </c>
      <c r="E261" s="8">
        <f>IFERROR(__xludf.DUMMYFUNCTION("GOOGLEFINANCE(""ASX:AUMF"", ""closeyest"")"),39.55)</f>
        <v>39.55</v>
      </c>
      <c r="F261" s="5" t="str">
        <f>IFERROR(__xludf.DUMMYFUNCTION("GOOGLEFINANCE(""ASX:AUMF"", ""pe"")"),"#N/A")</f>
        <v>#N/A</v>
      </c>
      <c r="G261" s="9">
        <f>IFERROR(__xludf.DUMMYFUNCTION("GOOGLEFINANCE(""ASX:AUMF"", ""high52"")"),41.01)</f>
        <v>41.01</v>
      </c>
      <c r="H261" s="9">
        <f>IFERROR(__xludf.DUMMYFUNCTION("GOOGLEFINANCE(""ASX:AUMF"", ""low52"")"),31.72)</f>
        <v>31.72</v>
      </c>
      <c r="I261" s="9" t="str">
        <f>IFERROR(__xludf.DUMMYFUNCTION("GOOGLEFINANCE(""ASX:AUMF"", ""marketcap"")"),"#N/A")</f>
        <v>#N/A</v>
      </c>
      <c r="J261" s="5"/>
      <c r="K261" s="5"/>
      <c r="L261" s="5"/>
      <c r="M261" s="5"/>
      <c r="N261" s="11" t="s">
        <v>19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6" t="s">
        <v>583</v>
      </c>
      <c r="B262" s="6" t="s">
        <v>584</v>
      </c>
      <c r="C262" s="5" t="s">
        <v>18</v>
      </c>
      <c r="D262" s="7">
        <f>IFERROR(__xludf.DUMMYFUNCTION("GOOGLEFINANCE(""ASX:AUQ"", ""price"")"),0.04)</f>
        <v>0.04</v>
      </c>
      <c r="E262" s="8">
        <f>IFERROR(__xludf.DUMMYFUNCTION("GOOGLEFINANCE(""ASX:AUQ"", ""closeyest"")"),0.04)</f>
        <v>0.04</v>
      </c>
      <c r="F262" s="5" t="str">
        <f>IFERROR(__xludf.DUMMYFUNCTION("GOOGLEFINANCE(""ASX:AUQ"", ""pe"")"),"#N/A")</f>
        <v>#N/A</v>
      </c>
      <c r="G262" s="9">
        <f>IFERROR(__xludf.DUMMYFUNCTION("GOOGLEFINANCE(""ASX:AUQ"", ""high52"")"),0.05)</f>
        <v>0.05</v>
      </c>
      <c r="H262" s="9">
        <f>IFERROR(__xludf.DUMMYFUNCTION("GOOGLEFINANCE(""ASX:AUQ"", ""low52"")"),0.02)</f>
        <v>0.02</v>
      </c>
      <c r="I262" s="9">
        <f>IFERROR(__xludf.DUMMYFUNCTION("GOOGLEFINANCE(""ASX:AUQ"", ""marketcap"")"),3.2765974E7)</f>
        <v>32765974</v>
      </c>
      <c r="J262" s="9">
        <v>0.086</v>
      </c>
      <c r="K262" s="5"/>
      <c r="L262" s="5"/>
      <c r="M262" s="5"/>
      <c r="N262" s="11" t="s">
        <v>19</v>
      </c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6" t="s">
        <v>585</v>
      </c>
      <c r="B263" s="6" t="s">
        <v>586</v>
      </c>
      <c r="C263" s="5" t="s">
        <v>18</v>
      </c>
      <c r="D263" s="7">
        <f>IFERROR(__xludf.DUMMYFUNCTION("GOOGLEFINANCE(""ASX:AUR"", ""price"")"),0.04)</f>
        <v>0.04</v>
      </c>
      <c r="E263" s="8">
        <f>IFERROR(__xludf.DUMMYFUNCTION("GOOGLEFINANCE(""ASX:AUR"", ""closeyest"")"),0.03)</f>
        <v>0.03</v>
      </c>
      <c r="F263" s="5" t="str">
        <f>IFERROR(__xludf.DUMMYFUNCTION("GOOGLEFINANCE(""ASX:AUR"", ""pe"")"),"#N/A")</f>
        <v>#N/A</v>
      </c>
      <c r="G263" s="9">
        <f>IFERROR(__xludf.DUMMYFUNCTION("GOOGLEFINANCE(""ASX:AUR"", ""high52"")"),0.04)</f>
        <v>0.04</v>
      </c>
      <c r="H263" s="9">
        <f>IFERROR(__xludf.DUMMYFUNCTION("GOOGLEFINANCE(""ASX:AUR"", ""low52"")"),0.0)</f>
        <v>0</v>
      </c>
      <c r="I263" s="9">
        <f>IFERROR(__xludf.DUMMYFUNCTION("GOOGLEFINANCE(""ASX:AUR"", ""marketcap"")"),4.052869E7)</f>
        <v>40528690</v>
      </c>
      <c r="J263" s="5"/>
      <c r="K263" s="5"/>
      <c r="L263" s="5"/>
      <c r="M263" s="5"/>
      <c r="N263" s="11" t="s">
        <v>19</v>
      </c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6" t="s">
        <v>587</v>
      </c>
      <c r="B264" s="6" t="s">
        <v>588</v>
      </c>
      <c r="C264" s="5" t="s">
        <v>36</v>
      </c>
      <c r="D264" s="7" t="str">
        <f>IFERROR(__xludf.DUMMYFUNCTION("GOOGLEFINANCE(""ASX:AUST"", ""price"")"),"#N/A")</f>
        <v>#N/A</v>
      </c>
      <c r="E264" s="8" t="str">
        <f>IFERROR(__xludf.DUMMYFUNCTION("GOOGLEFINANCE(""ASX:AUST"", ""closeyest"")"),"#N/A")</f>
        <v>#N/A</v>
      </c>
      <c r="F264" s="5" t="str">
        <f>IFERROR(__xludf.DUMMYFUNCTION("GOOGLEFINANCE(""ASX:AUST"", ""pe"")"),"#N/A")</f>
        <v>#N/A</v>
      </c>
      <c r="G264" s="5" t="str">
        <f>IFERROR(__xludf.DUMMYFUNCTION("GOOGLEFINANCE(""ASX:AUST"", ""high52"")"),"#N/A")</f>
        <v>#N/A</v>
      </c>
      <c r="H264" s="5" t="str">
        <f>IFERROR(__xludf.DUMMYFUNCTION("GOOGLEFINANCE(""ASX:AUST"", ""low52"")"),"#N/A")</f>
        <v>#N/A</v>
      </c>
      <c r="I264" s="9" t="str">
        <f>IFERROR(__xludf.DUMMYFUNCTION("GOOGLEFINANCE(""ASX:AUST"", ""marketcap"")"),"#N/A")</f>
        <v>#N/A</v>
      </c>
      <c r="J264" s="12">
        <v>17.64</v>
      </c>
      <c r="K264" s="12">
        <v>17.64</v>
      </c>
      <c r="L264" s="12">
        <v>18.71</v>
      </c>
      <c r="M264" s="12">
        <v>15.71</v>
      </c>
      <c r="N264" s="11" t="s">
        <v>19</v>
      </c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6" t="s">
        <v>589</v>
      </c>
      <c r="B265" s="6" t="s">
        <v>590</v>
      </c>
      <c r="C265" s="5" t="s">
        <v>18</v>
      </c>
      <c r="D265" s="7">
        <f>IFERROR(__xludf.DUMMYFUNCTION("GOOGLEFINANCE(""ASX:AUV"", ""price"")"),0.01)</f>
        <v>0.01</v>
      </c>
      <c r="E265" s="8">
        <f>IFERROR(__xludf.DUMMYFUNCTION("GOOGLEFINANCE(""ASX:AUV"", ""closeyest"")"),0.01)</f>
        <v>0.01</v>
      </c>
      <c r="F265" s="5" t="str">
        <f>IFERROR(__xludf.DUMMYFUNCTION("GOOGLEFINANCE(""ASX:AUV"", ""pe"")"),"#N/A")</f>
        <v>#N/A</v>
      </c>
      <c r="G265" s="9">
        <f>IFERROR(__xludf.DUMMYFUNCTION("GOOGLEFINANCE(""ASX:AUV"", ""high52"")"),0.03)</f>
        <v>0.03</v>
      </c>
      <c r="H265" s="9">
        <f>IFERROR(__xludf.DUMMYFUNCTION("GOOGLEFINANCE(""ASX:AUV"", ""low52"")"),0.01)</f>
        <v>0.01</v>
      </c>
      <c r="I265" s="9">
        <f>IFERROR(__xludf.DUMMYFUNCTION("GOOGLEFINANCE(""ASX:AUV"", ""marketcap"")"),1.1155452E7)</f>
        <v>11155452</v>
      </c>
      <c r="J265" s="5"/>
      <c r="K265" s="5"/>
      <c r="L265" s="5"/>
      <c r="M265" s="5"/>
      <c r="N265" s="11" t="s">
        <v>19</v>
      </c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6" t="s">
        <v>591</v>
      </c>
      <c r="B266" s="6" t="s">
        <v>592</v>
      </c>
      <c r="C266" s="5" t="s">
        <v>39</v>
      </c>
      <c r="D266" s="7">
        <f>IFERROR(__xludf.DUMMYFUNCTION("GOOGLEFINANCE(""ASX:AUZ"", ""price"")"),0.02)</f>
        <v>0.02</v>
      </c>
      <c r="E266" s="8">
        <f>IFERROR(__xludf.DUMMYFUNCTION("GOOGLEFINANCE(""ASX:AUZ"", ""closeyest"")"),0.02)</f>
        <v>0.02</v>
      </c>
      <c r="F266" s="5" t="str">
        <f>IFERROR(__xludf.DUMMYFUNCTION("GOOGLEFINANCE(""ASX:AUZ"", ""pe"")"),"#N/A")</f>
        <v>#N/A</v>
      </c>
      <c r="G266" s="9">
        <f>IFERROR(__xludf.DUMMYFUNCTION("GOOGLEFINANCE(""ASX:AUZ"", ""high52"")"),0.03)</f>
        <v>0.03</v>
      </c>
      <c r="H266" s="9">
        <f>IFERROR(__xludf.DUMMYFUNCTION("GOOGLEFINANCE(""ASX:AUZ"", ""low52"")"),0.01)</f>
        <v>0.01</v>
      </c>
      <c r="I266" s="9">
        <f>IFERROR(__xludf.DUMMYFUNCTION("GOOGLEFINANCE(""ASX:AUZ"", ""marketcap"")"),4.2875579E7)</f>
        <v>42875579</v>
      </c>
      <c r="J266" s="5"/>
      <c r="K266" s="5"/>
      <c r="L266" s="5"/>
      <c r="M266" s="5"/>
      <c r="N266" s="11" t="s">
        <v>19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6" t="s">
        <v>593</v>
      </c>
      <c r="B267" s="6" t="s">
        <v>594</v>
      </c>
      <c r="C267" s="5" t="s">
        <v>70</v>
      </c>
      <c r="D267" s="7">
        <f>IFERROR(__xludf.DUMMYFUNCTION("GOOGLEFINANCE(""ASX:AV1"", ""price"")"),0.14)</f>
        <v>0.14</v>
      </c>
      <c r="E267" s="8">
        <f>IFERROR(__xludf.DUMMYFUNCTION("GOOGLEFINANCE(""ASX:AV1"", ""closeyest"")"),0.14)</f>
        <v>0.14</v>
      </c>
      <c r="F267" s="5" t="str">
        <f>IFERROR(__xludf.DUMMYFUNCTION("GOOGLEFINANCE(""ASX:AV1"", ""pe"")"),"#N/A")</f>
        <v>#N/A</v>
      </c>
      <c r="G267" s="9">
        <f>IFERROR(__xludf.DUMMYFUNCTION("GOOGLEFINANCE(""ASX:AV1"", ""high52"")"),0.19)</f>
        <v>0.19</v>
      </c>
      <c r="H267" s="9">
        <f>IFERROR(__xludf.DUMMYFUNCTION("GOOGLEFINANCE(""ASX:AV1"", ""low52"")"),0.07)</f>
        <v>0.07</v>
      </c>
      <c r="I267" s="9">
        <f>IFERROR(__xludf.DUMMYFUNCTION("GOOGLEFINANCE(""ASX:AV1"", ""marketcap"")"),1.247685E8)</f>
        <v>124768500</v>
      </c>
      <c r="J267" s="5"/>
      <c r="K267" s="5"/>
      <c r="L267" s="5"/>
      <c r="M267" s="5"/>
      <c r="N267" s="11" t="s">
        <v>19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6" t="s">
        <v>595</v>
      </c>
      <c r="B268" s="6" t="s">
        <v>596</v>
      </c>
      <c r="C268" s="5" t="s">
        <v>158</v>
      </c>
      <c r="D268" s="7">
        <f>IFERROR(__xludf.DUMMYFUNCTION("GOOGLEFINANCE(""ASX:AVA"", ""price"")"),0.09)</f>
        <v>0.09</v>
      </c>
      <c r="E268" s="8">
        <f>IFERROR(__xludf.DUMMYFUNCTION("GOOGLEFINANCE(""ASX:AVA"", ""closeyest"")"),0.09)</f>
        <v>0.09</v>
      </c>
      <c r="F268" s="5" t="str">
        <f>IFERROR(__xludf.DUMMYFUNCTION("GOOGLEFINANCE(""ASX:AVA"", ""pe"")"),"#N/A")</f>
        <v>#N/A</v>
      </c>
      <c r="G268" s="9">
        <f>IFERROR(__xludf.DUMMYFUNCTION("GOOGLEFINANCE(""ASX:AVA"", ""high52"")"),0.13)</f>
        <v>0.13</v>
      </c>
      <c r="H268" s="9">
        <f>IFERROR(__xludf.DUMMYFUNCTION("GOOGLEFINANCE(""ASX:AVA"", ""low52"")"),0.05)</f>
        <v>0.05</v>
      </c>
      <c r="I268" s="9">
        <f>IFERROR(__xludf.DUMMYFUNCTION("GOOGLEFINANCE(""ASX:AVA"", ""marketcap"")"),2.4989694E7)</f>
        <v>24989694</v>
      </c>
      <c r="J268" s="5"/>
      <c r="K268" s="5"/>
      <c r="L268" s="5"/>
      <c r="M268" s="5"/>
      <c r="N268" s="11" t="s">
        <v>19</v>
      </c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6" t="s">
        <v>597</v>
      </c>
      <c r="B269" s="6" t="s">
        <v>598</v>
      </c>
      <c r="C269" s="5" t="s">
        <v>123</v>
      </c>
      <c r="D269" s="7">
        <f>IFERROR(__xludf.DUMMYFUNCTION("GOOGLEFINANCE(""ASX:AVD"", ""price"")"),0.14)</f>
        <v>0.14</v>
      </c>
      <c r="E269" s="8">
        <f>IFERROR(__xludf.DUMMYFUNCTION("GOOGLEFINANCE(""ASX:AVD"", ""closeyest"")"),0.13)</f>
        <v>0.13</v>
      </c>
      <c r="F269" s="5" t="str">
        <f>IFERROR(__xludf.DUMMYFUNCTION("GOOGLEFINANCE(""ASX:AVD"", ""pe"")"),"#N/A")</f>
        <v>#N/A</v>
      </c>
      <c r="G269" s="9">
        <f>IFERROR(__xludf.DUMMYFUNCTION("GOOGLEFINANCE(""ASX:AVD"", ""high52"")"),0.54)</f>
        <v>0.54</v>
      </c>
      <c r="H269" s="9">
        <f>IFERROR(__xludf.DUMMYFUNCTION("GOOGLEFINANCE(""ASX:AVD"", ""low52"")"),0.09)</f>
        <v>0.09</v>
      </c>
      <c r="I269" s="9">
        <f>IFERROR(__xludf.DUMMYFUNCTION("GOOGLEFINANCE(""ASX:AVD"", ""marketcap"")"),1.1466225E7)</f>
        <v>11466225</v>
      </c>
      <c r="J269" s="5"/>
      <c r="K269" s="5"/>
      <c r="L269" s="5"/>
      <c r="M269" s="5"/>
      <c r="N269" s="11" t="s">
        <v>19</v>
      </c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6" t="s">
        <v>599</v>
      </c>
      <c r="B270" s="6" t="s">
        <v>600</v>
      </c>
      <c r="C270" s="5" t="s">
        <v>174</v>
      </c>
      <c r="D270" s="7">
        <f>IFERROR(__xludf.DUMMYFUNCTION("GOOGLEFINANCE(""ASX:AVE"", ""price"")"),0.01)</f>
        <v>0.01</v>
      </c>
      <c r="E270" s="8">
        <f>IFERROR(__xludf.DUMMYFUNCTION("GOOGLEFINANCE(""ASX:AVE"", ""closeyest"")"),0.01)</f>
        <v>0.01</v>
      </c>
      <c r="F270" s="5" t="str">
        <f>IFERROR(__xludf.DUMMYFUNCTION("GOOGLEFINANCE(""ASX:AVE"", ""pe"")"),"#N/A")</f>
        <v>#N/A</v>
      </c>
      <c r="G270" s="9">
        <f>IFERROR(__xludf.DUMMYFUNCTION("GOOGLEFINANCE(""ASX:AVE"", ""high52"")"),0.01)</f>
        <v>0.01</v>
      </c>
      <c r="H270" s="9">
        <f>IFERROR(__xludf.DUMMYFUNCTION("GOOGLEFINANCE(""ASX:AVE"", ""low52"")"),0.0)</f>
        <v>0</v>
      </c>
      <c r="I270" s="9">
        <f>IFERROR(__xludf.DUMMYFUNCTION("GOOGLEFINANCE(""ASX:AVE"", ""marketcap"")"),2.9755051E7)</f>
        <v>29755051</v>
      </c>
      <c r="J270" s="5"/>
      <c r="K270" s="5"/>
      <c r="L270" s="5"/>
      <c r="M270" s="5"/>
      <c r="N270" s="11" t="s">
        <v>19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6" t="s">
        <v>601</v>
      </c>
      <c r="B271" s="6" t="s">
        <v>602</v>
      </c>
      <c r="C271" s="5" t="s">
        <v>603</v>
      </c>
      <c r="D271" s="7">
        <f>IFERROR(__xludf.DUMMYFUNCTION("GOOGLEFINANCE(""ASX:AVG"", ""price"")"),0.11)</f>
        <v>0.11</v>
      </c>
      <c r="E271" s="8">
        <f>IFERROR(__xludf.DUMMYFUNCTION("GOOGLEFINANCE(""ASX:AVG"", ""closeyest"")"),0.11)</f>
        <v>0.11</v>
      </c>
      <c r="F271" s="5" t="str">
        <f>IFERROR(__xludf.DUMMYFUNCTION("GOOGLEFINANCE(""ASX:AVG"", ""pe"")"),"#N/A")</f>
        <v>#N/A</v>
      </c>
      <c r="G271" s="9">
        <f>IFERROR(__xludf.DUMMYFUNCTION("GOOGLEFINANCE(""ASX:AVG"", ""high52"")"),0.16)</f>
        <v>0.16</v>
      </c>
      <c r="H271" s="9">
        <f>IFERROR(__xludf.DUMMYFUNCTION("GOOGLEFINANCE(""ASX:AVG"", ""low52"")"),0.07)</f>
        <v>0.07</v>
      </c>
      <c r="I271" s="9">
        <f>IFERROR(__xludf.DUMMYFUNCTION("GOOGLEFINANCE(""ASX:AVG"", ""marketcap"")"),3.3021165E7)</f>
        <v>33021165</v>
      </c>
      <c r="J271" s="5"/>
      <c r="K271" s="5"/>
      <c r="L271" s="5"/>
      <c r="M271" s="5"/>
      <c r="N271" s="11" t="s">
        <v>19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6" t="s">
        <v>604</v>
      </c>
      <c r="B272" s="6" t="s">
        <v>605</v>
      </c>
      <c r="C272" s="5" t="s">
        <v>25</v>
      </c>
      <c r="D272" s="7">
        <f>IFERROR(__xludf.DUMMYFUNCTION("GOOGLEFINANCE(""ASX:AVH"", ""price"")"),1.05)</f>
        <v>1.05</v>
      </c>
      <c r="E272" s="8">
        <f>IFERROR(__xludf.DUMMYFUNCTION("GOOGLEFINANCE(""ASX:AVH"", ""closeyest"")"),1.06)</f>
        <v>1.06</v>
      </c>
      <c r="F272" s="5" t="str">
        <f>IFERROR(__xludf.DUMMYFUNCTION("GOOGLEFINANCE(""ASX:AVH"", ""pe"")"),"#N/A")</f>
        <v>#N/A</v>
      </c>
      <c r="G272" s="9">
        <f>IFERROR(__xludf.DUMMYFUNCTION("GOOGLEFINANCE(""ASX:AVH"", ""high52"")"),4.4)</f>
        <v>4.4</v>
      </c>
      <c r="H272" s="9">
        <f>IFERROR(__xludf.DUMMYFUNCTION("GOOGLEFINANCE(""ASX:AVH"", ""low52"")"),1.0)</f>
        <v>1</v>
      </c>
      <c r="I272" s="9">
        <f>IFERROR(__xludf.DUMMYFUNCTION("GOOGLEFINANCE(""ASX:AVH"", ""marketcap"")"),1.48834641E8)</f>
        <v>148834641</v>
      </c>
      <c r="J272" s="5"/>
      <c r="K272" s="5"/>
      <c r="L272" s="5"/>
      <c r="M272" s="5"/>
      <c r="N272" s="11" t="s">
        <v>19</v>
      </c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6" t="s">
        <v>606</v>
      </c>
      <c r="B273" s="6" t="s">
        <v>607</v>
      </c>
      <c r="C273" s="5" t="s">
        <v>18</v>
      </c>
      <c r="D273" s="7">
        <f>IFERROR(__xludf.DUMMYFUNCTION("GOOGLEFINANCE(""ASX:AVL"", ""price"")"),0.28)</f>
        <v>0.28</v>
      </c>
      <c r="E273" s="8">
        <f>IFERROR(__xludf.DUMMYFUNCTION("GOOGLEFINANCE(""ASX:AVL"", ""closeyest"")"),0.25)</f>
        <v>0.25</v>
      </c>
      <c r="F273" s="5" t="str">
        <f>IFERROR(__xludf.DUMMYFUNCTION("GOOGLEFINANCE(""ASX:AVL"", ""pe"")"),"#N/A")</f>
        <v>#N/A</v>
      </c>
      <c r="G273" s="9">
        <f>IFERROR(__xludf.DUMMYFUNCTION("GOOGLEFINANCE(""ASX:AVL"", ""high52"")"),0.38)</f>
        <v>0.38</v>
      </c>
      <c r="H273" s="9">
        <f>IFERROR(__xludf.DUMMYFUNCTION("GOOGLEFINANCE(""ASX:AVL"", ""low52"")"),0.18)</f>
        <v>0.18</v>
      </c>
      <c r="I273" s="9">
        <f>IFERROR(__xludf.DUMMYFUNCTION("GOOGLEFINANCE(""ASX:AVL"", ""marketcap"")"),9.5365327E7)</f>
        <v>95365327</v>
      </c>
      <c r="J273" s="5"/>
      <c r="K273" s="5"/>
      <c r="L273" s="5"/>
      <c r="M273" s="5"/>
      <c r="N273" s="11" t="s">
        <v>19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6" t="s">
        <v>608</v>
      </c>
      <c r="B274" s="6" t="s">
        <v>609</v>
      </c>
      <c r="C274" s="5" t="s">
        <v>39</v>
      </c>
      <c r="D274" s="7">
        <f>IFERROR(__xludf.DUMMYFUNCTION("GOOGLEFINANCE(""ASX:AVM"", ""price"")"),0.14)</f>
        <v>0.14</v>
      </c>
      <c r="E274" s="8">
        <f>IFERROR(__xludf.DUMMYFUNCTION("GOOGLEFINANCE(""ASX:AVM"", ""closeyest"")"),0.14)</f>
        <v>0.14</v>
      </c>
      <c r="F274" s="5" t="str">
        <f>IFERROR(__xludf.DUMMYFUNCTION("GOOGLEFINANCE(""ASX:AVM"", ""pe"")"),"#N/A")</f>
        <v>#N/A</v>
      </c>
      <c r="G274" s="9">
        <f>IFERROR(__xludf.DUMMYFUNCTION("GOOGLEFINANCE(""ASX:AVM"", ""high52"")"),0.18)</f>
        <v>0.18</v>
      </c>
      <c r="H274" s="9">
        <f>IFERROR(__xludf.DUMMYFUNCTION("GOOGLEFINANCE(""ASX:AVM"", ""low52"")"),0.03)</f>
        <v>0.03</v>
      </c>
      <c r="I274" s="9">
        <f>IFERROR(__xludf.DUMMYFUNCTION("GOOGLEFINANCE(""ASX:AVM"", ""marketcap"")"),6.5714627E7)</f>
        <v>65714627</v>
      </c>
      <c r="J274" s="5"/>
      <c r="K274" s="5"/>
      <c r="L274" s="5"/>
      <c r="M274" s="5"/>
      <c r="N274" s="11" t="s">
        <v>19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6" t="s">
        <v>610</v>
      </c>
      <c r="B275" s="6" t="s">
        <v>611</v>
      </c>
      <c r="C275" s="5" t="s">
        <v>276</v>
      </c>
      <c r="D275" s="7">
        <f>IFERROR(__xludf.DUMMYFUNCTION("GOOGLEFINANCE(""ASX:AVR"", ""price"")"),7.24)</f>
        <v>7.24</v>
      </c>
      <c r="E275" s="8">
        <f>IFERROR(__xludf.DUMMYFUNCTION("GOOGLEFINANCE(""ASX:AVR"", ""closeyest"")"),7.19)</f>
        <v>7.19</v>
      </c>
      <c r="F275" s="5" t="str">
        <f>IFERROR(__xludf.DUMMYFUNCTION("GOOGLEFINANCE(""ASX:AVR"", ""pe"")"),"#N/A")</f>
        <v>#N/A</v>
      </c>
      <c r="G275" s="9">
        <f>IFERROR(__xludf.DUMMYFUNCTION("GOOGLEFINANCE(""ASX:AVR"", ""high52"")"),13.36)</f>
        <v>13.36</v>
      </c>
      <c r="H275" s="9">
        <f>IFERROR(__xludf.DUMMYFUNCTION("GOOGLEFINANCE(""ASX:AVR"", ""low52"")"),4.26)</f>
        <v>4.26</v>
      </c>
      <c r="I275" s="9">
        <f>IFERROR(__xludf.DUMMYFUNCTION("GOOGLEFINANCE(""ASX:AVR"", ""marketcap"")"),2.92343661E8)</f>
        <v>292343661</v>
      </c>
      <c r="J275" s="5"/>
      <c r="K275" s="5"/>
      <c r="L275" s="5"/>
      <c r="M275" s="5"/>
      <c r="N275" s="11" t="s">
        <v>19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6" t="s">
        <v>612</v>
      </c>
      <c r="B276" s="6" t="s">
        <v>613</v>
      </c>
      <c r="C276" s="5" t="s">
        <v>18</v>
      </c>
      <c r="D276" s="7">
        <f>IFERROR(__xludf.DUMMYFUNCTION("GOOGLEFINANCE(""ASX:AVW"", ""price"")"),0.01)</f>
        <v>0.01</v>
      </c>
      <c r="E276" s="8">
        <f>IFERROR(__xludf.DUMMYFUNCTION("GOOGLEFINANCE(""ASX:AVW"", ""closeyest"")"),0.01)</f>
        <v>0.01</v>
      </c>
      <c r="F276" s="5" t="str">
        <f>IFERROR(__xludf.DUMMYFUNCTION("GOOGLEFINANCE(""ASX:AVW"", ""pe"")"),"#N/A")</f>
        <v>#N/A</v>
      </c>
      <c r="G276" s="9">
        <f>IFERROR(__xludf.DUMMYFUNCTION("GOOGLEFINANCE(""ASX:AVW"", ""high52"")"),0.02)</f>
        <v>0.02</v>
      </c>
      <c r="H276" s="9">
        <f>IFERROR(__xludf.DUMMYFUNCTION("GOOGLEFINANCE(""ASX:AVW"", ""low52"")"),0.01)</f>
        <v>0.01</v>
      </c>
      <c r="I276" s="9">
        <f>IFERROR(__xludf.DUMMYFUNCTION("GOOGLEFINANCE(""ASX:AVW"", ""marketcap"")"),6352499.0)</f>
        <v>6352499</v>
      </c>
      <c r="J276" s="5"/>
      <c r="K276" s="5"/>
      <c r="L276" s="5"/>
      <c r="M276" s="5"/>
      <c r="N276" s="11" t="s">
        <v>19</v>
      </c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6" t="s">
        <v>614</v>
      </c>
      <c r="B277" s="6" t="s">
        <v>615</v>
      </c>
      <c r="C277" s="5" t="s">
        <v>18</v>
      </c>
      <c r="D277" s="7">
        <f>IFERROR(__xludf.DUMMYFUNCTION("GOOGLEFINANCE(""ASX:AW1"", ""price"")"),0.06)</f>
        <v>0.06</v>
      </c>
      <c r="E277" s="8">
        <f>IFERROR(__xludf.DUMMYFUNCTION("GOOGLEFINANCE(""ASX:AW1"", ""closeyest"")"),0.06)</f>
        <v>0.06</v>
      </c>
      <c r="F277" s="5" t="str">
        <f>IFERROR(__xludf.DUMMYFUNCTION("GOOGLEFINANCE(""ASX:AW1"", ""pe"")"),"#N/A")</f>
        <v>#N/A</v>
      </c>
      <c r="G277" s="9">
        <f>IFERROR(__xludf.DUMMYFUNCTION("GOOGLEFINANCE(""ASX:AW1"", ""high52"")"),0.1)</f>
        <v>0.1</v>
      </c>
      <c r="H277" s="9">
        <f>IFERROR(__xludf.DUMMYFUNCTION("GOOGLEFINANCE(""ASX:AW1"", ""low52"")"),0.03)</f>
        <v>0.03</v>
      </c>
      <c r="I277" s="9">
        <f>IFERROR(__xludf.DUMMYFUNCTION("GOOGLEFINANCE(""ASX:AW1"", ""marketcap"")"),6.5135068E7)</f>
        <v>65135068</v>
      </c>
      <c r="J277" s="5"/>
      <c r="K277" s="5"/>
      <c r="L277" s="5"/>
      <c r="M277" s="5"/>
      <c r="N277" s="11" t="s">
        <v>19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6" t="s">
        <v>616</v>
      </c>
      <c r="B278" s="6" t="s">
        <v>617</v>
      </c>
      <c r="C278" s="5" t="s">
        <v>88</v>
      </c>
      <c r="D278" s="7">
        <f>IFERROR(__xludf.DUMMYFUNCTION("GOOGLEFINANCE(""ASX:AWJ"", ""price"")"),0.28)</f>
        <v>0.28</v>
      </c>
      <c r="E278" s="8">
        <f>IFERROR(__xludf.DUMMYFUNCTION("GOOGLEFINANCE(""ASX:AWJ"", ""closeyest"")"),0.3)</f>
        <v>0.3</v>
      </c>
      <c r="F278" s="9">
        <f>IFERROR(__xludf.DUMMYFUNCTION("GOOGLEFINANCE(""ASX:AWJ"", ""pe"")"),18.28)</f>
        <v>18.28</v>
      </c>
      <c r="G278" s="9">
        <f>IFERROR(__xludf.DUMMYFUNCTION("GOOGLEFINANCE(""ASX:AWJ"", ""high52"")"),0.35)</f>
        <v>0.35</v>
      </c>
      <c r="H278" s="9">
        <f>IFERROR(__xludf.DUMMYFUNCTION("GOOGLEFINANCE(""ASX:AWJ"", ""low52"")"),0.14)</f>
        <v>0.14</v>
      </c>
      <c r="I278" s="9">
        <f>IFERROR(__xludf.DUMMYFUNCTION("GOOGLEFINANCE(""ASX:AWJ"", ""marketcap"")"),5.2432959E7)</f>
        <v>52432959</v>
      </c>
      <c r="J278" s="5"/>
      <c r="K278" s="5"/>
      <c r="L278" s="5"/>
      <c r="M278" s="5"/>
      <c r="N278" s="10">
        <v>17.96</v>
      </c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6" t="s">
        <v>618</v>
      </c>
      <c r="B279" s="6" t="s">
        <v>619</v>
      </c>
      <c r="C279" s="5" t="s">
        <v>620</v>
      </c>
      <c r="D279" s="7">
        <f>IFERROR(__xludf.DUMMYFUNCTION("GOOGLEFINANCE(""ASX:AX1"", ""price"")"),0.94)</f>
        <v>0.94</v>
      </c>
      <c r="E279" s="8">
        <f>IFERROR(__xludf.DUMMYFUNCTION("GOOGLEFINANCE(""ASX:AX1"", ""closeyest"")"),0.92)</f>
        <v>0.92</v>
      </c>
      <c r="F279" s="9">
        <f>IFERROR(__xludf.DUMMYFUNCTION("GOOGLEFINANCE(""ASX:AX1"", ""pe"")"),9.29)</f>
        <v>9.29</v>
      </c>
      <c r="G279" s="9">
        <f>IFERROR(__xludf.DUMMYFUNCTION("GOOGLEFINANCE(""ASX:AX1"", ""high52"")"),2.46)</f>
        <v>2.46</v>
      </c>
      <c r="H279" s="9">
        <f>IFERROR(__xludf.DUMMYFUNCTION("GOOGLEFINANCE(""ASX:AX1"", ""low52"")"),0.89)</f>
        <v>0.89</v>
      </c>
      <c r="I279" s="9">
        <f>IFERROR(__xludf.DUMMYFUNCTION("GOOGLEFINANCE(""ASX:AX1"", ""marketcap"")"),5.6210853E8)</f>
        <v>562108530</v>
      </c>
      <c r="J279" s="5"/>
      <c r="K279" s="5"/>
      <c r="L279" s="5"/>
      <c r="M279" s="5"/>
      <c r="N279" s="10">
        <v>9.34</v>
      </c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6" t="s">
        <v>621</v>
      </c>
      <c r="B280" s="6" t="s">
        <v>622</v>
      </c>
      <c r="C280" s="5" t="s">
        <v>18</v>
      </c>
      <c r="D280" s="7">
        <f>IFERROR(__xludf.DUMMYFUNCTION("GOOGLEFINANCE(""ASX:AX8"", ""price"")"),0.01)</f>
        <v>0.01</v>
      </c>
      <c r="E280" s="8">
        <f>IFERROR(__xludf.DUMMYFUNCTION("GOOGLEFINANCE(""ASX:AX8"", ""closeyest"")"),0.01)</f>
        <v>0.01</v>
      </c>
      <c r="F280" s="9">
        <f>IFERROR(__xludf.DUMMYFUNCTION("GOOGLEFINANCE(""ASX:AX8"", ""pe"")"),16.22)</f>
        <v>16.22</v>
      </c>
      <c r="G280" s="9">
        <f>IFERROR(__xludf.DUMMYFUNCTION("GOOGLEFINANCE(""ASX:AX8"", ""high52"")"),0.01)</f>
        <v>0.01</v>
      </c>
      <c r="H280" s="9">
        <f>IFERROR(__xludf.DUMMYFUNCTION("GOOGLEFINANCE(""ASX:AX8"", ""low52"")"),0.01)</f>
        <v>0.01</v>
      </c>
      <c r="I280" s="9">
        <f>IFERROR(__xludf.DUMMYFUNCTION("GOOGLEFINANCE(""ASX:AX8"", ""marketcap"")"),4234392.0)</f>
        <v>4234392</v>
      </c>
      <c r="J280" s="5"/>
      <c r="K280" s="5"/>
      <c r="L280" s="5"/>
      <c r="M280" s="5"/>
      <c r="N280" s="10">
        <v>18.92</v>
      </c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6" t="s">
        <v>623</v>
      </c>
      <c r="B281" s="6" t="s">
        <v>624</v>
      </c>
      <c r="C281" s="5" t="s">
        <v>330</v>
      </c>
      <c r="D281" s="7">
        <f>IFERROR(__xludf.DUMMYFUNCTION("GOOGLEFINANCE(""ASX:AXE"", ""price"")"),0.41)</f>
        <v>0.41</v>
      </c>
      <c r="E281" s="8">
        <f>IFERROR(__xludf.DUMMYFUNCTION("GOOGLEFINANCE(""ASX:AXE"", ""closeyest"")"),0.39)</f>
        <v>0.39</v>
      </c>
      <c r="F281" s="5" t="str">
        <f>IFERROR(__xludf.DUMMYFUNCTION("GOOGLEFINANCE(""ASX:AXE"", ""pe"")"),"#N/A")</f>
        <v>#N/A</v>
      </c>
      <c r="G281" s="9">
        <f>IFERROR(__xludf.DUMMYFUNCTION("GOOGLEFINANCE(""ASX:AXE"", ""high52"")"),0.51)</f>
        <v>0.51</v>
      </c>
      <c r="H281" s="9">
        <f>IFERROR(__xludf.DUMMYFUNCTION("GOOGLEFINANCE(""ASX:AXE"", ""low52"")"),0.22)</f>
        <v>0.22</v>
      </c>
      <c r="I281" s="9">
        <f>IFERROR(__xludf.DUMMYFUNCTION("GOOGLEFINANCE(""ASX:AXE"", ""marketcap"")"),1.03213035E8)</f>
        <v>103213035</v>
      </c>
      <c r="J281" s="5"/>
      <c r="K281" s="5"/>
      <c r="L281" s="5"/>
      <c r="M281" s="5"/>
      <c r="N281" s="11" t="s">
        <v>19</v>
      </c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6" t="s">
        <v>625</v>
      </c>
      <c r="B282" s="6" t="s">
        <v>626</v>
      </c>
      <c r="C282" s="5" t="s">
        <v>143</v>
      </c>
      <c r="D282" s="7">
        <f>IFERROR(__xludf.DUMMYFUNCTION("GOOGLEFINANCE(""ASX:AXI"", ""price"")"),0.01)</f>
        <v>0.01</v>
      </c>
      <c r="E282" s="8">
        <f>IFERROR(__xludf.DUMMYFUNCTION("GOOGLEFINANCE(""ASX:AXI"", ""closeyest"")"),0.01)</f>
        <v>0.01</v>
      </c>
      <c r="F282" s="5" t="str">
        <f>IFERROR(__xludf.DUMMYFUNCTION("GOOGLEFINANCE(""ASX:AXI"", ""pe"")"),"#N/A")</f>
        <v>#N/A</v>
      </c>
      <c r="G282" s="9">
        <f>IFERROR(__xludf.DUMMYFUNCTION("GOOGLEFINANCE(""ASX:AXI"", ""high52"")"),0.06)</f>
        <v>0.06</v>
      </c>
      <c r="H282" s="9">
        <f>IFERROR(__xludf.DUMMYFUNCTION("GOOGLEFINANCE(""ASX:AXI"", ""low52"")"),0.01)</f>
        <v>0.01</v>
      </c>
      <c r="I282" s="9">
        <f>IFERROR(__xludf.DUMMYFUNCTION("GOOGLEFINANCE(""ASX:AXI"", ""marketcap"")"),8183968.0)</f>
        <v>8183968</v>
      </c>
      <c r="J282" s="5"/>
      <c r="K282" s="5"/>
      <c r="L282" s="5"/>
      <c r="M282" s="5"/>
      <c r="N282" s="11" t="s">
        <v>19</v>
      </c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6" t="s">
        <v>627</v>
      </c>
      <c r="B283" s="6" t="s">
        <v>628</v>
      </c>
      <c r="C283" s="5" t="s">
        <v>450</v>
      </c>
      <c r="D283" s="7">
        <f>IFERROR(__xludf.DUMMYFUNCTION("GOOGLEFINANCE(""ASX:AXL"", ""price"")"),0.09)</f>
        <v>0.09</v>
      </c>
      <c r="E283" s="8">
        <f>IFERROR(__xludf.DUMMYFUNCTION("GOOGLEFINANCE(""ASX:AXL"", ""closeyest"")"),0.1)</f>
        <v>0.1</v>
      </c>
      <c r="F283" s="5" t="str">
        <f>IFERROR(__xludf.DUMMYFUNCTION("GOOGLEFINANCE(""ASX:AXL"", ""pe"")"),"#N/A")</f>
        <v>#N/A</v>
      </c>
      <c r="G283" s="9">
        <f>IFERROR(__xludf.DUMMYFUNCTION("GOOGLEFINANCE(""ASX:AXL"", ""high52"")"),0.14)</f>
        <v>0.14</v>
      </c>
      <c r="H283" s="9">
        <f>IFERROR(__xludf.DUMMYFUNCTION("GOOGLEFINANCE(""ASX:AXL"", ""low52"")"),0.05)</f>
        <v>0.05</v>
      </c>
      <c r="I283" s="9">
        <f>IFERROR(__xludf.DUMMYFUNCTION("GOOGLEFINANCE(""ASX:AXL"", ""marketcap"")"),9161230.0)</f>
        <v>9161230</v>
      </c>
      <c r="J283" s="5"/>
      <c r="K283" s="5"/>
      <c r="L283" s="5"/>
      <c r="M283" s="5"/>
      <c r="N283" s="11" t="s">
        <v>19</v>
      </c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6" t="s">
        <v>629</v>
      </c>
      <c r="B284" s="6" t="s">
        <v>630</v>
      </c>
      <c r="C284" s="5" t="s">
        <v>39</v>
      </c>
      <c r="D284" s="7">
        <f>IFERROR(__xludf.DUMMYFUNCTION("GOOGLEFINANCE(""ASX:AXN"", ""price"")"),0.05)</f>
        <v>0.05</v>
      </c>
      <c r="E284" s="8">
        <f>IFERROR(__xludf.DUMMYFUNCTION("GOOGLEFINANCE(""ASX:AXN"", ""closeyest"")"),0.05)</f>
        <v>0.05</v>
      </c>
      <c r="F284" s="5" t="str">
        <f>IFERROR(__xludf.DUMMYFUNCTION("GOOGLEFINANCE(""ASX:AXN"", ""pe"")"),"#N/A")</f>
        <v>#N/A</v>
      </c>
      <c r="G284" s="9">
        <f>IFERROR(__xludf.DUMMYFUNCTION("GOOGLEFINANCE(""ASX:AXN"", ""high52"")"),0.06)</f>
        <v>0.06</v>
      </c>
      <c r="H284" s="9">
        <f>IFERROR(__xludf.DUMMYFUNCTION("GOOGLEFINANCE(""ASX:AXN"", ""low52"")"),0.03)</f>
        <v>0.03</v>
      </c>
      <c r="I284" s="9">
        <f>IFERROR(__xludf.DUMMYFUNCTION("GOOGLEFINANCE(""ASX:AXN"", ""marketcap"")"),3.0829577E7)</f>
        <v>30829577</v>
      </c>
      <c r="J284" s="5"/>
      <c r="K284" s="5"/>
      <c r="L284" s="5"/>
      <c r="M284" s="5"/>
      <c r="N284" s="11" t="s">
        <v>19</v>
      </c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6" t="s">
        <v>631</v>
      </c>
      <c r="B285" s="6" t="s">
        <v>632</v>
      </c>
      <c r="C285" s="5" t="s">
        <v>78</v>
      </c>
      <c r="D285" s="7">
        <f>IFERROR(__xludf.DUMMYFUNCTION("GOOGLEFINANCE(""ASX:AXP"", ""price"")"),0.01)</f>
        <v>0.01</v>
      </c>
      <c r="E285" s="8">
        <f>IFERROR(__xludf.DUMMYFUNCTION("GOOGLEFINANCE(""ASX:AXP"", ""closeyest"")"),0.01)</f>
        <v>0.01</v>
      </c>
      <c r="F285" s="5" t="str">
        <f>IFERROR(__xludf.DUMMYFUNCTION("GOOGLEFINANCE(""ASX:AXP"", ""pe"")"),"#N/A")</f>
        <v>#N/A</v>
      </c>
      <c r="G285" s="9">
        <f>IFERROR(__xludf.DUMMYFUNCTION("GOOGLEFINANCE(""ASX:AXP"", ""high52"")"),0.05)</f>
        <v>0.05</v>
      </c>
      <c r="H285" s="9">
        <f>IFERROR(__xludf.DUMMYFUNCTION("GOOGLEFINANCE(""ASX:AXP"", ""low52"")"),0.01)</f>
        <v>0.01</v>
      </c>
      <c r="I285" s="9">
        <f>IFERROR(__xludf.DUMMYFUNCTION("GOOGLEFINANCE(""ASX:AXP"", ""marketcap"")"),3946824.0)</f>
        <v>3946824</v>
      </c>
      <c r="J285" s="5"/>
      <c r="K285" s="5"/>
      <c r="L285" s="5"/>
      <c r="M285" s="5"/>
      <c r="N285" s="11" t="s">
        <v>19</v>
      </c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6" t="s">
        <v>633</v>
      </c>
      <c r="B286" s="6" t="s">
        <v>634</v>
      </c>
      <c r="C286" s="5" t="s">
        <v>164</v>
      </c>
      <c r="D286" s="7" t="str">
        <f>IFERROR(__xludf.DUMMYFUNCTION("GOOGLEFINANCE(""ASX:AYA"", ""price"")"),"#N/A")</f>
        <v>#N/A</v>
      </c>
      <c r="E286" s="8" t="str">
        <f>IFERROR(__xludf.DUMMYFUNCTION("GOOGLEFINANCE(""ASX:AYA"", ""closeyest"")"),"#N/A")</f>
        <v>#N/A</v>
      </c>
      <c r="F286" s="5" t="str">
        <f>IFERROR(__xludf.DUMMYFUNCTION("GOOGLEFINANCE(""ASX:AYA"", ""pe"")"),"#N/A")</f>
        <v>#N/A</v>
      </c>
      <c r="G286" s="5" t="str">
        <f>IFERROR(__xludf.DUMMYFUNCTION("GOOGLEFINANCE(""ASX:AYA"", ""high52"")"),"#N/A")</f>
        <v>#N/A</v>
      </c>
      <c r="H286" s="5" t="str">
        <f>IFERROR(__xludf.DUMMYFUNCTION("GOOGLEFINANCE(""ASX:AYA"", ""low52"")"),"#N/A")</f>
        <v>#N/A</v>
      </c>
      <c r="I286" s="9" t="str">
        <f>IFERROR(__xludf.DUMMYFUNCTION("GOOGLEFINANCE(""ASX:AYA"", ""marketcap"")"),"#N/A")</f>
        <v>#N/A</v>
      </c>
      <c r="J286" s="12">
        <v>4.74</v>
      </c>
      <c r="K286" s="12">
        <v>4.92</v>
      </c>
      <c r="L286" s="12">
        <v>5.24</v>
      </c>
      <c r="M286" s="12">
        <v>0.56</v>
      </c>
      <c r="N286" s="11" t="s">
        <v>19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6" t="s">
        <v>635</v>
      </c>
      <c r="B287" s="6" t="s">
        <v>636</v>
      </c>
      <c r="C287" s="5" t="s">
        <v>36</v>
      </c>
      <c r="D287" s="7">
        <f>IFERROR(__xludf.DUMMYFUNCTION("GOOGLEFINANCE(""ASX:AYLD"", ""price"")"),10.03)</f>
        <v>10.03</v>
      </c>
      <c r="E287" s="8">
        <f>IFERROR(__xludf.DUMMYFUNCTION("GOOGLEFINANCE(""ASX:AYLD"", ""closeyest"")"),10.02)</f>
        <v>10.02</v>
      </c>
      <c r="F287" s="5" t="str">
        <f>IFERROR(__xludf.DUMMYFUNCTION("GOOGLEFINANCE(""ASX:AYLD"", ""pe"")"),"#N/A")</f>
        <v>#N/A</v>
      </c>
      <c r="G287" s="9">
        <f>IFERROR(__xludf.DUMMYFUNCTION("GOOGLEFINANCE(""ASX:AYLD"", ""high52"")"),10.79)</f>
        <v>10.79</v>
      </c>
      <c r="H287" s="9">
        <f>IFERROR(__xludf.DUMMYFUNCTION("GOOGLEFINANCE(""ASX:AYLD"", ""low52"")"),9.31)</f>
        <v>9.31</v>
      </c>
      <c r="I287" s="9" t="str">
        <f>IFERROR(__xludf.DUMMYFUNCTION("GOOGLEFINANCE(""ASX:AYLD"", ""marketcap"")"),"#N/A")</f>
        <v>#N/A</v>
      </c>
      <c r="J287" s="5"/>
      <c r="K287" s="5"/>
      <c r="L287" s="5"/>
      <c r="M287" s="5"/>
      <c r="N287" s="11" t="s">
        <v>19</v>
      </c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6" t="s">
        <v>637</v>
      </c>
      <c r="B288" s="6" t="s">
        <v>638</v>
      </c>
      <c r="C288" s="5" t="s">
        <v>88</v>
      </c>
      <c r="D288" s="7">
        <f>IFERROR(__xludf.DUMMYFUNCTION("GOOGLEFINANCE(""ASX:AYM"", ""price"")"),0.0)</f>
        <v>0</v>
      </c>
      <c r="E288" s="8">
        <f>IFERROR(__xludf.DUMMYFUNCTION("GOOGLEFINANCE(""ASX:AYM"", ""closeyest"")"),0.0)</f>
        <v>0</v>
      </c>
      <c r="F288" s="9">
        <f>IFERROR(__xludf.DUMMYFUNCTION("GOOGLEFINANCE(""ASX:AYM"", ""pe"")"),7.41)</f>
        <v>7.41</v>
      </c>
      <c r="G288" s="9">
        <f>IFERROR(__xludf.DUMMYFUNCTION("GOOGLEFINANCE(""ASX:AYM"", ""high52"")"),0.01)</f>
        <v>0.01</v>
      </c>
      <c r="H288" s="9">
        <f>IFERROR(__xludf.DUMMYFUNCTION("GOOGLEFINANCE(""ASX:AYM"", ""low52"")"),0.0)</f>
        <v>0</v>
      </c>
      <c r="I288" s="9">
        <f>IFERROR(__xludf.DUMMYFUNCTION("GOOGLEFINANCE(""ASX:AYM"", ""marketcap"")"),3685156.0)</f>
        <v>3685156</v>
      </c>
      <c r="J288" s="12">
        <v>0.004</v>
      </c>
      <c r="K288" s="12">
        <v>0.004</v>
      </c>
      <c r="L288" s="12">
        <v>0.013</v>
      </c>
      <c r="M288" s="12">
        <v>0.002</v>
      </c>
      <c r="N288" s="10">
        <v>7.41</v>
      </c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6" t="s">
        <v>639</v>
      </c>
      <c r="B289" s="6" t="s">
        <v>640</v>
      </c>
      <c r="C289" s="5" t="s">
        <v>450</v>
      </c>
      <c r="D289" s="7">
        <f>IFERROR(__xludf.DUMMYFUNCTION("GOOGLEFINANCE(""ASX:AYT"", ""price"")"),0.01)</f>
        <v>0.01</v>
      </c>
      <c r="E289" s="8">
        <f>IFERROR(__xludf.DUMMYFUNCTION("GOOGLEFINANCE(""ASX:AYT"", ""closeyest"")"),0.0)</f>
        <v>0</v>
      </c>
      <c r="F289" s="5" t="str">
        <f>IFERROR(__xludf.DUMMYFUNCTION("GOOGLEFINANCE(""ASX:AYT"", ""pe"")"),"#N/A")</f>
        <v>#N/A</v>
      </c>
      <c r="G289" s="9">
        <f>IFERROR(__xludf.DUMMYFUNCTION("GOOGLEFINANCE(""ASX:AYT"", ""high52"")"),0.01)</f>
        <v>0.01</v>
      </c>
      <c r="H289" s="9">
        <f>IFERROR(__xludf.DUMMYFUNCTION("GOOGLEFINANCE(""ASX:AYT"", ""low52"")"),0.0)</f>
        <v>0</v>
      </c>
      <c r="I289" s="9">
        <f>IFERROR(__xludf.DUMMYFUNCTION("GOOGLEFINANCE(""ASX:AYT"", ""marketcap"")"),4950479.0)</f>
        <v>4950479</v>
      </c>
      <c r="J289" s="12">
        <v>0.004</v>
      </c>
      <c r="K289" s="12">
        <v>0.005</v>
      </c>
      <c r="L289" s="12">
        <v>0.007</v>
      </c>
      <c r="M289" s="12">
        <v>0.002</v>
      </c>
      <c r="N289" s="11" t="s">
        <v>19</v>
      </c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6" t="s">
        <v>641</v>
      </c>
      <c r="B290" s="6" t="s">
        <v>642</v>
      </c>
      <c r="C290" s="5" t="s">
        <v>18</v>
      </c>
      <c r="D290" s="7">
        <f>IFERROR(__xludf.DUMMYFUNCTION("GOOGLEFINANCE(""ASX:AZ9"", ""price"")"),0.03)</f>
        <v>0.03</v>
      </c>
      <c r="E290" s="8">
        <f>IFERROR(__xludf.DUMMYFUNCTION("GOOGLEFINANCE(""ASX:AZ9"", ""closeyest"")"),0.03)</f>
        <v>0.03</v>
      </c>
      <c r="F290" s="5" t="str">
        <f>IFERROR(__xludf.DUMMYFUNCTION("GOOGLEFINANCE(""ASX:AZ9"", ""pe"")"),"#N/A")</f>
        <v>#N/A</v>
      </c>
      <c r="G290" s="9">
        <f>IFERROR(__xludf.DUMMYFUNCTION("GOOGLEFINANCE(""ASX:AZ9"", ""high52"")"),0.06)</f>
        <v>0.06</v>
      </c>
      <c r="H290" s="9">
        <f>IFERROR(__xludf.DUMMYFUNCTION("GOOGLEFINANCE(""ASX:AZ9"", ""low52"")"),0.02)</f>
        <v>0.02</v>
      </c>
      <c r="I290" s="9" t="str">
        <f>IFERROR(__xludf.DUMMYFUNCTION("GOOGLEFINANCE(""ASX:AZ9"", ""marketcap"")"),"#N/A")</f>
        <v>#N/A</v>
      </c>
      <c r="J290" s="5"/>
      <c r="K290" s="5"/>
      <c r="L290" s="5"/>
      <c r="M290" s="5"/>
      <c r="N290" s="11" t="s">
        <v>19</v>
      </c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6" t="s">
        <v>643</v>
      </c>
      <c r="B291" s="6" t="s">
        <v>644</v>
      </c>
      <c r="C291" s="5" t="s">
        <v>39</v>
      </c>
      <c r="D291" s="7">
        <f>IFERROR(__xludf.DUMMYFUNCTION("GOOGLEFINANCE(""ASX:AZI"", ""price"")"),0.03)</f>
        <v>0.03</v>
      </c>
      <c r="E291" s="8">
        <f>IFERROR(__xludf.DUMMYFUNCTION("GOOGLEFINANCE(""ASX:AZI"", ""closeyest"")"),0.03)</f>
        <v>0.03</v>
      </c>
      <c r="F291" s="5" t="str">
        <f>IFERROR(__xludf.DUMMYFUNCTION("GOOGLEFINANCE(""ASX:AZI"", ""pe"")"),"#N/A")</f>
        <v>#N/A</v>
      </c>
      <c r="G291" s="9">
        <f>IFERROR(__xludf.DUMMYFUNCTION("GOOGLEFINANCE(""ASX:AZI"", ""high52"")"),0.04)</f>
        <v>0.04</v>
      </c>
      <c r="H291" s="9">
        <f>IFERROR(__xludf.DUMMYFUNCTION("GOOGLEFINANCE(""ASX:AZI"", ""low52"")"),0.02)</f>
        <v>0.02</v>
      </c>
      <c r="I291" s="9">
        <f>IFERROR(__xludf.DUMMYFUNCTION("GOOGLEFINANCE(""ASX:AZI"", ""marketcap"")"),2.0707652E7)</f>
        <v>20707652</v>
      </c>
      <c r="J291" s="5"/>
      <c r="K291" s="5"/>
      <c r="L291" s="5"/>
      <c r="M291" s="5"/>
      <c r="N291" s="11" t="s">
        <v>19</v>
      </c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6" t="s">
        <v>645</v>
      </c>
      <c r="B292" s="6" t="s">
        <v>646</v>
      </c>
      <c r="C292" s="5" t="s">
        <v>647</v>
      </c>
      <c r="D292" s="7">
        <f>IFERROR(__xludf.DUMMYFUNCTION("GOOGLEFINANCE(""ASX:AZJ"", ""price"")"),3.63)</f>
        <v>3.63</v>
      </c>
      <c r="E292" s="8">
        <f>IFERROR(__xludf.DUMMYFUNCTION("GOOGLEFINANCE(""ASX:AZJ"", ""closeyest"")"),3.63)</f>
        <v>3.63</v>
      </c>
      <c r="F292" s="9">
        <f>IFERROR(__xludf.DUMMYFUNCTION("GOOGLEFINANCE(""ASX:AZJ"", ""pe"")"),21.46)</f>
        <v>21.46</v>
      </c>
      <c r="G292" s="9">
        <f>IFERROR(__xludf.DUMMYFUNCTION("GOOGLEFINANCE(""ASX:AZJ"", ""high52"")"),3.68)</f>
        <v>3.68</v>
      </c>
      <c r="H292" s="9">
        <f>IFERROR(__xludf.DUMMYFUNCTION("GOOGLEFINANCE(""ASX:AZJ"", ""low52"")"),2.87)</f>
        <v>2.87</v>
      </c>
      <c r="I292" s="9">
        <f>IFERROR(__xludf.DUMMYFUNCTION("GOOGLEFINANCE(""ASX:AZJ"", ""marketcap"")"),6.35410829E9)</f>
        <v>6354108290</v>
      </c>
      <c r="J292" s="5"/>
      <c r="K292" s="5"/>
      <c r="L292" s="5"/>
      <c r="M292" s="5"/>
      <c r="N292" s="10">
        <v>21.28</v>
      </c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6" t="s">
        <v>648</v>
      </c>
      <c r="B293" s="6" t="s">
        <v>649</v>
      </c>
      <c r="C293" s="5" t="s">
        <v>18</v>
      </c>
      <c r="D293" s="7">
        <f>IFERROR(__xludf.DUMMYFUNCTION("GOOGLEFINANCE(""ASX:AZY"", ""price"")"),0.62)</f>
        <v>0.62</v>
      </c>
      <c r="E293" s="8">
        <f>IFERROR(__xludf.DUMMYFUNCTION("GOOGLEFINANCE(""ASX:AZY"", ""closeyest"")"),0.61)</f>
        <v>0.61</v>
      </c>
      <c r="F293" s="5" t="str">
        <f>IFERROR(__xludf.DUMMYFUNCTION("GOOGLEFINANCE(""ASX:AZY"", ""pe"")"),"#N/A")</f>
        <v>#N/A</v>
      </c>
      <c r="G293" s="9">
        <f>IFERROR(__xludf.DUMMYFUNCTION("GOOGLEFINANCE(""ASX:AZY"", ""high52"")"),0.83)</f>
        <v>0.83</v>
      </c>
      <c r="H293" s="9">
        <f>IFERROR(__xludf.DUMMYFUNCTION("GOOGLEFINANCE(""ASX:AZY"", ""low52"")"),0.27)</f>
        <v>0.27</v>
      </c>
      <c r="I293" s="9">
        <f>IFERROR(__xludf.DUMMYFUNCTION("GOOGLEFINANCE(""ASX:AZY"", ""marketcap"")"),4.07382217E8)</f>
        <v>407382217</v>
      </c>
      <c r="J293" s="5"/>
      <c r="K293" s="5"/>
      <c r="L293" s="5"/>
      <c r="M293" s="5"/>
      <c r="N293" s="11" t="s">
        <v>19</v>
      </c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6" t="s">
        <v>650</v>
      </c>
      <c r="B294" s="6" t="s">
        <v>651</v>
      </c>
      <c r="C294" s="5" t="s">
        <v>15</v>
      </c>
      <c r="D294" s="7">
        <f>IFERROR(__xludf.DUMMYFUNCTION("GOOGLEFINANCE(""ASX:B4P"", ""price"")"),2.47)</f>
        <v>2.47</v>
      </c>
      <c r="E294" s="8">
        <f>IFERROR(__xludf.DUMMYFUNCTION("GOOGLEFINANCE(""ASX:B4P"", ""closeyest"")"),2.32)</f>
        <v>2.32</v>
      </c>
      <c r="F294" s="9">
        <f>IFERROR(__xludf.DUMMYFUNCTION("GOOGLEFINANCE(""ASX:B4P"", ""pe"")"),19.16)</f>
        <v>19.16</v>
      </c>
      <c r="G294" s="9">
        <f>IFERROR(__xludf.DUMMYFUNCTION("GOOGLEFINANCE(""ASX:B4P"", ""high52"")"),2.77)</f>
        <v>2.77</v>
      </c>
      <c r="H294" s="9">
        <f>IFERROR(__xludf.DUMMYFUNCTION("GOOGLEFINANCE(""ASX:B4P"", ""low52"")"),0.9)</f>
        <v>0.9</v>
      </c>
      <c r="I294" s="9">
        <f>IFERROR(__xludf.DUMMYFUNCTION("GOOGLEFINANCE(""ASX:B4P"", ""marketcap"")"),1.22998245E8)</f>
        <v>122998245</v>
      </c>
      <c r="J294" s="5"/>
      <c r="K294" s="5"/>
      <c r="L294" s="5"/>
      <c r="M294" s="5"/>
      <c r="N294" s="10">
        <v>18.93</v>
      </c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6" t="s">
        <v>652</v>
      </c>
      <c r="B295" s="6" t="s">
        <v>653</v>
      </c>
      <c r="C295" s="5" t="s">
        <v>36</v>
      </c>
      <c r="D295" s="7">
        <f>IFERROR(__xludf.DUMMYFUNCTION("GOOGLEFINANCE(""ASX:BANK"", ""price"")"),9.98)</f>
        <v>9.98</v>
      </c>
      <c r="E295" s="8">
        <f>IFERROR(__xludf.DUMMYFUNCTION("GOOGLEFINANCE(""ASX:BANK"", ""closeyest"")"),9.97)</f>
        <v>9.97</v>
      </c>
      <c r="F295" s="5" t="str">
        <f>IFERROR(__xludf.DUMMYFUNCTION("GOOGLEFINANCE(""ASX:BANK"", ""pe"")"),"#N/A")</f>
        <v>#N/A</v>
      </c>
      <c r="G295" s="9">
        <f>IFERROR(__xludf.DUMMYFUNCTION("GOOGLEFINANCE(""ASX:BANK"", ""high52"")"),10.1)</f>
        <v>10.1</v>
      </c>
      <c r="H295" s="9">
        <f>IFERROR(__xludf.DUMMYFUNCTION("GOOGLEFINANCE(""ASX:BANK"", ""low52"")"),9.8)</f>
        <v>9.8</v>
      </c>
      <c r="I295" s="9" t="str">
        <f>IFERROR(__xludf.DUMMYFUNCTION("GOOGLEFINANCE(""ASX:BANK"", ""marketcap"")"),"#N/A")</f>
        <v>#N/A</v>
      </c>
      <c r="J295" s="5"/>
      <c r="K295" s="5"/>
      <c r="L295" s="5"/>
      <c r="M295" s="5"/>
      <c r="N295" s="11" t="s">
        <v>19</v>
      </c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6" t="s">
        <v>654</v>
      </c>
      <c r="B296" s="6" t="s">
        <v>655</v>
      </c>
      <c r="C296" s="5" t="s">
        <v>36</v>
      </c>
      <c r="D296" s="7" t="str">
        <f>IFERROR(__xludf.DUMMYFUNCTION("GOOGLEFINANCE(""ASX:BAOR"", ""price"")"),"#N/A")</f>
        <v>#N/A</v>
      </c>
      <c r="E296" s="8" t="str">
        <f>IFERROR(__xludf.DUMMYFUNCTION("GOOGLEFINANCE(""ASX:BAOR"", ""closeyest"")"),"#N/A")</f>
        <v>#N/A</v>
      </c>
      <c r="F296" s="5" t="str">
        <f>IFERROR(__xludf.DUMMYFUNCTION("GOOGLEFINANCE(""ASX:BAOR"", ""pe"")"),"#N/A")</f>
        <v>#N/A</v>
      </c>
      <c r="G296" s="5" t="str">
        <f>IFERROR(__xludf.DUMMYFUNCTION("GOOGLEFINANCE(""ASX:BAOR"", ""high52"")"),"#N/A")</f>
        <v>#N/A</v>
      </c>
      <c r="H296" s="5" t="str">
        <f>IFERROR(__xludf.DUMMYFUNCTION("GOOGLEFINANCE(""ASX:BAOR"", ""low52"")"),"#N/A")</f>
        <v>#N/A</v>
      </c>
      <c r="I296" s="9" t="str">
        <f>IFERROR(__xludf.DUMMYFUNCTION("GOOGLEFINANCE(""ASX:BAOR"", ""marketcap"")"),"#N/A")</f>
        <v>#N/A</v>
      </c>
      <c r="J296" s="12">
        <v>2.41</v>
      </c>
      <c r="K296" s="12">
        <v>2.38</v>
      </c>
      <c r="L296" s="12">
        <v>2.73</v>
      </c>
      <c r="M296" s="12">
        <v>2.34</v>
      </c>
      <c r="N296" s="11" t="s">
        <v>19</v>
      </c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6" t="s">
        <v>656</v>
      </c>
      <c r="B297" s="6" t="s">
        <v>657</v>
      </c>
      <c r="C297" s="5" t="s">
        <v>148</v>
      </c>
      <c r="D297" s="7">
        <f>IFERROR(__xludf.DUMMYFUNCTION("GOOGLEFINANCE(""ASX:BAP"", ""price"")"),2.09)</f>
        <v>2.09</v>
      </c>
      <c r="E297" s="8">
        <f>IFERROR(__xludf.DUMMYFUNCTION("GOOGLEFINANCE(""ASX:BAP"", ""closeyest"")"),2.07)</f>
        <v>2.07</v>
      </c>
      <c r="F297" s="9">
        <f>IFERROR(__xludf.DUMMYFUNCTION("GOOGLEFINANCE(""ASX:BAP"", ""pe"")"),25.45)</f>
        <v>25.45</v>
      </c>
      <c r="G297" s="9">
        <f>IFERROR(__xludf.DUMMYFUNCTION("GOOGLEFINANCE(""ASX:BAP"", ""high52"")"),5.47)</f>
        <v>5.47</v>
      </c>
      <c r="H297" s="9">
        <f>IFERROR(__xludf.DUMMYFUNCTION("GOOGLEFINANCE(""ASX:BAP"", ""low52"")"),1.67)</f>
        <v>1.67</v>
      </c>
      <c r="I297" s="9">
        <f>IFERROR(__xludf.DUMMYFUNCTION("GOOGLEFINANCE(""ASX:BAP"", ""marketcap"")"),7.09372095E8)</f>
        <v>709372095</v>
      </c>
      <c r="J297" s="5"/>
      <c r="K297" s="5"/>
      <c r="L297" s="5"/>
      <c r="M297" s="5"/>
      <c r="N297" s="10">
        <v>26.18</v>
      </c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6" t="s">
        <v>658</v>
      </c>
      <c r="B298" s="6" t="s">
        <v>659</v>
      </c>
      <c r="C298" s="5" t="s">
        <v>78</v>
      </c>
      <c r="D298" s="7">
        <f>IFERROR(__xludf.DUMMYFUNCTION("GOOGLEFINANCE(""ASX:BAS"", ""price"")"),0.05)</f>
        <v>0.05</v>
      </c>
      <c r="E298" s="8">
        <f>IFERROR(__xludf.DUMMYFUNCTION("GOOGLEFINANCE(""ASX:BAS"", ""closeyest"")"),0.05)</f>
        <v>0.05</v>
      </c>
      <c r="F298" s="5" t="str">
        <f>IFERROR(__xludf.DUMMYFUNCTION("GOOGLEFINANCE(""ASX:BAS"", ""pe"")"),"#N/A")</f>
        <v>#N/A</v>
      </c>
      <c r="G298" s="9">
        <f>IFERROR(__xludf.DUMMYFUNCTION("GOOGLEFINANCE(""ASX:BAS"", ""high52"")"),0.09)</f>
        <v>0.09</v>
      </c>
      <c r="H298" s="9">
        <f>IFERROR(__xludf.DUMMYFUNCTION("GOOGLEFINANCE(""ASX:BAS"", ""low52"")"),0.02)</f>
        <v>0.02</v>
      </c>
      <c r="I298" s="9">
        <f>IFERROR(__xludf.DUMMYFUNCTION("GOOGLEFINANCE(""ASX:BAS"", ""marketcap"")"),1.628873E7)</f>
        <v>16288730</v>
      </c>
      <c r="J298" s="5"/>
      <c r="K298" s="5"/>
      <c r="L298" s="5"/>
      <c r="M298" s="5"/>
      <c r="N298" s="11" t="s">
        <v>19</v>
      </c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6" t="s">
        <v>660</v>
      </c>
      <c r="B299" s="6" t="s">
        <v>661</v>
      </c>
      <c r="C299" s="5" t="s">
        <v>15</v>
      </c>
      <c r="D299" s="7">
        <f>IFERROR(__xludf.DUMMYFUNCTION("GOOGLEFINANCE(""ASX:BB1"", ""price"")"),0.83)</f>
        <v>0.83</v>
      </c>
      <c r="E299" s="8">
        <f>IFERROR(__xludf.DUMMYFUNCTION("GOOGLEFINANCE(""ASX:BB1"", ""closeyest"")"),0.84)</f>
        <v>0.84</v>
      </c>
      <c r="F299" s="5" t="str">
        <f>IFERROR(__xludf.DUMMYFUNCTION("GOOGLEFINANCE(""ASX:BB1"", ""pe"")"),"#N/A")</f>
        <v>#N/A</v>
      </c>
      <c r="G299" s="9">
        <f>IFERROR(__xludf.DUMMYFUNCTION("GOOGLEFINANCE(""ASX:BB1"", ""high52"")"),1.11)</f>
        <v>1.11</v>
      </c>
      <c r="H299" s="9">
        <f>IFERROR(__xludf.DUMMYFUNCTION("GOOGLEFINANCE(""ASX:BB1"", ""low52"")"),0.26)</f>
        <v>0.26</v>
      </c>
      <c r="I299" s="9">
        <f>IFERROR(__xludf.DUMMYFUNCTION("GOOGLEFINANCE(""ASX:BB1"", ""marketcap"")"),7.2600687E7)</f>
        <v>72600687</v>
      </c>
      <c r="J299" s="5"/>
      <c r="K299" s="5"/>
      <c r="L299" s="5"/>
      <c r="M299" s="5"/>
      <c r="N299" s="11" t="s">
        <v>19</v>
      </c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6" t="s">
        <v>662</v>
      </c>
      <c r="B300" s="6" t="s">
        <v>663</v>
      </c>
      <c r="C300" s="5" t="s">
        <v>36</v>
      </c>
      <c r="D300" s="7" t="str">
        <f>IFERROR(__xludf.DUMMYFUNCTION("GOOGLEFINANCE(""ASX:BBAB"", ""price"")"),"#N/A")</f>
        <v>#N/A</v>
      </c>
      <c r="E300" s="8" t="str">
        <f>IFERROR(__xludf.DUMMYFUNCTION("GOOGLEFINANCE(""ASX:BBAB"", ""closeyest"")"),"#N/A")</f>
        <v>#N/A</v>
      </c>
      <c r="F300" s="5" t="str">
        <f>IFERROR(__xludf.DUMMYFUNCTION("GOOGLEFINANCE(""ASX:BBAB"", ""pe"")"),"#N/A")</f>
        <v>#N/A</v>
      </c>
      <c r="G300" s="5" t="str">
        <f>IFERROR(__xludf.DUMMYFUNCTION("GOOGLEFINANCE(""ASX:BBAB"", ""high52"")"),"#N/A")</f>
        <v>#N/A</v>
      </c>
      <c r="H300" s="5" t="str">
        <f>IFERROR(__xludf.DUMMYFUNCTION("GOOGLEFINANCE(""ASX:BBAB"", ""low52"")"),"#N/A")</f>
        <v>#N/A</v>
      </c>
      <c r="I300" s="9" t="str">
        <f>IFERROR(__xludf.DUMMYFUNCTION("GOOGLEFINANCE(""ASX:BBAB"", ""marketcap"")"),"#N/A")</f>
        <v>#N/A</v>
      </c>
      <c r="J300" s="12">
        <v>20.7</v>
      </c>
      <c r="K300" s="12">
        <v>20.7</v>
      </c>
      <c r="L300" s="12">
        <v>20.93</v>
      </c>
      <c r="M300" s="12">
        <v>18.0</v>
      </c>
      <c r="N300" s="11" t="s">
        <v>19</v>
      </c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6" t="s">
        <v>664</v>
      </c>
      <c r="B301" s="6" t="s">
        <v>665</v>
      </c>
      <c r="C301" s="5" t="s">
        <v>413</v>
      </c>
      <c r="D301" s="7">
        <f>IFERROR(__xludf.DUMMYFUNCTION("GOOGLEFINANCE(""ASX:BBC"", ""price"")"),0.29)</f>
        <v>0.29</v>
      </c>
      <c r="E301" s="8">
        <f>IFERROR(__xludf.DUMMYFUNCTION("GOOGLEFINANCE(""ASX:BBC"", ""closeyest"")"),0.28)</f>
        <v>0.28</v>
      </c>
      <c r="F301" s="9">
        <f>IFERROR(__xludf.DUMMYFUNCTION("GOOGLEFINANCE(""ASX:BBC"", ""pe"")"),26.85)</f>
        <v>26.85</v>
      </c>
      <c r="G301" s="9">
        <f>IFERROR(__xludf.DUMMYFUNCTION("GOOGLEFINANCE(""ASX:BBC"", ""high52"")"),0.33)</f>
        <v>0.33</v>
      </c>
      <c r="H301" s="9">
        <f>IFERROR(__xludf.DUMMYFUNCTION("GOOGLEFINANCE(""ASX:BBC"", ""low52"")"),0.25)</f>
        <v>0.25</v>
      </c>
      <c r="I301" s="9">
        <f>IFERROR(__xludf.DUMMYFUNCTION("GOOGLEFINANCE(""ASX:BBC"", ""marketcap"")"),3.4446199E7)</f>
        <v>34446199</v>
      </c>
      <c r="J301" s="5"/>
      <c r="K301" s="5"/>
      <c r="L301" s="5"/>
      <c r="M301" s="5"/>
      <c r="N301" s="10">
        <v>26.85</v>
      </c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6" t="s">
        <v>666</v>
      </c>
      <c r="B302" s="6" t="s">
        <v>667</v>
      </c>
      <c r="C302" s="5" t="s">
        <v>36</v>
      </c>
      <c r="D302" s="7" t="str">
        <f>IFERROR(__xludf.DUMMYFUNCTION("GOOGLEFINANCE(""ASX:BBFD"", ""price"")"),"#N/A")</f>
        <v>#N/A</v>
      </c>
      <c r="E302" s="8" t="str">
        <f>IFERROR(__xludf.DUMMYFUNCTION("GOOGLEFINANCE(""ASX:BBFD"", ""closeyest"")"),"#N/A")</f>
        <v>#N/A</v>
      </c>
      <c r="F302" s="5" t="str">
        <f>IFERROR(__xludf.DUMMYFUNCTION("GOOGLEFINANCE(""ASX:BBFD"", ""pe"")"),"#N/A")</f>
        <v>#N/A</v>
      </c>
      <c r="G302" s="5" t="str">
        <f>IFERROR(__xludf.DUMMYFUNCTION("GOOGLEFINANCE(""ASX:BBFD"", ""high52"")"),"#N/A")</f>
        <v>#N/A</v>
      </c>
      <c r="H302" s="5" t="str">
        <f>IFERROR(__xludf.DUMMYFUNCTION("GOOGLEFINANCE(""ASX:BBFD"", ""low52"")"),"#N/A")</f>
        <v>#N/A</v>
      </c>
      <c r="I302" s="9" t="str">
        <f>IFERROR(__xludf.DUMMYFUNCTION("GOOGLEFINANCE(""ASX:BBFD"", ""marketcap"")"),"#N/A")</f>
        <v>#N/A</v>
      </c>
      <c r="J302" s="12">
        <v>19.08</v>
      </c>
      <c r="K302" s="12">
        <v>19.08</v>
      </c>
      <c r="L302" s="12">
        <v>21.77</v>
      </c>
      <c r="M302" s="12">
        <v>18.02</v>
      </c>
      <c r="N302" s="11" t="s">
        <v>19</v>
      </c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6" t="s">
        <v>668</v>
      </c>
      <c r="B303" s="6" t="s">
        <v>669</v>
      </c>
      <c r="C303" s="5" t="s">
        <v>670</v>
      </c>
      <c r="D303" s="7">
        <f>IFERROR(__xludf.DUMMYFUNCTION("GOOGLEFINANCE(""ASX:BBL"", ""price"")"),1.59)</f>
        <v>1.59</v>
      </c>
      <c r="E303" s="8">
        <f>IFERROR(__xludf.DUMMYFUNCTION("GOOGLEFINANCE(""ASX:BBL"", ""closeyest"")"),1.6)</f>
        <v>1.6</v>
      </c>
      <c r="F303" s="9">
        <f>IFERROR(__xludf.DUMMYFUNCTION("GOOGLEFINANCE(""ASX:BBL"", ""pe"")"),20.85)</f>
        <v>20.85</v>
      </c>
      <c r="G303" s="9">
        <f>IFERROR(__xludf.DUMMYFUNCTION("GOOGLEFINANCE(""ASX:BBL"", ""high52"")"),2.03)</f>
        <v>2.03</v>
      </c>
      <c r="H303" s="9">
        <f>IFERROR(__xludf.DUMMYFUNCTION("GOOGLEFINANCE(""ASX:BBL"", ""low52"")"),0.88)</f>
        <v>0.88</v>
      </c>
      <c r="I303" s="9">
        <f>IFERROR(__xludf.DUMMYFUNCTION("GOOGLEFINANCE(""ASX:BBL"", ""marketcap"")"),1.55884573E8)</f>
        <v>155884573</v>
      </c>
      <c r="J303" s="5"/>
      <c r="K303" s="5"/>
      <c r="L303" s="5"/>
      <c r="M303" s="5"/>
      <c r="N303" s="10">
        <v>19.14</v>
      </c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6" t="s">
        <v>671</v>
      </c>
      <c r="B304" s="6" t="s">
        <v>672</v>
      </c>
      <c r="C304" s="5" t="s">
        <v>399</v>
      </c>
      <c r="D304" s="7">
        <f>IFERROR(__xludf.DUMMYFUNCTION("GOOGLEFINANCE(""ASX:BBN"", ""price"")"),2.53)</f>
        <v>2.53</v>
      </c>
      <c r="E304" s="8">
        <f>IFERROR(__xludf.DUMMYFUNCTION("GOOGLEFINANCE(""ASX:BBN"", ""closeyest"")"),2.53)</f>
        <v>2.53</v>
      </c>
      <c r="F304" s="9">
        <f>IFERROR(__xludf.DUMMYFUNCTION("GOOGLEFINANCE(""ASX:BBN"", ""pe"")"),37.67)</f>
        <v>37.67</v>
      </c>
      <c r="G304" s="9">
        <f>IFERROR(__xludf.DUMMYFUNCTION("GOOGLEFINANCE(""ASX:BBN"", ""high52"")"),3.29)</f>
        <v>3.29</v>
      </c>
      <c r="H304" s="9">
        <f>IFERROR(__xludf.DUMMYFUNCTION("GOOGLEFINANCE(""ASX:BBN"", ""low52"")"),1.33)</f>
        <v>1.33</v>
      </c>
      <c r="I304" s="9">
        <f>IFERROR(__xludf.DUMMYFUNCTION("GOOGLEFINANCE(""ASX:BBN"", ""marketcap"")"),3.42563767E8)</f>
        <v>342563767</v>
      </c>
      <c r="J304" s="9">
        <v>0.024</v>
      </c>
      <c r="K304" s="9">
        <v>0.024</v>
      </c>
      <c r="L304" s="9">
        <v>0.027</v>
      </c>
      <c r="M304" s="9">
        <v>0.024</v>
      </c>
      <c r="N304" s="10">
        <v>36.63</v>
      </c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6" t="s">
        <v>673</v>
      </c>
      <c r="B305" s="6" t="s">
        <v>674</v>
      </c>
      <c r="C305" s="5" t="s">
        <v>36</v>
      </c>
      <c r="D305" s="7" t="str">
        <f>IFERROR(__xludf.DUMMYFUNCTION("GOOGLEFINANCE(""ASX:BBOZ"", ""price"")"),"#N/A")</f>
        <v>#N/A</v>
      </c>
      <c r="E305" s="8" t="str">
        <f>IFERROR(__xludf.DUMMYFUNCTION("GOOGLEFINANCE(""ASX:BBOZ"", ""closeyest"")"),"#N/A")</f>
        <v>#N/A</v>
      </c>
      <c r="F305" s="5" t="str">
        <f>IFERROR(__xludf.DUMMYFUNCTION("GOOGLEFINANCE(""ASX:BBOZ"", ""pe"")"),"#N/A")</f>
        <v>#N/A</v>
      </c>
      <c r="G305" s="5" t="str">
        <f>IFERROR(__xludf.DUMMYFUNCTION("GOOGLEFINANCE(""ASX:BBOZ"", ""high52"")"),"#N/A")</f>
        <v>#N/A</v>
      </c>
      <c r="H305" s="5" t="str">
        <f>IFERROR(__xludf.DUMMYFUNCTION("GOOGLEFINANCE(""ASX:BBOZ"", ""low52"")"),"#N/A")</f>
        <v>#N/A</v>
      </c>
      <c r="I305" s="9" t="str">
        <f>IFERROR(__xludf.DUMMYFUNCTION("GOOGLEFINANCE(""ASX:BBOZ"", ""marketcap"")"),"#N/A")</f>
        <v>#N/A</v>
      </c>
      <c r="J305" s="12">
        <v>22.56</v>
      </c>
      <c r="K305" s="12">
        <v>22.59</v>
      </c>
      <c r="L305" s="12">
        <v>35.18</v>
      </c>
      <c r="M305" s="12">
        <v>20.1</v>
      </c>
      <c r="N305" s="11" t="s">
        <v>19</v>
      </c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6" t="s">
        <v>675</v>
      </c>
      <c r="B306" s="6" t="s">
        <v>676</v>
      </c>
      <c r="C306" s="5" t="s">
        <v>15</v>
      </c>
      <c r="D306" s="7">
        <f>IFERROR(__xludf.DUMMYFUNCTION("GOOGLEFINANCE(""ASX:BBT"", ""price"")"),0.21)</f>
        <v>0.21</v>
      </c>
      <c r="E306" s="8">
        <f>IFERROR(__xludf.DUMMYFUNCTION("GOOGLEFINANCE(""ASX:BBT"", ""closeyest"")"),0.2)</f>
        <v>0.2</v>
      </c>
      <c r="F306" s="5" t="str">
        <f>IFERROR(__xludf.DUMMYFUNCTION("GOOGLEFINANCE(""ASX:BBT"", ""pe"")"),"#N/A")</f>
        <v>#N/A</v>
      </c>
      <c r="G306" s="9">
        <f>IFERROR(__xludf.DUMMYFUNCTION("GOOGLEFINANCE(""ASX:BBT"", ""high52"")"),0.4)</f>
        <v>0.4</v>
      </c>
      <c r="H306" s="9">
        <f>IFERROR(__xludf.DUMMYFUNCTION("GOOGLEFINANCE(""ASX:BBT"", ""low52"")"),0.19)</f>
        <v>0.19</v>
      </c>
      <c r="I306" s="9">
        <f>IFERROR(__xludf.DUMMYFUNCTION("GOOGLEFINANCE(""ASX:BBT"", ""marketcap"")"),2.08655353E8)</f>
        <v>208655353</v>
      </c>
      <c r="J306" s="5"/>
      <c r="K306" s="5"/>
      <c r="L306" s="5"/>
      <c r="M306" s="5"/>
      <c r="N306" s="11" t="s">
        <v>19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6" t="s">
        <v>677</v>
      </c>
      <c r="B307" s="6" t="s">
        <v>678</v>
      </c>
      <c r="C307" s="5" t="s">
        <v>36</v>
      </c>
      <c r="D307" s="7" t="str">
        <f>IFERROR(__xludf.DUMMYFUNCTION("GOOGLEFINANCE(""ASX:BBUS"", ""price"")"),"#N/A")</f>
        <v>#N/A</v>
      </c>
      <c r="E307" s="8" t="str">
        <f>IFERROR(__xludf.DUMMYFUNCTION("GOOGLEFINANCE(""ASX:BBUS"", ""closeyest"")"),"#N/A")</f>
        <v>#N/A</v>
      </c>
      <c r="F307" s="5" t="str">
        <f>IFERROR(__xludf.DUMMYFUNCTION("GOOGLEFINANCE(""ASX:BBUS"", ""pe"")"),"#N/A")</f>
        <v>#N/A</v>
      </c>
      <c r="G307" s="5" t="str">
        <f>IFERROR(__xludf.DUMMYFUNCTION("GOOGLEFINANCE(""ASX:BBUS"", ""high52"")"),"#N/A")</f>
        <v>#N/A</v>
      </c>
      <c r="H307" s="5" t="str">
        <f>IFERROR(__xludf.DUMMYFUNCTION("GOOGLEFINANCE(""ASX:BBUS"", ""low52"")"),"#N/A")</f>
        <v>#N/A</v>
      </c>
      <c r="I307" s="9" t="str">
        <f>IFERROR(__xludf.DUMMYFUNCTION("GOOGLEFINANCE(""ASX:BBUS"", ""marketcap"")"),"#N/A")</f>
        <v>#N/A</v>
      </c>
      <c r="J307" s="12">
        <v>27.46</v>
      </c>
      <c r="K307" s="12">
        <v>27.8</v>
      </c>
      <c r="L307" s="12">
        <v>29.7</v>
      </c>
      <c r="M307" s="12">
        <v>2.77</v>
      </c>
      <c r="N307" s="11" t="s">
        <v>19</v>
      </c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6" t="s">
        <v>679</v>
      </c>
      <c r="B308" s="6" t="s">
        <v>680</v>
      </c>
      <c r="C308" s="5" t="s">
        <v>88</v>
      </c>
      <c r="D308" s="7">
        <f>IFERROR(__xludf.DUMMYFUNCTION("GOOGLEFINANCE(""ASX:BC8"", ""price"")"),1.36)</f>
        <v>1.36</v>
      </c>
      <c r="E308" s="8">
        <f>IFERROR(__xludf.DUMMYFUNCTION("GOOGLEFINANCE(""ASX:BC8"", ""closeyest"")"),1.35)</f>
        <v>1.35</v>
      </c>
      <c r="F308" s="5" t="str">
        <f>IFERROR(__xludf.DUMMYFUNCTION("GOOGLEFINANCE(""ASX:BC8"", ""pe"")"),"#N/A")</f>
        <v>#N/A</v>
      </c>
      <c r="G308" s="9">
        <f>IFERROR(__xludf.DUMMYFUNCTION("GOOGLEFINANCE(""ASX:BC8"", ""high52"")"),1.5)</f>
        <v>1.5</v>
      </c>
      <c r="H308" s="9">
        <f>IFERROR(__xludf.DUMMYFUNCTION("GOOGLEFINANCE(""ASX:BC8"", ""low52"")"),0.57)</f>
        <v>0.57</v>
      </c>
      <c r="I308" s="9">
        <f>IFERROR(__xludf.DUMMYFUNCTION("GOOGLEFINANCE(""ASX:BC8"", ""marketcap"")"),9.85106829E8)</f>
        <v>985106829</v>
      </c>
      <c r="J308" s="5"/>
      <c r="K308" s="5"/>
      <c r="L308" s="5"/>
      <c r="M308" s="5"/>
      <c r="N308" s="11" t="s">
        <v>19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6" t="s">
        <v>681</v>
      </c>
      <c r="B309" s="6" t="s">
        <v>682</v>
      </c>
      <c r="C309" s="5" t="s">
        <v>39</v>
      </c>
      <c r="D309" s="7">
        <f>IFERROR(__xludf.DUMMYFUNCTION("GOOGLEFINANCE(""ASX:BCA"", ""price"")"),0.39)</f>
        <v>0.39</v>
      </c>
      <c r="E309" s="8">
        <f>IFERROR(__xludf.DUMMYFUNCTION("GOOGLEFINANCE(""ASX:BCA"", ""closeyest"")"),0.39)</f>
        <v>0.39</v>
      </c>
      <c r="F309" s="9">
        <f>IFERROR(__xludf.DUMMYFUNCTION("GOOGLEFINANCE(""ASX:BCA"", ""pe"")"),103.45)</f>
        <v>103.45</v>
      </c>
      <c r="G309" s="9">
        <f>IFERROR(__xludf.DUMMYFUNCTION("GOOGLEFINANCE(""ASX:BCA"", ""high52"")"),0.5)</f>
        <v>0.5</v>
      </c>
      <c r="H309" s="9">
        <f>IFERROR(__xludf.DUMMYFUNCTION("GOOGLEFINANCE(""ASX:BCA"", ""low52"")"),0.05)</f>
        <v>0.05</v>
      </c>
      <c r="I309" s="9">
        <f>IFERROR(__xludf.DUMMYFUNCTION("GOOGLEFINANCE(""ASX:BCA"", ""marketcap"")"),6.2068224E7)</f>
        <v>62068224</v>
      </c>
      <c r="J309" s="12">
        <v>0.39</v>
      </c>
      <c r="K309" s="12">
        <v>0.395</v>
      </c>
      <c r="L309" s="12">
        <v>0.5</v>
      </c>
      <c r="M309" s="12">
        <v>0.049</v>
      </c>
      <c r="N309" s="10">
        <v>104.77</v>
      </c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6" t="s">
        <v>683</v>
      </c>
      <c r="B310" s="6" t="s">
        <v>684</v>
      </c>
      <c r="C310" s="5" t="s">
        <v>212</v>
      </c>
      <c r="D310" s="7">
        <f>IFERROR(__xludf.DUMMYFUNCTION("GOOGLEFINANCE(""ASX:BCB"", ""price"")"),0.08)</f>
        <v>0.08</v>
      </c>
      <c r="E310" s="8">
        <f>IFERROR(__xludf.DUMMYFUNCTION("GOOGLEFINANCE(""ASX:BCB"", ""closeyest"")"),0.08)</f>
        <v>0.08</v>
      </c>
      <c r="F310" s="5" t="str">
        <f>IFERROR(__xludf.DUMMYFUNCTION("GOOGLEFINANCE(""ASX:BCB"", ""pe"")"),"#N/A")</f>
        <v>#N/A</v>
      </c>
      <c r="G310" s="9">
        <f>IFERROR(__xludf.DUMMYFUNCTION("GOOGLEFINANCE(""ASX:BCB"", ""high52"")"),0.8)</f>
        <v>0.8</v>
      </c>
      <c r="H310" s="9">
        <f>IFERROR(__xludf.DUMMYFUNCTION("GOOGLEFINANCE(""ASX:BCB"", ""low52"")"),0.07)</f>
        <v>0.07</v>
      </c>
      <c r="I310" s="9">
        <f>IFERROR(__xludf.DUMMYFUNCTION("GOOGLEFINANCE(""ASX:BCB"", ""marketcap"")"),8081820.0)</f>
        <v>8081820</v>
      </c>
      <c r="J310" s="9">
        <v>0.002</v>
      </c>
      <c r="K310" s="9">
        <v>0.002</v>
      </c>
      <c r="L310" s="9">
        <v>0.006</v>
      </c>
      <c r="M310" s="9">
        <v>0.001</v>
      </c>
      <c r="N310" s="11" t="s">
        <v>19</v>
      </c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6" t="s">
        <v>683</v>
      </c>
      <c r="B311" s="6" t="s">
        <v>684</v>
      </c>
      <c r="C311" s="5" t="s">
        <v>212</v>
      </c>
      <c r="D311" s="7">
        <f>IFERROR(__xludf.DUMMYFUNCTION("GOOGLEFINANCE(""ASX:BCB"", ""price"")"),0.08)</f>
        <v>0.08</v>
      </c>
      <c r="E311" s="8">
        <f>IFERROR(__xludf.DUMMYFUNCTION("GOOGLEFINANCE(""ASX:BCB"", ""closeyest"")"),0.08)</f>
        <v>0.08</v>
      </c>
      <c r="F311" s="5" t="str">
        <f>IFERROR(__xludf.DUMMYFUNCTION("GOOGLEFINANCE(""ASX:BCB"", ""pe"")"),"#N/A")</f>
        <v>#N/A</v>
      </c>
      <c r="G311" s="9">
        <f>IFERROR(__xludf.DUMMYFUNCTION("GOOGLEFINANCE(""ASX:BCB"", ""high52"")"),0.8)</f>
        <v>0.8</v>
      </c>
      <c r="H311" s="9">
        <f>IFERROR(__xludf.DUMMYFUNCTION("GOOGLEFINANCE(""ASX:BCB"", ""low52"")"),0.07)</f>
        <v>0.07</v>
      </c>
      <c r="I311" s="9">
        <f>IFERROR(__xludf.DUMMYFUNCTION("GOOGLEFINANCE(""ASX:BCB"", ""marketcap"")"),8081820.0)</f>
        <v>8081820</v>
      </c>
      <c r="J311" s="9">
        <v>0.002</v>
      </c>
      <c r="K311" s="9">
        <v>0.002</v>
      </c>
      <c r="L311" s="9">
        <v>0.006</v>
      </c>
      <c r="M311" s="9">
        <v>0.001</v>
      </c>
      <c r="N311" s="11" t="s">
        <v>19</v>
      </c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6" t="s">
        <v>685</v>
      </c>
      <c r="B312" s="6" t="s">
        <v>686</v>
      </c>
      <c r="C312" s="5" t="s">
        <v>158</v>
      </c>
      <c r="D312" s="7">
        <f>IFERROR(__xludf.DUMMYFUNCTION("GOOGLEFINANCE(""ASX:BCC"", ""price"")"),0.09)</f>
        <v>0.09</v>
      </c>
      <c r="E312" s="8">
        <f>IFERROR(__xludf.DUMMYFUNCTION("GOOGLEFINANCE(""ASX:BCC"", ""closeyest"")"),0.09)</f>
        <v>0.09</v>
      </c>
      <c r="F312" s="5" t="str">
        <f>IFERROR(__xludf.DUMMYFUNCTION("GOOGLEFINANCE(""ASX:BCC"", ""pe"")"),"#N/A")</f>
        <v>#N/A</v>
      </c>
      <c r="G312" s="9">
        <f>IFERROR(__xludf.DUMMYFUNCTION("GOOGLEFINANCE(""ASX:BCC"", ""high52"")"),0.18)</f>
        <v>0.18</v>
      </c>
      <c r="H312" s="9">
        <f>IFERROR(__xludf.DUMMYFUNCTION("GOOGLEFINANCE(""ASX:BCC"", ""low52"")"),0.06)</f>
        <v>0.06</v>
      </c>
      <c r="I312" s="9">
        <f>IFERROR(__xludf.DUMMYFUNCTION("GOOGLEFINANCE(""ASX:BCC"", ""marketcap"")"),7345860.0)</f>
        <v>7345860</v>
      </c>
      <c r="J312" s="5"/>
      <c r="K312" s="5"/>
      <c r="L312" s="5"/>
      <c r="M312" s="5"/>
      <c r="N312" s="11" t="s">
        <v>19</v>
      </c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6" t="s">
        <v>687</v>
      </c>
      <c r="B313" s="6" t="s">
        <v>688</v>
      </c>
      <c r="C313" s="5" t="s">
        <v>18</v>
      </c>
      <c r="D313" s="7">
        <f>IFERROR(__xludf.DUMMYFUNCTION("GOOGLEFINANCE(""ASX:BCI"", ""price"")"),0.4)</f>
        <v>0.4</v>
      </c>
      <c r="E313" s="8">
        <f>IFERROR(__xludf.DUMMYFUNCTION("GOOGLEFINANCE(""ASX:BCI"", ""closeyest"")"),0.39)</f>
        <v>0.39</v>
      </c>
      <c r="F313" s="5" t="str">
        <f>IFERROR(__xludf.DUMMYFUNCTION("GOOGLEFINANCE(""ASX:BCI"", ""pe"")"),"#N/A")</f>
        <v>#N/A</v>
      </c>
      <c r="G313" s="9">
        <f>IFERROR(__xludf.DUMMYFUNCTION("GOOGLEFINANCE(""ASX:BCI"", ""high52"")"),0.43)</f>
        <v>0.43</v>
      </c>
      <c r="H313" s="9">
        <f>IFERROR(__xludf.DUMMYFUNCTION("GOOGLEFINANCE(""ASX:BCI"", ""low52"")"),0.21)</f>
        <v>0.21</v>
      </c>
      <c r="I313" s="9">
        <f>IFERROR(__xludf.DUMMYFUNCTION("GOOGLEFINANCE(""ASX:BCI"", ""marketcap"")"),1.175031617E9)</f>
        <v>1175031617</v>
      </c>
      <c r="J313" s="5"/>
      <c r="K313" s="5"/>
      <c r="L313" s="5"/>
      <c r="M313" s="5"/>
      <c r="N313" s="11" t="s">
        <v>19</v>
      </c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6" t="s">
        <v>689</v>
      </c>
      <c r="B314" s="6" t="s">
        <v>690</v>
      </c>
      <c r="C314" s="5" t="s">
        <v>212</v>
      </c>
      <c r="D314" s="7">
        <f>IFERROR(__xludf.DUMMYFUNCTION("GOOGLEFINANCE(""ASX:BCK"", ""price"")"),0.02)</f>
        <v>0.02</v>
      </c>
      <c r="E314" s="8">
        <f>IFERROR(__xludf.DUMMYFUNCTION("GOOGLEFINANCE(""ASX:BCK"", ""closeyest"")"),0.02)</f>
        <v>0.02</v>
      </c>
      <c r="F314" s="5" t="str">
        <f>IFERROR(__xludf.DUMMYFUNCTION("GOOGLEFINANCE(""ASX:BCK"", ""pe"")"),"#N/A")</f>
        <v>#N/A</v>
      </c>
      <c r="G314" s="9">
        <f>IFERROR(__xludf.DUMMYFUNCTION("GOOGLEFINANCE(""ASX:BCK"", ""high52"")"),0.02)</f>
        <v>0.02</v>
      </c>
      <c r="H314" s="9">
        <f>IFERROR(__xludf.DUMMYFUNCTION("GOOGLEFINANCE(""ASX:BCK"", ""low52"")"),0.01)</f>
        <v>0.01</v>
      </c>
      <c r="I314" s="9">
        <f>IFERROR(__xludf.DUMMYFUNCTION("GOOGLEFINANCE(""ASX:BCK"", ""marketcap"")"),7.80055038E8)</f>
        <v>780055038</v>
      </c>
      <c r="J314" s="5"/>
      <c r="K314" s="5"/>
      <c r="L314" s="5"/>
      <c r="M314" s="5"/>
      <c r="N314" s="11" t="s">
        <v>19</v>
      </c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6" t="s">
        <v>689</v>
      </c>
      <c r="B315" s="6" t="s">
        <v>690</v>
      </c>
      <c r="C315" s="5" t="s">
        <v>212</v>
      </c>
      <c r="D315" s="7">
        <f>IFERROR(__xludf.DUMMYFUNCTION("GOOGLEFINANCE(""ASX:BCK"", ""price"")"),0.02)</f>
        <v>0.02</v>
      </c>
      <c r="E315" s="8">
        <f>IFERROR(__xludf.DUMMYFUNCTION("GOOGLEFINANCE(""ASX:BCK"", ""closeyest"")"),0.02)</f>
        <v>0.02</v>
      </c>
      <c r="F315" s="5" t="str">
        <f>IFERROR(__xludf.DUMMYFUNCTION("GOOGLEFINANCE(""ASX:BCK"", ""pe"")"),"#N/A")</f>
        <v>#N/A</v>
      </c>
      <c r="G315" s="9">
        <f>IFERROR(__xludf.DUMMYFUNCTION("GOOGLEFINANCE(""ASX:BCK"", ""high52"")"),0.02)</f>
        <v>0.02</v>
      </c>
      <c r="H315" s="9">
        <f>IFERROR(__xludf.DUMMYFUNCTION("GOOGLEFINANCE(""ASX:BCK"", ""low52"")"),0.01)</f>
        <v>0.01</v>
      </c>
      <c r="I315" s="9">
        <f>IFERROR(__xludf.DUMMYFUNCTION("GOOGLEFINANCE(""ASX:BCK"", ""marketcap"")"),7.80055038E8)</f>
        <v>780055038</v>
      </c>
      <c r="J315" s="5"/>
      <c r="K315" s="5"/>
      <c r="L315" s="5"/>
      <c r="M315" s="5"/>
      <c r="N315" s="11" t="s">
        <v>19</v>
      </c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6" t="s">
        <v>691</v>
      </c>
      <c r="B316" s="6" t="s">
        <v>692</v>
      </c>
      <c r="C316" s="5" t="s">
        <v>18</v>
      </c>
      <c r="D316" s="7">
        <f>IFERROR(__xludf.DUMMYFUNCTION("GOOGLEFINANCE(""ASX:BCM"", ""price"")"),0.03)</f>
        <v>0.03</v>
      </c>
      <c r="E316" s="8">
        <f>IFERROR(__xludf.DUMMYFUNCTION("GOOGLEFINANCE(""ASX:BCM"", ""closeyest"")"),0.03)</f>
        <v>0.03</v>
      </c>
      <c r="F316" s="5" t="str">
        <f>IFERROR(__xludf.DUMMYFUNCTION("GOOGLEFINANCE(""ASX:BCM"", ""pe"")"),"#N/A")</f>
        <v>#N/A</v>
      </c>
      <c r="G316" s="9">
        <f>IFERROR(__xludf.DUMMYFUNCTION("GOOGLEFINANCE(""ASX:BCM"", ""high52"")"),0.05)</f>
        <v>0.05</v>
      </c>
      <c r="H316" s="9">
        <f>IFERROR(__xludf.DUMMYFUNCTION("GOOGLEFINANCE(""ASX:BCM"", ""low52"")"),0.01)</f>
        <v>0.01</v>
      </c>
      <c r="I316" s="9">
        <f>IFERROR(__xludf.DUMMYFUNCTION("GOOGLEFINANCE(""ASX:BCM"", ""marketcap"")"),4.8308905E7)</f>
        <v>48308905</v>
      </c>
      <c r="J316" s="5"/>
      <c r="K316" s="5"/>
      <c r="L316" s="5"/>
      <c r="M316" s="5"/>
      <c r="N316" s="11" t="s">
        <v>19</v>
      </c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6" t="s">
        <v>693</v>
      </c>
      <c r="B317" s="6" t="s">
        <v>694</v>
      </c>
      <c r="C317" s="5" t="s">
        <v>88</v>
      </c>
      <c r="D317" s="7">
        <f>IFERROR(__xludf.DUMMYFUNCTION("GOOGLEFINANCE(""ASX:BCN"", ""price"")"),3.4)</f>
        <v>3.4</v>
      </c>
      <c r="E317" s="8">
        <f>IFERROR(__xludf.DUMMYFUNCTION("GOOGLEFINANCE(""ASX:BCN"", ""closeyest"")"),3.2)</f>
        <v>3.2</v>
      </c>
      <c r="F317" s="5" t="str">
        <f>IFERROR(__xludf.DUMMYFUNCTION("GOOGLEFINANCE(""ASX:BCN"", ""pe"")"),"#N/A")</f>
        <v>#N/A</v>
      </c>
      <c r="G317" s="9">
        <f>IFERROR(__xludf.DUMMYFUNCTION("GOOGLEFINANCE(""ASX:BCN"", ""high52"")"),3.42)</f>
        <v>3.42</v>
      </c>
      <c r="H317" s="9">
        <f>IFERROR(__xludf.DUMMYFUNCTION("GOOGLEFINANCE(""ASX:BCN"", ""low52"")"),0.88)</f>
        <v>0.88</v>
      </c>
      <c r="I317" s="9">
        <f>IFERROR(__xludf.DUMMYFUNCTION("GOOGLEFINANCE(""ASX:BCN"", ""marketcap"")"),3.7156221E8)</f>
        <v>371562210</v>
      </c>
      <c r="J317" s="5"/>
      <c r="K317" s="5"/>
      <c r="L317" s="5"/>
      <c r="M317" s="5"/>
      <c r="N317" s="11" t="s">
        <v>19</v>
      </c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6" t="s">
        <v>695</v>
      </c>
      <c r="B318" s="6" t="s">
        <v>696</v>
      </c>
      <c r="C318" s="5" t="s">
        <v>36</v>
      </c>
      <c r="D318" s="7">
        <f>IFERROR(__xludf.DUMMYFUNCTION("GOOGLEFINANCE(""ASX:BCOM"", ""price"")"),11.96)</f>
        <v>11.96</v>
      </c>
      <c r="E318" s="8">
        <f>IFERROR(__xludf.DUMMYFUNCTION("GOOGLEFINANCE(""ASX:BCOM"", ""closeyest"")"),12.0)</f>
        <v>12</v>
      </c>
      <c r="F318" s="5" t="str">
        <f>IFERROR(__xludf.DUMMYFUNCTION("GOOGLEFINANCE(""ASX:BCOM"", ""pe"")"),"#N/A")</f>
        <v>#N/A</v>
      </c>
      <c r="G318" s="9">
        <f>IFERROR(__xludf.DUMMYFUNCTION("GOOGLEFINANCE(""ASX:BCOM"", ""high52"")"),12.12)</f>
        <v>12.12</v>
      </c>
      <c r="H318" s="9">
        <f>IFERROR(__xludf.DUMMYFUNCTION("GOOGLEFINANCE(""ASX:BCOM"", ""low52"")"),10.4)</f>
        <v>10.4</v>
      </c>
      <c r="I318" s="9" t="str">
        <f>IFERROR(__xludf.DUMMYFUNCTION("GOOGLEFINANCE(""ASX:BCOM"", ""marketcap"")"),"#N/A")</f>
        <v>#N/A</v>
      </c>
      <c r="J318" s="5"/>
      <c r="K318" s="5"/>
      <c r="L318" s="5"/>
      <c r="M318" s="5"/>
      <c r="N318" s="11" t="s">
        <v>19</v>
      </c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6" t="s">
        <v>697</v>
      </c>
      <c r="B319" s="6" t="s">
        <v>698</v>
      </c>
      <c r="C319" s="5" t="s">
        <v>450</v>
      </c>
      <c r="D319" s="7">
        <f>IFERROR(__xludf.DUMMYFUNCTION("GOOGLEFINANCE(""ASX:BDM"", ""price"")"),0.02)</f>
        <v>0.02</v>
      </c>
      <c r="E319" s="8">
        <f>IFERROR(__xludf.DUMMYFUNCTION("GOOGLEFINANCE(""ASX:BDM"", ""closeyest"")"),0.02)</f>
        <v>0.02</v>
      </c>
      <c r="F319" s="5" t="str">
        <f>IFERROR(__xludf.DUMMYFUNCTION("GOOGLEFINANCE(""ASX:BDM"", ""pe"")"),"#N/A")</f>
        <v>#N/A</v>
      </c>
      <c r="G319" s="9">
        <f>IFERROR(__xludf.DUMMYFUNCTION("GOOGLEFINANCE(""ASX:BDM"", ""high52"")"),0.09)</f>
        <v>0.09</v>
      </c>
      <c r="H319" s="9">
        <f>IFERROR(__xludf.DUMMYFUNCTION("GOOGLEFINANCE(""ASX:BDM"", ""low52"")"),0.01)</f>
        <v>0.01</v>
      </c>
      <c r="I319" s="9">
        <f>IFERROR(__xludf.DUMMYFUNCTION("GOOGLEFINANCE(""ASX:BDM"", ""marketcap"")"),1.8121983E7)</f>
        <v>18121983</v>
      </c>
      <c r="J319" s="5"/>
      <c r="K319" s="5"/>
      <c r="L319" s="5"/>
      <c r="M319" s="5"/>
      <c r="N319" s="11" t="s">
        <v>19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6" t="s">
        <v>699</v>
      </c>
      <c r="B320" s="6" t="s">
        <v>700</v>
      </c>
      <c r="C320" s="5" t="s">
        <v>276</v>
      </c>
      <c r="D320" s="7">
        <f>IFERROR(__xludf.DUMMYFUNCTION("GOOGLEFINANCE(""ASX:BDX"", ""price"")"),0.11)</f>
        <v>0.11</v>
      </c>
      <c r="E320" s="8">
        <f>IFERROR(__xludf.DUMMYFUNCTION("GOOGLEFINANCE(""ASX:BDX"", ""closeyest"")"),0.11)</f>
        <v>0.11</v>
      </c>
      <c r="F320" s="5" t="str">
        <f>IFERROR(__xludf.DUMMYFUNCTION("GOOGLEFINANCE(""ASX:BDX"", ""pe"")"),"#N/A")</f>
        <v>#N/A</v>
      </c>
      <c r="G320" s="9">
        <f>IFERROR(__xludf.DUMMYFUNCTION("GOOGLEFINANCE(""ASX:BDX"", ""high52"")"),0.13)</f>
        <v>0.13</v>
      </c>
      <c r="H320" s="9">
        <f>IFERROR(__xludf.DUMMYFUNCTION("GOOGLEFINANCE(""ASX:BDX"", ""low52"")"),0.05)</f>
        <v>0.05</v>
      </c>
      <c r="I320" s="9">
        <f>IFERROR(__xludf.DUMMYFUNCTION("GOOGLEFINANCE(""ASX:BDX"", ""marketcap"")"),3.8647091E7)</f>
        <v>38647091</v>
      </c>
      <c r="J320" s="5"/>
      <c r="K320" s="5"/>
      <c r="L320" s="5"/>
      <c r="M320" s="5"/>
      <c r="N320" s="11" t="s">
        <v>19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6" t="s">
        <v>701</v>
      </c>
      <c r="B321" s="6" t="s">
        <v>702</v>
      </c>
      <c r="C321" s="5" t="s">
        <v>36</v>
      </c>
      <c r="D321" s="7">
        <f>IFERROR(__xludf.DUMMYFUNCTION("GOOGLEFINANCE(""ASX:BEAR"", ""price"")"),7.42)</f>
        <v>7.42</v>
      </c>
      <c r="E321" s="8">
        <f>IFERROR(__xludf.DUMMYFUNCTION("GOOGLEFINANCE(""ASX:BEAR"", ""closeyest"")"),7.44)</f>
        <v>7.44</v>
      </c>
      <c r="F321" s="5" t="str">
        <f>IFERROR(__xludf.DUMMYFUNCTION("GOOGLEFINANCE(""ASX:BEAR"", ""pe"")"),"#N/A")</f>
        <v>#N/A</v>
      </c>
      <c r="G321" s="9">
        <f>IFERROR(__xludf.DUMMYFUNCTION("GOOGLEFINANCE(""ASX:BEAR"", ""high52"")"),8.87)</f>
        <v>8.87</v>
      </c>
      <c r="H321" s="9">
        <f>IFERROR(__xludf.DUMMYFUNCTION("GOOGLEFINANCE(""ASX:BEAR"", ""low52"")"),7.06)</f>
        <v>7.06</v>
      </c>
      <c r="I321" s="9" t="str">
        <f>IFERROR(__xludf.DUMMYFUNCTION("GOOGLEFINANCE(""ASX:BEAR"", ""marketcap"")"),"#N/A")</f>
        <v>#N/A</v>
      </c>
      <c r="J321" s="5"/>
      <c r="K321" s="5"/>
      <c r="L321" s="5"/>
      <c r="M321" s="5"/>
      <c r="N321" s="11" t="s">
        <v>19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6" t="s">
        <v>703</v>
      </c>
      <c r="B322" s="6" t="s">
        <v>704</v>
      </c>
      <c r="C322" s="5" t="s">
        <v>171</v>
      </c>
      <c r="D322" s="7">
        <f>IFERROR(__xludf.DUMMYFUNCTION("GOOGLEFINANCE(""ASX:BEL"", ""price"")"),0.02)</f>
        <v>0.02</v>
      </c>
      <c r="E322" s="8">
        <f>IFERROR(__xludf.DUMMYFUNCTION("GOOGLEFINANCE(""ASX:BEL"", ""closeyest"")"),0.02)</f>
        <v>0.02</v>
      </c>
      <c r="F322" s="5" t="str">
        <f>IFERROR(__xludf.DUMMYFUNCTION("GOOGLEFINANCE(""ASX:BEL"", ""pe"")"),"#N/A")</f>
        <v>#N/A</v>
      </c>
      <c r="G322" s="9">
        <f>IFERROR(__xludf.DUMMYFUNCTION("GOOGLEFINANCE(""ASX:BEL"", ""high52"")"),0.04)</f>
        <v>0.04</v>
      </c>
      <c r="H322" s="9">
        <f>IFERROR(__xludf.DUMMYFUNCTION("GOOGLEFINANCE(""ASX:BEL"", ""low52"")"),0.01)</f>
        <v>0.01</v>
      </c>
      <c r="I322" s="9">
        <f>IFERROR(__xludf.DUMMYFUNCTION("GOOGLEFINANCE(""ASX:BEL"", ""marketcap"")"),1842290.0)</f>
        <v>1842290</v>
      </c>
      <c r="J322" s="5"/>
      <c r="K322" s="5"/>
      <c r="L322" s="5"/>
      <c r="M322" s="5"/>
      <c r="N322" s="11" t="s">
        <v>19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6" t="s">
        <v>705</v>
      </c>
      <c r="B323" s="6" t="s">
        <v>706</v>
      </c>
      <c r="C323" s="5" t="s">
        <v>36</v>
      </c>
      <c r="D323" s="7">
        <f>IFERROR(__xludf.DUMMYFUNCTION("GOOGLEFINANCE(""ASX:BEMG"", ""price"")"),33.2)</f>
        <v>33.2</v>
      </c>
      <c r="E323" s="8">
        <f>IFERROR(__xludf.DUMMYFUNCTION("GOOGLEFINANCE(""ASX:BEMG"", ""closeyest"")"),33.25)</f>
        <v>33.25</v>
      </c>
      <c r="F323" s="5" t="str">
        <f>IFERROR(__xludf.DUMMYFUNCTION("GOOGLEFINANCE(""ASX:BEMG"", ""pe"")"),"#N/A")</f>
        <v>#N/A</v>
      </c>
      <c r="G323" s="9">
        <f>IFERROR(__xludf.DUMMYFUNCTION("GOOGLEFINANCE(""ASX:BEMG"", ""high52"")"),33.5)</f>
        <v>33.5</v>
      </c>
      <c r="H323" s="9">
        <f>IFERROR(__xludf.DUMMYFUNCTION("GOOGLEFINANCE(""ASX:BEMG"", ""low52"")"),29.39)</f>
        <v>29.39</v>
      </c>
      <c r="I323" s="9" t="str">
        <f>IFERROR(__xludf.DUMMYFUNCTION("GOOGLEFINANCE(""ASX:BEMG"", ""marketcap"")"),"#N/A")</f>
        <v>#N/A</v>
      </c>
      <c r="J323" s="5"/>
      <c r="K323" s="5"/>
      <c r="L323" s="5"/>
      <c r="M323" s="5"/>
      <c r="N323" s="11" t="s">
        <v>19</v>
      </c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6" t="s">
        <v>707</v>
      </c>
      <c r="B324" s="6" t="s">
        <v>708</v>
      </c>
      <c r="C324" s="5" t="s">
        <v>413</v>
      </c>
      <c r="D324" s="7">
        <f>IFERROR(__xludf.DUMMYFUNCTION("GOOGLEFINANCE(""ASX:BEN"", ""price"")"),10.72)</f>
        <v>10.72</v>
      </c>
      <c r="E324" s="8">
        <f>IFERROR(__xludf.DUMMYFUNCTION("GOOGLEFINANCE(""ASX:BEN"", ""closeyest"")"),10.58)</f>
        <v>10.58</v>
      </c>
      <c r="F324" s="5" t="str">
        <f>IFERROR(__xludf.DUMMYFUNCTION("GOOGLEFINANCE(""ASX:BEN"", ""pe"")"),"#N/A")</f>
        <v>#N/A</v>
      </c>
      <c r="G324" s="9">
        <f>IFERROR(__xludf.DUMMYFUNCTION("GOOGLEFINANCE(""ASX:BEN"", ""high52"")"),13.73)</f>
        <v>13.73</v>
      </c>
      <c r="H324" s="9">
        <f>IFERROR(__xludf.DUMMYFUNCTION("GOOGLEFINANCE(""ASX:BEN"", ""low52"")"),9.5)</f>
        <v>9.5</v>
      </c>
      <c r="I324" s="9">
        <f>IFERROR(__xludf.DUMMYFUNCTION("GOOGLEFINANCE(""ASX:BEN"", ""marketcap"")"),6.088870103E9)</f>
        <v>6088870103</v>
      </c>
      <c r="J324" s="5"/>
      <c r="K324" s="5"/>
      <c r="L324" s="5"/>
      <c r="M324" s="5"/>
      <c r="N324" s="11" t="s">
        <v>19</v>
      </c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6" t="s">
        <v>709</v>
      </c>
      <c r="B325" s="6" t="s">
        <v>710</v>
      </c>
      <c r="C325" s="5" t="s">
        <v>15</v>
      </c>
      <c r="D325" s="7">
        <f>IFERROR(__xludf.DUMMYFUNCTION("GOOGLEFINANCE(""ASX:BEO"", ""price"")"),0.13)</f>
        <v>0.13</v>
      </c>
      <c r="E325" s="8">
        <f>IFERROR(__xludf.DUMMYFUNCTION("GOOGLEFINANCE(""ASX:BEO"", ""closeyest"")"),0.14)</f>
        <v>0.14</v>
      </c>
      <c r="F325" s="5" t="str">
        <f>IFERROR(__xludf.DUMMYFUNCTION("GOOGLEFINANCE(""ASX:BEO"", ""pe"")"),"#N/A")</f>
        <v>#N/A</v>
      </c>
      <c r="G325" s="9">
        <f>IFERROR(__xludf.DUMMYFUNCTION("GOOGLEFINANCE(""ASX:BEO"", ""high52"")"),0.37)</f>
        <v>0.37</v>
      </c>
      <c r="H325" s="9">
        <f>IFERROR(__xludf.DUMMYFUNCTION("GOOGLEFINANCE(""ASX:BEO"", ""low52"")"),0.12)</f>
        <v>0.12</v>
      </c>
      <c r="I325" s="9">
        <f>IFERROR(__xludf.DUMMYFUNCTION("GOOGLEFINANCE(""ASX:BEO"", ""marketcap"")"),8499844.0)</f>
        <v>8499844</v>
      </c>
      <c r="J325" s="5"/>
      <c r="K325" s="5"/>
      <c r="L325" s="5"/>
      <c r="M325" s="5"/>
      <c r="N325" s="11" t="s">
        <v>19</v>
      </c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6" t="s">
        <v>711</v>
      </c>
      <c r="B326" s="6" t="s">
        <v>712</v>
      </c>
      <c r="C326" s="5" t="s">
        <v>36</v>
      </c>
      <c r="D326" s="7">
        <f>IFERROR(__xludf.DUMMYFUNCTION("GOOGLEFINANCE(""ASX:BEST"", ""price"")"),12.09)</f>
        <v>12.09</v>
      </c>
      <c r="E326" s="8">
        <f>IFERROR(__xludf.DUMMYFUNCTION("GOOGLEFINANCE(""ASX:BEST"", ""closeyest"")"),12.22)</f>
        <v>12.22</v>
      </c>
      <c r="F326" s="5" t="str">
        <f>IFERROR(__xludf.DUMMYFUNCTION("GOOGLEFINANCE(""ASX:BEST"", ""pe"")"),"#N/A")</f>
        <v>#N/A</v>
      </c>
      <c r="G326" s="9">
        <f>IFERROR(__xludf.DUMMYFUNCTION("GOOGLEFINANCE(""ASX:BEST"", ""high52"")"),12.63)</f>
        <v>12.63</v>
      </c>
      <c r="H326" s="9">
        <f>IFERROR(__xludf.DUMMYFUNCTION("GOOGLEFINANCE(""ASX:BEST"", ""low52"")"),12.09)</f>
        <v>12.09</v>
      </c>
      <c r="I326" s="9" t="str">
        <f>IFERROR(__xludf.DUMMYFUNCTION("GOOGLEFINANCE(""ASX:BEST"", ""marketcap"")"),"#N/A")</f>
        <v>#N/A</v>
      </c>
      <c r="J326" s="5"/>
      <c r="K326" s="5"/>
      <c r="L326" s="5"/>
      <c r="M326" s="5"/>
      <c r="N326" s="11" t="s">
        <v>19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6" t="s">
        <v>713</v>
      </c>
      <c r="B327" s="6" t="s">
        <v>714</v>
      </c>
      <c r="C327" s="5" t="s">
        <v>161</v>
      </c>
      <c r="D327" s="7">
        <f>IFERROR(__xludf.DUMMYFUNCTION("GOOGLEFINANCE(""ASX:BET"", ""price"")"),0.19)</f>
        <v>0.19</v>
      </c>
      <c r="E327" s="8">
        <f>IFERROR(__xludf.DUMMYFUNCTION("GOOGLEFINANCE(""ASX:BET"", ""closeyest"")"),0.19)</f>
        <v>0.19</v>
      </c>
      <c r="F327" s="5" t="str">
        <f>IFERROR(__xludf.DUMMYFUNCTION("GOOGLEFINANCE(""ASX:BET"", ""pe"")"),"#N/A")</f>
        <v>#N/A</v>
      </c>
      <c r="G327" s="9">
        <f>IFERROR(__xludf.DUMMYFUNCTION("GOOGLEFINANCE(""ASX:BET"", ""high52"")"),0.22)</f>
        <v>0.22</v>
      </c>
      <c r="H327" s="9">
        <f>IFERROR(__xludf.DUMMYFUNCTION("GOOGLEFINANCE(""ASX:BET"", ""low52"")"),0.09)</f>
        <v>0.09</v>
      </c>
      <c r="I327" s="9">
        <f>IFERROR(__xludf.DUMMYFUNCTION("GOOGLEFINANCE(""ASX:BET"", ""marketcap"")"),2.07252172E8)</f>
        <v>207252172</v>
      </c>
      <c r="J327" s="5"/>
      <c r="K327" s="5"/>
      <c r="L327" s="5"/>
      <c r="M327" s="5"/>
      <c r="N327" s="11" t="s">
        <v>19</v>
      </c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6" t="s">
        <v>715</v>
      </c>
      <c r="B328" s="6" t="s">
        <v>716</v>
      </c>
      <c r="C328" s="5" t="s">
        <v>88</v>
      </c>
      <c r="D328" s="7">
        <f>IFERROR(__xludf.DUMMYFUNCTION("GOOGLEFINANCE(""ASX:BEZ"", ""price"")"),0.07)</f>
        <v>0.07</v>
      </c>
      <c r="E328" s="8">
        <f>IFERROR(__xludf.DUMMYFUNCTION("GOOGLEFINANCE(""ASX:BEZ"", ""closeyest"")"),0.06)</f>
        <v>0.06</v>
      </c>
      <c r="F328" s="5" t="str">
        <f>IFERROR(__xludf.DUMMYFUNCTION("GOOGLEFINANCE(""ASX:BEZ"", ""pe"")"),"#N/A")</f>
        <v>#N/A</v>
      </c>
      <c r="G328" s="9">
        <f>IFERROR(__xludf.DUMMYFUNCTION("GOOGLEFINANCE(""ASX:BEZ"", ""high52"")"),0.1)</f>
        <v>0.1</v>
      </c>
      <c r="H328" s="9">
        <f>IFERROR(__xludf.DUMMYFUNCTION("GOOGLEFINANCE(""ASX:BEZ"", ""low52"")"),0.02)</f>
        <v>0.02</v>
      </c>
      <c r="I328" s="9">
        <f>IFERROR(__xludf.DUMMYFUNCTION("GOOGLEFINANCE(""ASX:BEZ"", ""marketcap"")"),2.3579191E7)</f>
        <v>23579191</v>
      </c>
      <c r="J328" s="5"/>
      <c r="K328" s="5"/>
      <c r="L328" s="5"/>
      <c r="M328" s="5"/>
      <c r="N328" s="11" t="s">
        <v>19</v>
      </c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6" t="s">
        <v>717</v>
      </c>
      <c r="B329" s="6" t="s">
        <v>718</v>
      </c>
      <c r="C329" s="5" t="s">
        <v>140</v>
      </c>
      <c r="D329" s="7">
        <f>IFERROR(__xludf.DUMMYFUNCTION("GOOGLEFINANCE(""ASX:BFG"", ""price"")"),1.31)</f>
        <v>1.31</v>
      </c>
      <c r="E329" s="8">
        <f>IFERROR(__xludf.DUMMYFUNCTION("GOOGLEFINANCE(""ASX:BFG"", ""closeyest"")"),1.31)</f>
        <v>1.31</v>
      </c>
      <c r="F329" s="9">
        <f>IFERROR(__xludf.DUMMYFUNCTION("GOOGLEFINANCE(""ASX:BFG"", ""pe"")"),17.77)</f>
        <v>17.77</v>
      </c>
      <c r="G329" s="9">
        <f>IFERROR(__xludf.DUMMYFUNCTION("GOOGLEFINANCE(""ASX:BFG"", ""high52"")"),1.43)</f>
        <v>1.43</v>
      </c>
      <c r="H329" s="9">
        <f>IFERROR(__xludf.DUMMYFUNCTION("GOOGLEFINANCE(""ASX:BFG"", ""low52"")"),1.11)</f>
        <v>1.11</v>
      </c>
      <c r="I329" s="9">
        <f>IFERROR(__xludf.DUMMYFUNCTION("GOOGLEFINANCE(""ASX:BFG"", ""marketcap"")"),4.18570772E8)</f>
        <v>418570772</v>
      </c>
      <c r="J329" s="5"/>
      <c r="K329" s="5"/>
      <c r="L329" s="5"/>
      <c r="M329" s="5"/>
      <c r="N329" s="10">
        <v>18.39</v>
      </c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6" t="s">
        <v>719</v>
      </c>
      <c r="B330" s="6" t="s">
        <v>720</v>
      </c>
      <c r="C330" s="5" t="s">
        <v>413</v>
      </c>
      <c r="D330" s="7">
        <f>IFERROR(__xludf.DUMMYFUNCTION("GOOGLEFINANCE(""ASX:BFL"", ""price"")"),8.33)</f>
        <v>8.33</v>
      </c>
      <c r="E330" s="8">
        <f>IFERROR(__xludf.DUMMYFUNCTION("GOOGLEFINANCE(""ASX:BFL"", ""closeyest"")"),8.35)</f>
        <v>8.35</v>
      </c>
      <c r="F330" s="9">
        <f>IFERROR(__xludf.DUMMYFUNCTION("GOOGLEFINANCE(""ASX:BFL"", ""pe"")"),10.51)</f>
        <v>10.51</v>
      </c>
      <c r="G330" s="9">
        <f>IFERROR(__xludf.DUMMYFUNCTION("GOOGLEFINANCE(""ASX:BFL"", ""high52"")"),8.89)</f>
        <v>8.89</v>
      </c>
      <c r="H330" s="9">
        <f>IFERROR(__xludf.DUMMYFUNCTION("GOOGLEFINANCE(""ASX:BFL"", ""low52"")"),6.68)</f>
        <v>6.68</v>
      </c>
      <c r="I330" s="9">
        <f>IFERROR(__xludf.DUMMYFUNCTION("GOOGLEFINANCE(""ASX:BFL"", ""marketcap"")"),3.891942564E9)</f>
        <v>3891942564</v>
      </c>
      <c r="J330" s="5"/>
      <c r="K330" s="5"/>
      <c r="L330" s="5"/>
      <c r="M330" s="5"/>
      <c r="N330" s="10">
        <v>10.43</v>
      </c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6" t="s">
        <v>721</v>
      </c>
      <c r="B331" s="6" t="s">
        <v>722</v>
      </c>
      <c r="C331" s="5" t="s">
        <v>98</v>
      </c>
      <c r="D331" s="7">
        <f>IFERROR(__xludf.DUMMYFUNCTION("GOOGLEFINANCE(""ASX:BGA"", ""price"")"),5.92)</f>
        <v>5.92</v>
      </c>
      <c r="E331" s="8">
        <f>IFERROR(__xludf.DUMMYFUNCTION("GOOGLEFINANCE(""ASX:BGA"", ""closeyest"")"),5.86)</f>
        <v>5.86</v>
      </c>
      <c r="F331" s="5" t="str">
        <f>IFERROR(__xludf.DUMMYFUNCTION("GOOGLEFINANCE(""ASX:BGA"", ""pe"")"),"#N/A")</f>
        <v>#N/A</v>
      </c>
      <c r="G331" s="9">
        <f>IFERROR(__xludf.DUMMYFUNCTION("GOOGLEFINANCE(""ASX:BGA"", ""high52"")"),6.3)</f>
        <v>6.3</v>
      </c>
      <c r="H331" s="9">
        <f>IFERROR(__xludf.DUMMYFUNCTION("GOOGLEFINANCE(""ASX:BGA"", ""low52"")"),4.85)</f>
        <v>4.85</v>
      </c>
      <c r="I331" s="9">
        <f>IFERROR(__xludf.DUMMYFUNCTION("GOOGLEFINANCE(""ASX:BGA"", ""marketcap"")"),1.807834231E9)</f>
        <v>1807834231</v>
      </c>
      <c r="J331" s="5"/>
      <c r="K331" s="5"/>
      <c r="L331" s="5"/>
      <c r="M331" s="5"/>
      <c r="N331" s="11" t="s">
        <v>19</v>
      </c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6" t="s">
        <v>723</v>
      </c>
      <c r="B332" s="6" t="s">
        <v>724</v>
      </c>
      <c r="C332" s="5" t="s">
        <v>36</v>
      </c>
      <c r="D332" s="7">
        <f>IFERROR(__xludf.DUMMYFUNCTION("GOOGLEFINANCE(""ASX:BGBL"", ""price"")"),81.24)</f>
        <v>81.24</v>
      </c>
      <c r="E332" s="8">
        <f>IFERROR(__xludf.DUMMYFUNCTION("GOOGLEFINANCE(""ASX:BGBL"", ""closeyest"")"),81.45)</f>
        <v>81.45</v>
      </c>
      <c r="F332" s="5" t="str">
        <f>IFERROR(__xludf.DUMMYFUNCTION("GOOGLEFINANCE(""ASX:BGBL"", ""pe"")"),"#N/A")</f>
        <v>#N/A</v>
      </c>
      <c r="G332" s="9">
        <f>IFERROR(__xludf.DUMMYFUNCTION("GOOGLEFINANCE(""ASX:BGBL"", ""high52"")"),83.21)</f>
        <v>83.21</v>
      </c>
      <c r="H332" s="9">
        <f>IFERROR(__xludf.DUMMYFUNCTION("GOOGLEFINANCE(""ASX:BGBL"", ""low52"")"),64.85)</f>
        <v>64.85</v>
      </c>
      <c r="I332" s="9" t="str">
        <f>IFERROR(__xludf.DUMMYFUNCTION("GOOGLEFINANCE(""ASX:BGBL"", ""marketcap"")"),"#N/A")</f>
        <v>#N/A</v>
      </c>
      <c r="J332" s="5"/>
      <c r="K332" s="5"/>
      <c r="L332" s="5"/>
      <c r="M332" s="5"/>
      <c r="N332" s="11" t="s">
        <v>19</v>
      </c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6" t="s">
        <v>725</v>
      </c>
      <c r="B333" s="6" t="s">
        <v>726</v>
      </c>
      <c r="C333" s="5" t="s">
        <v>88</v>
      </c>
      <c r="D333" s="7">
        <f>IFERROR(__xludf.DUMMYFUNCTION("GOOGLEFINANCE(""ASX:BGD"", ""price"")"),1.34)</f>
        <v>1.34</v>
      </c>
      <c r="E333" s="8">
        <f>IFERROR(__xludf.DUMMYFUNCTION("GOOGLEFINANCE(""ASX:BGD"", ""closeyest"")"),1.32)</f>
        <v>1.32</v>
      </c>
      <c r="F333" s="5" t="str">
        <f>IFERROR(__xludf.DUMMYFUNCTION("GOOGLEFINANCE(""ASX:BGD"", ""pe"")"),"#N/A")</f>
        <v>#N/A</v>
      </c>
      <c r="G333" s="9">
        <f>IFERROR(__xludf.DUMMYFUNCTION("GOOGLEFINANCE(""ASX:BGD"", ""high52"")"),1.41)</f>
        <v>1.41</v>
      </c>
      <c r="H333" s="9">
        <f>IFERROR(__xludf.DUMMYFUNCTION("GOOGLEFINANCE(""ASX:BGD"", ""low52"")"),0.23)</f>
        <v>0.23</v>
      </c>
      <c r="I333" s="9">
        <f>IFERROR(__xludf.DUMMYFUNCTION("GOOGLEFINANCE(""ASX:BGD"", ""marketcap"")"),3.18472715E8)</f>
        <v>318472715</v>
      </c>
      <c r="J333" s="5"/>
      <c r="K333" s="5"/>
      <c r="L333" s="5"/>
      <c r="M333" s="5"/>
      <c r="N333" s="11" t="s">
        <v>19</v>
      </c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6" t="s">
        <v>727</v>
      </c>
      <c r="B334" s="6" t="s">
        <v>728</v>
      </c>
      <c r="C334" s="5" t="s">
        <v>184</v>
      </c>
      <c r="D334" s="7">
        <f>IFERROR(__xludf.DUMMYFUNCTION("GOOGLEFINANCE(""ASX:BGE"", ""price"")"),0.02)</f>
        <v>0.02</v>
      </c>
      <c r="E334" s="8">
        <f>IFERROR(__xludf.DUMMYFUNCTION("GOOGLEFINANCE(""ASX:BGE"", ""closeyest"")"),0.02)</f>
        <v>0.02</v>
      </c>
      <c r="F334" s="5" t="str">
        <f>IFERROR(__xludf.DUMMYFUNCTION("GOOGLEFINANCE(""ASX:BGE"", ""pe"")"),"#N/A")</f>
        <v>#N/A</v>
      </c>
      <c r="G334" s="9">
        <f>IFERROR(__xludf.DUMMYFUNCTION("GOOGLEFINANCE(""ASX:BGE"", ""high52"")"),0.04)</f>
        <v>0.04</v>
      </c>
      <c r="H334" s="9">
        <f>IFERROR(__xludf.DUMMYFUNCTION("GOOGLEFINANCE(""ASX:BGE"", ""low52"")"),0.01)</f>
        <v>0.01</v>
      </c>
      <c r="I334" s="9">
        <f>IFERROR(__xludf.DUMMYFUNCTION("GOOGLEFINANCE(""ASX:BGE"", ""marketcap"")"),5286274.0)</f>
        <v>5286274</v>
      </c>
      <c r="J334" s="5"/>
      <c r="K334" s="5"/>
      <c r="L334" s="5"/>
      <c r="M334" s="5"/>
      <c r="N334" s="11" t="s">
        <v>19</v>
      </c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6" t="s">
        <v>729</v>
      </c>
      <c r="B335" s="6" t="s">
        <v>730</v>
      </c>
      <c r="C335" s="5" t="s">
        <v>88</v>
      </c>
      <c r="D335" s="7">
        <f>IFERROR(__xludf.DUMMYFUNCTION("GOOGLEFINANCE(""ASX:BGL"", ""price"")"),1.68)</f>
        <v>1.68</v>
      </c>
      <c r="E335" s="8">
        <f>IFERROR(__xludf.DUMMYFUNCTION("GOOGLEFINANCE(""ASX:BGL"", ""closeyest"")"),1.79)</f>
        <v>1.79</v>
      </c>
      <c r="F335" s="5" t="str">
        <f>IFERROR(__xludf.DUMMYFUNCTION("GOOGLEFINANCE(""ASX:BGL"", ""pe"")"),"#N/A")</f>
        <v>#N/A</v>
      </c>
      <c r="G335" s="9">
        <f>IFERROR(__xludf.DUMMYFUNCTION("GOOGLEFINANCE(""ASX:BGL"", ""high52"")"),1.83)</f>
        <v>1.83</v>
      </c>
      <c r="H335" s="9">
        <f>IFERROR(__xludf.DUMMYFUNCTION("GOOGLEFINANCE(""ASX:BGL"", ""low52"")"),0.78)</f>
        <v>0.78</v>
      </c>
      <c r="I335" s="9">
        <f>IFERROR(__xludf.DUMMYFUNCTION("GOOGLEFINANCE(""ASX:BGL"", ""marketcap"")"),2.480254504E9)</f>
        <v>2480254504</v>
      </c>
      <c r="J335" s="5"/>
      <c r="K335" s="5"/>
      <c r="L335" s="5"/>
      <c r="M335" s="5"/>
      <c r="N335" s="11" t="s">
        <v>19</v>
      </c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6" t="s">
        <v>731</v>
      </c>
      <c r="B336" s="6" t="s">
        <v>732</v>
      </c>
      <c r="C336" s="5" t="s">
        <v>197</v>
      </c>
      <c r="D336" s="7">
        <f>IFERROR(__xludf.DUMMYFUNCTION("GOOGLEFINANCE(""ASX:BGP"", ""price"")"),5.6)</f>
        <v>5.6</v>
      </c>
      <c r="E336" s="8">
        <f>IFERROR(__xludf.DUMMYFUNCTION("GOOGLEFINANCE(""ASX:BGP"", ""closeyest"")"),5.6)</f>
        <v>5.6</v>
      </c>
      <c r="F336" s="5" t="str">
        <f>IFERROR(__xludf.DUMMYFUNCTION("GOOGLEFINANCE(""ASX:BGP"", ""pe"")"),"#N/A")</f>
        <v>#N/A</v>
      </c>
      <c r="G336" s="9">
        <f>IFERROR(__xludf.DUMMYFUNCTION("GOOGLEFINANCE(""ASX:BGP"", ""high52"")"),5.6)</f>
        <v>5.6</v>
      </c>
      <c r="H336" s="9">
        <f>IFERROR(__xludf.DUMMYFUNCTION("GOOGLEFINANCE(""ASX:BGP"", ""low52"")"),3.56)</f>
        <v>3.56</v>
      </c>
      <c r="I336" s="9">
        <f>IFERROR(__xludf.DUMMYFUNCTION("GOOGLEFINANCE(""ASX:BGP"", ""marketcap"")"),1.149305E9)</f>
        <v>1149305000</v>
      </c>
      <c r="J336" s="5"/>
      <c r="K336" s="5"/>
      <c r="L336" s="5"/>
      <c r="M336" s="5"/>
      <c r="N336" s="11" t="s">
        <v>19</v>
      </c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6" t="s">
        <v>733</v>
      </c>
      <c r="B337" s="6" t="s">
        <v>734</v>
      </c>
      <c r="C337" s="5" t="s">
        <v>267</v>
      </c>
      <c r="D337" s="7">
        <f>IFERROR(__xludf.DUMMYFUNCTION("GOOGLEFINANCE(""ASX:BGT"", ""price"")"),0.02)</f>
        <v>0.02</v>
      </c>
      <c r="E337" s="8">
        <f>IFERROR(__xludf.DUMMYFUNCTION("GOOGLEFINANCE(""ASX:BGT"", ""closeyest"")"),0.02)</f>
        <v>0.02</v>
      </c>
      <c r="F337" s="5" t="str">
        <f>IFERROR(__xludf.DUMMYFUNCTION("GOOGLEFINANCE(""ASX:BGT"", ""pe"")"),"#N/A")</f>
        <v>#N/A</v>
      </c>
      <c r="G337" s="9">
        <f>IFERROR(__xludf.DUMMYFUNCTION("GOOGLEFINANCE(""ASX:BGT"", ""high52"")"),0.07)</f>
        <v>0.07</v>
      </c>
      <c r="H337" s="9">
        <f>IFERROR(__xludf.DUMMYFUNCTION("GOOGLEFINANCE(""ASX:BGT"", ""low52"")"),0.02)</f>
        <v>0.02</v>
      </c>
      <c r="I337" s="9">
        <f>IFERROR(__xludf.DUMMYFUNCTION("GOOGLEFINANCE(""ASX:BGT"", ""marketcap"")"),7016410.0)</f>
        <v>7016410</v>
      </c>
      <c r="J337" s="9">
        <v>0.003</v>
      </c>
      <c r="K337" s="9">
        <v>0.003</v>
      </c>
      <c r="L337" s="9">
        <v>0.004</v>
      </c>
      <c r="M337" s="9">
        <v>0.002</v>
      </c>
      <c r="N337" s="11" t="s">
        <v>19</v>
      </c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6" t="s">
        <v>735</v>
      </c>
      <c r="B338" s="6" t="s">
        <v>736</v>
      </c>
      <c r="C338" s="5" t="s">
        <v>171</v>
      </c>
      <c r="D338" s="7">
        <f>IFERROR(__xludf.DUMMYFUNCTION("GOOGLEFINANCE(""ASX:BHD"", ""price"")"),0.19)</f>
        <v>0.19</v>
      </c>
      <c r="E338" s="8">
        <f>IFERROR(__xludf.DUMMYFUNCTION("GOOGLEFINANCE(""ASX:BHD"", ""closeyest"")"),0.2)</f>
        <v>0.2</v>
      </c>
      <c r="F338" s="5" t="str">
        <f>IFERROR(__xludf.DUMMYFUNCTION("GOOGLEFINANCE(""ASX:BHD"", ""pe"")"),"#N/A")</f>
        <v>#N/A</v>
      </c>
      <c r="G338" s="9">
        <f>IFERROR(__xludf.DUMMYFUNCTION("GOOGLEFINANCE(""ASX:BHD"", ""high52"")"),0.21)</f>
        <v>0.21</v>
      </c>
      <c r="H338" s="9">
        <f>IFERROR(__xludf.DUMMYFUNCTION("GOOGLEFINANCE(""ASX:BHD"", ""low52"")"),0.18)</f>
        <v>0.18</v>
      </c>
      <c r="I338" s="9">
        <f>IFERROR(__xludf.DUMMYFUNCTION("GOOGLEFINANCE(""ASX:BHD"", ""marketcap"")"),4589497.0)</f>
        <v>4589497</v>
      </c>
      <c r="J338" s="5"/>
      <c r="K338" s="5"/>
      <c r="L338" s="5"/>
      <c r="M338" s="5"/>
      <c r="N338" s="11" t="s">
        <v>19</v>
      </c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6" t="s">
        <v>737</v>
      </c>
      <c r="B339" s="6" t="s">
        <v>738</v>
      </c>
      <c r="C339" s="5" t="s">
        <v>88</v>
      </c>
      <c r="D339" s="7">
        <f>IFERROR(__xludf.DUMMYFUNCTION("GOOGLEFINANCE(""ASX:BHL"", ""price"")"),0.39)</f>
        <v>0.39</v>
      </c>
      <c r="E339" s="8">
        <f>IFERROR(__xludf.DUMMYFUNCTION("GOOGLEFINANCE(""ASX:BHL"", ""closeyest"")"),0.4)</f>
        <v>0.4</v>
      </c>
      <c r="F339" s="5" t="str">
        <f>IFERROR(__xludf.DUMMYFUNCTION("GOOGLEFINANCE(""ASX:BHL"", ""pe"")"),"#N/A")</f>
        <v>#N/A</v>
      </c>
      <c r="G339" s="9">
        <f>IFERROR(__xludf.DUMMYFUNCTION("GOOGLEFINANCE(""ASX:BHL"", ""high52"")"),0.42)</f>
        <v>0.42</v>
      </c>
      <c r="H339" s="9">
        <f>IFERROR(__xludf.DUMMYFUNCTION("GOOGLEFINANCE(""ASX:BHL"", ""low52"")"),0.32)</f>
        <v>0.32</v>
      </c>
      <c r="I339" s="9" t="str">
        <f>IFERROR(__xludf.DUMMYFUNCTION("GOOGLEFINANCE(""ASX:BHL"", ""marketcap"")"),"#N/A")</f>
        <v>#N/A</v>
      </c>
      <c r="J339" s="5"/>
      <c r="K339" s="5"/>
      <c r="L339" s="5"/>
      <c r="M339" s="5"/>
      <c r="N339" s="11" t="s">
        <v>19</v>
      </c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6" t="s">
        <v>739</v>
      </c>
      <c r="B340" s="6" t="s">
        <v>740</v>
      </c>
      <c r="C340" s="5" t="s">
        <v>39</v>
      </c>
      <c r="D340" s="7">
        <f>IFERROR(__xludf.DUMMYFUNCTION("GOOGLEFINANCE(""ASX:BHM"", ""price"")"),1.17)</f>
        <v>1.17</v>
      </c>
      <c r="E340" s="8">
        <f>IFERROR(__xludf.DUMMYFUNCTION("GOOGLEFINANCE(""ASX:BHM"", ""closeyest"")"),1.18)</f>
        <v>1.18</v>
      </c>
      <c r="F340" s="5" t="str">
        <f>IFERROR(__xludf.DUMMYFUNCTION("GOOGLEFINANCE(""ASX:BHM"", ""pe"")"),"#N/A")</f>
        <v>#N/A</v>
      </c>
      <c r="G340" s="9">
        <f>IFERROR(__xludf.DUMMYFUNCTION("GOOGLEFINANCE(""ASX:BHM"", ""high52"")"),1.25)</f>
        <v>1.25</v>
      </c>
      <c r="H340" s="9">
        <f>IFERROR(__xludf.DUMMYFUNCTION("GOOGLEFINANCE(""ASX:BHM"", ""low52"")"),0.39)</f>
        <v>0.39</v>
      </c>
      <c r="I340" s="9">
        <f>IFERROR(__xludf.DUMMYFUNCTION("GOOGLEFINANCE(""ASX:BHM"", ""marketcap"")"),1.89853053E8)</f>
        <v>189853053</v>
      </c>
      <c r="J340" s="5"/>
      <c r="K340" s="5"/>
      <c r="L340" s="5"/>
      <c r="M340" s="5"/>
      <c r="N340" s="11" t="s">
        <v>19</v>
      </c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6" t="s">
        <v>741</v>
      </c>
      <c r="B341" s="6" t="s">
        <v>742</v>
      </c>
      <c r="C341" s="5" t="s">
        <v>18</v>
      </c>
      <c r="D341" s="7">
        <f>IFERROR(__xludf.DUMMYFUNCTION("GOOGLEFINANCE(""ASX:BHP"", ""price"")"),47.7)</f>
        <v>47.7</v>
      </c>
      <c r="E341" s="8">
        <f>IFERROR(__xludf.DUMMYFUNCTION("GOOGLEFINANCE(""ASX:BHP"", ""closeyest"")"),47.22)</f>
        <v>47.22</v>
      </c>
      <c r="F341" s="9">
        <f>IFERROR(__xludf.DUMMYFUNCTION("GOOGLEFINANCE(""ASX:BHP"", ""pe"")"),17.99)</f>
        <v>17.99</v>
      </c>
      <c r="G341" s="9">
        <f>IFERROR(__xludf.DUMMYFUNCTION("GOOGLEFINANCE(""ASX:BHP"", ""high52"")"),48.49)</f>
        <v>48.49</v>
      </c>
      <c r="H341" s="9">
        <f>IFERROR(__xludf.DUMMYFUNCTION("GOOGLEFINANCE(""ASX:BHP"", ""low52"")"),33.25)</f>
        <v>33.25</v>
      </c>
      <c r="I341" s="9">
        <f>IFERROR(__xludf.DUMMYFUNCTION("GOOGLEFINANCE(""ASX:BHP"", ""marketcap"")"),1.21327896E11)</f>
        <v>121327896000</v>
      </c>
      <c r="J341" s="5"/>
      <c r="K341" s="5"/>
      <c r="L341" s="5"/>
      <c r="M341" s="5"/>
      <c r="N341" s="10">
        <v>17.26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6" t="s">
        <v>743</v>
      </c>
      <c r="B342" s="6" t="s">
        <v>744</v>
      </c>
      <c r="C342" s="5" t="s">
        <v>36</v>
      </c>
      <c r="D342" s="7">
        <f>IFERROR(__xludf.DUMMYFUNCTION("GOOGLEFINANCE(""ASX:BHYB"", ""price"")"),9.87)</f>
        <v>9.87</v>
      </c>
      <c r="E342" s="8">
        <f>IFERROR(__xludf.DUMMYFUNCTION("GOOGLEFINANCE(""ASX:BHYB"", ""closeyest"")"),9.88)</f>
        <v>9.88</v>
      </c>
      <c r="F342" s="5" t="str">
        <f>IFERROR(__xludf.DUMMYFUNCTION("GOOGLEFINANCE(""ASX:BHYB"", ""pe"")"),"#N/A")</f>
        <v>#N/A</v>
      </c>
      <c r="G342" s="9">
        <f>IFERROR(__xludf.DUMMYFUNCTION("GOOGLEFINANCE(""ASX:BHYB"", ""high52"")"),9.98)</f>
        <v>9.98</v>
      </c>
      <c r="H342" s="9">
        <f>IFERROR(__xludf.DUMMYFUNCTION("GOOGLEFINANCE(""ASX:BHYB"", ""low52"")"),9.66)</f>
        <v>9.66</v>
      </c>
      <c r="I342" s="9" t="str">
        <f>IFERROR(__xludf.DUMMYFUNCTION("GOOGLEFINANCE(""ASX:BHYB"", ""marketcap"")"),"#N/A")</f>
        <v>#N/A</v>
      </c>
      <c r="J342" s="5"/>
      <c r="K342" s="5"/>
      <c r="L342" s="5"/>
      <c r="M342" s="5"/>
      <c r="N342" s="11" t="s">
        <v>19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6" t="s">
        <v>745</v>
      </c>
      <c r="B343" s="6" t="s">
        <v>746</v>
      </c>
      <c r="C343" s="5" t="s">
        <v>36</v>
      </c>
      <c r="D343" s="7">
        <f>IFERROR(__xludf.DUMMYFUNCTION("GOOGLEFINANCE(""ASX:BILL"", ""price"")"),100.49)</f>
        <v>100.49</v>
      </c>
      <c r="E343" s="8">
        <f>IFERROR(__xludf.DUMMYFUNCTION("GOOGLEFINANCE(""ASX:BILL"", ""closeyest"")"),100.82)</f>
        <v>100.82</v>
      </c>
      <c r="F343" s="5" t="str">
        <f>IFERROR(__xludf.DUMMYFUNCTION("GOOGLEFINANCE(""ASX:BILL"", ""pe"")"),"#N/A")</f>
        <v>#N/A</v>
      </c>
      <c r="G343" s="9">
        <f>IFERROR(__xludf.DUMMYFUNCTION("GOOGLEFINANCE(""ASX:BILL"", ""high52"")"),100.86)</f>
        <v>100.86</v>
      </c>
      <c r="H343" s="9">
        <f>IFERROR(__xludf.DUMMYFUNCTION("GOOGLEFINANCE(""ASX:BILL"", ""low52"")"),100.4)</f>
        <v>100.4</v>
      </c>
      <c r="I343" s="9" t="str">
        <f>IFERROR(__xludf.DUMMYFUNCTION("GOOGLEFINANCE(""ASX:BILL"", ""marketcap"")"),"#N/A")</f>
        <v>#N/A</v>
      </c>
      <c r="J343" s="5"/>
      <c r="K343" s="5"/>
      <c r="L343" s="5"/>
      <c r="M343" s="5"/>
      <c r="N343" s="11" t="s">
        <v>19</v>
      </c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6" t="s">
        <v>747</v>
      </c>
      <c r="B344" s="6" t="s">
        <v>748</v>
      </c>
      <c r="C344" s="5" t="s">
        <v>88</v>
      </c>
      <c r="D344" s="7">
        <f>IFERROR(__xludf.DUMMYFUNCTION("GOOGLEFINANCE(""ASX:BIM"", ""price"")"),0.11)</f>
        <v>0.11</v>
      </c>
      <c r="E344" s="8">
        <f>IFERROR(__xludf.DUMMYFUNCTION("GOOGLEFINANCE(""ASX:BIM"", ""closeyest"")"),0.12)</f>
        <v>0.12</v>
      </c>
      <c r="F344" s="5" t="str">
        <f>IFERROR(__xludf.DUMMYFUNCTION("GOOGLEFINANCE(""ASX:BIM"", ""pe"")"),"#N/A")</f>
        <v>#N/A</v>
      </c>
      <c r="G344" s="9">
        <f>IFERROR(__xludf.DUMMYFUNCTION("GOOGLEFINANCE(""ASX:BIM"", ""high52"")"),0.16)</f>
        <v>0.16</v>
      </c>
      <c r="H344" s="9">
        <f>IFERROR(__xludf.DUMMYFUNCTION("GOOGLEFINANCE(""ASX:BIM"", ""low52"")"),0.07)</f>
        <v>0.07</v>
      </c>
      <c r="I344" s="9">
        <f>IFERROR(__xludf.DUMMYFUNCTION("GOOGLEFINANCE(""ASX:BIM"", ""marketcap"")"),1.0130369E7)</f>
        <v>10130369</v>
      </c>
      <c r="J344" s="9">
        <v>0.004</v>
      </c>
      <c r="K344" s="9">
        <v>0.004</v>
      </c>
      <c r="L344" s="9">
        <v>0.018</v>
      </c>
      <c r="M344" s="9">
        <v>0.003</v>
      </c>
      <c r="N344" s="11" t="s">
        <v>19</v>
      </c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6" t="s">
        <v>749</v>
      </c>
      <c r="B345" s="6" t="s">
        <v>750</v>
      </c>
      <c r="C345" s="5" t="s">
        <v>174</v>
      </c>
      <c r="D345" s="7">
        <f>IFERROR(__xludf.DUMMYFUNCTION("GOOGLEFINANCE(""ASX:BIO"", ""price"")"),0.41)</f>
        <v>0.41</v>
      </c>
      <c r="E345" s="8">
        <f>IFERROR(__xludf.DUMMYFUNCTION("GOOGLEFINANCE(""ASX:BIO"", ""closeyest"")"),0.43)</f>
        <v>0.43</v>
      </c>
      <c r="F345" s="9">
        <f>IFERROR(__xludf.DUMMYFUNCTION("GOOGLEFINANCE(""ASX:BIO"", ""pe"")"),418.37)</f>
        <v>418.37</v>
      </c>
      <c r="G345" s="9">
        <f>IFERROR(__xludf.DUMMYFUNCTION("GOOGLEFINANCE(""ASX:BIO"", ""high52"")"),0.72)</f>
        <v>0.72</v>
      </c>
      <c r="H345" s="9">
        <f>IFERROR(__xludf.DUMMYFUNCTION("GOOGLEFINANCE(""ASX:BIO"", ""low52"")"),0.38)</f>
        <v>0.38</v>
      </c>
      <c r="I345" s="9">
        <f>IFERROR(__xludf.DUMMYFUNCTION("GOOGLEFINANCE(""ASX:BIO"", ""marketcap"")"),9.0277694E7)</f>
        <v>90277694</v>
      </c>
      <c r="J345" s="5"/>
      <c r="K345" s="5"/>
      <c r="L345" s="5"/>
      <c r="M345" s="5"/>
      <c r="N345" s="10">
        <v>423.47</v>
      </c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6" t="s">
        <v>751</v>
      </c>
      <c r="B346" s="6" t="s">
        <v>752</v>
      </c>
      <c r="C346" s="5" t="s">
        <v>212</v>
      </c>
      <c r="D346" s="7">
        <f>IFERROR(__xludf.DUMMYFUNCTION("GOOGLEFINANCE(""ASX:BIS"", ""price"")"),5.18)</f>
        <v>5.18</v>
      </c>
      <c r="E346" s="8">
        <f>IFERROR(__xludf.DUMMYFUNCTION("GOOGLEFINANCE(""ASX:BIS"", ""closeyest"")"),5.16)</f>
        <v>5.16</v>
      </c>
      <c r="F346" s="9">
        <f>IFERROR(__xludf.DUMMYFUNCTION("GOOGLEFINANCE(""ASX:BIS"", ""pe"")"),12.85)</f>
        <v>12.85</v>
      </c>
      <c r="G346" s="9">
        <f>IFERROR(__xludf.DUMMYFUNCTION("GOOGLEFINANCE(""ASX:BIS"", ""high52"")"),6.06)</f>
        <v>6.06</v>
      </c>
      <c r="H346" s="9">
        <f>IFERROR(__xludf.DUMMYFUNCTION("GOOGLEFINANCE(""ASX:BIS"", ""low52"")"),2.75)</f>
        <v>2.75</v>
      </c>
      <c r="I346" s="9">
        <f>IFERROR(__xludf.DUMMYFUNCTION("GOOGLEFINANCE(""ASX:BIS"", ""marketcap"")"),2.48852423E8)</f>
        <v>248852423</v>
      </c>
      <c r="J346" s="5"/>
      <c r="K346" s="5"/>
      <c r="L346" s="5"/>
      <c r="M346" s="5"/>
      <c r="N346" s="10">
        <v>12.11</v>
      </c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6" t="s">
        <v>751</v>
      </c>
      <c r="B347" s="6" t="s">
        <v>752</v>
      </c>
      <c r="C347" s="5" t="s">
        <v>212</v>
      </c>
      <c r="D347" s="7">
        <f>IFERROR(__xludf.DUMMYFUNCTION("GOOGLEFINANCE(""ASX:BIS"", ""price"")"),5.18)</f>
        <v>5.18</v>
      </c>
      <c r="E347" s="8">
        <f>IFERROR(__xludf.DUMMYFUNCTION("GOOGLEFINANCE(""ASX:BIS"", ""closeyest"")"),5.16)</f>
        <v>5.16</v>
      </c>
      <c r="F347" s="9">
        <f>IFERROR(__xludf.DUMMYFUNCTION("GOOGLEFINANCE(""ASX:BIS"", ""pe"")"),12.85)</f>
        <v>12.85</v>
      </c>
      <c r="G347" s="9">
        <f>IFERROR(__xludf.DUMMYFUNCTION("GOOGLEFINANCE(""ASX:BIS"", ""high52"")"),6.06)</f>
        <v>6.06</v>
      </c>
      <c r="H347" s="9">
        <f>IFERROR(__xludf.DUMMYFUNCTION("GOOGLEFINANCE(""ASX:BIS"", ""low52"")"),2.75)</f>
        <v>2.75</v>
      </c>
      <c r="I347" s="9">
        <f>IFERROR(__xludf.DUMMYFUNCTION("GOOGLEFINANCE(""ASX:BIS"", ""marketcap"")"),2.48852423E8)</f>
        <v>248852423</v>
      </c>
      <c r="J347" s="5"/>
      <c r="K347" s="5"/>
      <c r="L347" s="5"/>
      <c r="M347" s="5"/>
      <c r="N347" s="10">
        <v>12.11</v>
      </c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6" t="s">
        <v>753</v>
      </c>
      <c r="B348" s="6" t="s">
        <v>754</v>
      </c>
      <c r="C348" s="5" t="s">
        <v>25</v>
      </c>
      <c r="D348" s="7">
        <f>IFERROR(__xludf.DUMMYFUNCTION("GOOGLEFINANCE(""ASX:BIT"", ""price"")"),0.0)</f>
        <v>0</v>
      </c>
      <c r="E348" s="8">
        <f>IFERROR(__xludf.DUMMYFUNCTION("GOOGLEFINANCE(""ASX:BIT"", ""closeyest"")"),0.0)</f>
        <v>0</v>
      </c>
      <c r="F348" s="5" t="str">
        <f>IFERROR(__xludf.DUMMYFUNCTION("GOOGLEFINANCE(""ASX:BIT"", ""pe"")"),"#N/A")</f>
        <v>#N/A</v>
      </c>
      <c r="G348" s="9">
        <f>IFERROR(__xludf.DUMMYFUNCTION("GOOGLEFINANCE(""ASX:BIT"", ""high52"")"),0.01)</f>
        <v>0.01</v>
      </c>
      <c r="H348" s="9">
        <f>IFERROR(__xludf.DUMMYFUNCTION("GOOGLEFINANCE(""ASX:BIT"", ""low52"")"),0.0)</f>
        <v>0</v>
      </c>
      <c r="I348" s="9">
        <f>IFERROR(__xludf.DUMMYFUNCTION("GOOGLEFINANCE(""ASX:BIT"", ""marketcap"")"),1990869.0)</f>
        <v>1990869</v>
      </c>
      <c r="J348" s="10">
        <v>0.003</v>
      </c>
      <c r="K348" s="10">
        <v>0.003</v>
      </c>
      <c r="L348" s="10">
        <v>0.017</v>
      </c>
      <c r="M348" s="10">
        <v>0.002</v>
      </c>
      <c r="N348" s="11" t="s">
        <v>19</v>
      </c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6" t="s">
        <v>755</v>
      </c>
      <c r="B349" s="6" t="s">
        <v>756</v>
      </c>
      <c r="C349" s="5" t="s">
        <v>39</v>
      </c>
      <c r="D349" s="7">
        <f>IFERROR(__xludf.DUMMYFUNCTION("GOOGLEFINANCE(""ASX:BKB"", ""price"")"),0.96)</f>
        <v>0.96</v>
      </c>
      <c r="E349" s="8">
        <f>IFERROR(__xludf.DUMMYFUNCTION("GOOGLEFINANCE(""ASX:BKB"", ""closeyest"")"),0.98)</f>
        <v>0.98</v>
      </c>
      <c r="F349" s="5" t="str">
        <f>IFERROR(__xludf.DUMMYFUNCTION("GOOGLEFINANCE(""ASX:BKB"", ""pe"")"),"#N/A")</f>
        <v>#N/A</v>
      </c>
      <c r="G349" s="9">
        <f>IFERROR(__xludf.DUMMYFUNCTION("GOOGLEFINANCE(""ASX:BKB"", ""high52"")"),1.06)</f>
        <v>1.06</v>
      </c>
      <c r="H349" s="9">
        <f>IFERROR(__xludf.DUMMYFUNCTION("GOOGLEFINANCE(""ASX:BKB"", ""low52"")"),0.47)</f>
        <v>0.47</v>
      </c>
      <c r="I349" s="9">
        <f>IFERROR(__xludf.DUMMYFUNCTION("GOOGLEFINANCE(""ASX:BKB"", ""marketcap"")"),1.42792412E8)</f>
        <v>142792412</v>
      </c>
      <c r="J349" s="5"/>
      <c r="K349" s="5"/>
      <c r="L349" s="5"/>
      <c r="M349" s="5"/>
      <c r="N349" s="11" t="s">
        <v>19</v>
      </c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6" t="s">
        <v>757</v>
      </c>
      <c r="B350" s="6" t="s">
        <v>758</v>
      </c>
      <c r="C350" s="5" t="s">
        <v>171</v>
      </c>
      <c r="D350" s="7">
        <f>IFERROR(__xludf.DUMMYFUNCTION("GOOGLEFINANCE(""ASX:BKI"", ""price"")"),1.72)</f>
        <v>1.72</v>
      </c>
      <c r="E350" s="8">
        <f>IFERROR(__xludf.DUMMYFUNCTION("GOOGLEFINANCE(""ASX:BKI"", ""closeyest"")"),1.72)</f>
        <v>1.72</v>
      </c>
      <c r="F350" s="9">
        <f>IFERROR(__xludf.DUMMYFUNCTION("GOOGLEFINANCE(""ASX:BKI"", ""pe"")"),22.37)</f>
        <v>22.37</v>
      </c>
      <c r="G350" s="9">
        <f>IFERROR(__xludf.DUMMYFUNCTION("GOOGLEFINANCE(""ASX:BKI"", ""high52"")"),1.89)</f>
        <v>1.89</v>
      </c>
      <c r="H350" s="9">
        <f>IFERROR(__xludf.DUMMYFUNCTION("GOOGLEFINANCE(""ASX:BKI"", ""low52"")"),1.53)</f>
        <v>1.53</v>
      </c>
      <c r="I350" s="9">
        <f>IFERROR(__xludf.DUMMYFUNCTION("GOOGLEFINANCE(""ASX:BKI"", ""marketcap"")"),1.38025758E9)</f>
        <v>1380257580</v>
      </c>
      <c r="J350" s="5"/>
      <c r="K350" s="5"/>
      <c r="L350" s="5"/>
      <c r="M350" s="5"/>
      <c r="N350" s="10">
        <v>22.43</v>
      </c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6" t="s">
        <v>759</v>
      </c>
      <c r="B351" s="6" t="s">
        <v>760</v>
      </c>
      <c r="C351" s="5" t="s">
        <v>39</v>
      </c>
      <c r="D351" s="7">
        <f>IFERROR(__xludf.DUMMYFUNCTION("GOOGLEFINANCE(""ASX:BKT"", ""price"")"),0.02)</f>
        <v>0.02</v>
      </c>
      <c r="E351" s="8">
        <f>IFERROR(__xludf.DUMMYFUNCTION("GOOGLEFINANCE(""ASX:BKT"", ""closeyest"")"),0.02)</f>
        <v>0.02</v>
      </c>
      <c r="F351" s="5" t="str">
        <f>IFERROR(__xludf.DUMMYFUNCTION("GOOGLEFINANCE(""ASX:BKT"", ""pe"")"),"#N/A")</f>
        <v>#N/A</v>
      </c>
      <c r="G351" s="9">
        <f>IFERROR(__xludf.DUMMYFUNCTION("GOOGLEFINANCE(""ASX:BKT"", ""high52"")"),0.04)</f>
        <v>0.04</v>
      </c>
      <c r="H351" s="9">
        <f>IFERROR(__xludf.DUMMYFUNCTION("GOOGLEFINANCE(""ASX:BKT"", ""low52"")"),0.01)</f>
        <v>0.01</v>
      </c>
      <c r="I351" s="9">
        <f>IFERROR(__xludf.DUMMYFUNCTION("GOOGLEFINANCE(""ASX:BKT"", ""marketcap"")"),3.2860185E7)</f>
        <v>32860185</v>
      </c>
      <c r="J351" s="5"/>
      <c r="K351" s="5"/>
      <c r="L351" s="5"/>
      <c r="M351" s="5"/>
      <c r="N351" s="11" t="s">
        <v>19</v>
      </c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6" t="s">
        <v>761</v>
      </c>
      <c r="B352" s="6" t="s">
        <v>762</v>
      </c>
      <c r="C352" s="5" t="s">
        <v>450</v>
      </c>
      <c r="D352" s="7">
        <f>IFERROR(__xludf.DUMMYFUNCTION("GOOGLEFINANCE(""ASX:BKY"", ""price"")"),0.56)</f>
        <v>0.56</v>
      </c>
      <c r="E352" s="8">
        <f>IFERROR(__xludf.DUMMYFUNCTION("GOOGLEFINANCE(""ASX:BKY"", ""closeyest"")"),0.56)</f>
        <v>0.56</v>
      </c>
      <c r="F352" s="5" t="str">
        <f>IFERROR(__xludf.DUMMYFUNCTION("GOOGLEFINANCE(""ASX:BKY"", ""pe"")"),"#N/A")</f>
        <v>#N/A</v>
      </c>
      <c r="G352" s="9">
        <f>IFERROR(__xludf.DUMMYFUNCTION("GOOGLEFINANCE(""ASX:BKY"", ""high52"")"),0.7)</f>
        <v>0.7</v>
      </c>
      <c r="H352" s="9">
        <f>IFERROR(__xludf.DUMMYFUNCTION("GOOGLEFINANCE(""ASX:BKY"", ""low52"")"),0.31)</f>
        <v>0.31</v>
      </c>
      <c r="I352" s="9">
        <f>IFERROR(__xludf.DUMMYFUNCTION("GOOGLEFINANCE(""ASX:BKY"", ""marketcap"")"),2.49924137E8)</f>
        <v>249924137</v>
      </c>
      <c r="J352" s="5"/>
      <c r="K352" s="5"/>
      <c r="L352" s="5"/>
      <c r="M352" s="5"/>
      <c r="N352" s="11" t="s">
        <v>19</v>
      </c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6" t="s">
        <v>763</v>
      </c>
      <c r="B353" s="6" t="s">
        <v>764</v>
      </c>
      <c r="C353" s="5" t="s">
        <v>330</v>
      </c>
      <c r="D353" s="7">
        <f>IFERROR(__xludf.DUMMYFUNCTION("GOOGLEFINANCE(""ASX:BLG"", ""price"")"),0.23)</f>
        <v>0.23</v>
      </c>
      <c r="E353" s="8">
        <f>IFERROR(__xludf.DUMMYFUNCTION("GOOGLEFINANCE(""ASX:BLG"", ""closeyest"")"),0.24)</f>
        <v>0.24</v>
      </c>
      <c r="F353" s="5" t="str">
        <f>IFERROR(__xludf.DUMMYFUNCTION("GOOGLEFINANCE(""ASX:BLG"", ""pe"")"),"#N/A")</f>
        <v>#N/A</v>
      </c>
      <c r="G353" s="9">
        <f>IFERROR(__xludf.DUMMYFUNCTION("GOOGLEFINANCE(""ASX:BLG"", ""high52"")"),0.52)</f>
        <v>0.52</v>
      </c>
      <c r="H353" s="9">
        <f>IFERROR(__xludf.DUMMYFUNCTION("GOOGLEFINANCE(""ASX:BLG"", ""low52"")"),0.16)</f>
        <v>0.16</v>
      </c>
      <c r="I353" s="9">
        <f>IFERROR(__xludf.DUMMYFUNCTION("GOOGLEFINANCE(""ASX:BLG"", ""marketcap"")"),3.0079285E7)</f>
        <v>30079285</v>
      </c>
      <c r="J353" s="5"/>
      <c r="K353" s="5"/>
      <c r="L353" s="5"/>
      <c r="M353" s="5"/>
      <c r="N353" s="11" t="s">
        <v>19</v>
      </c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6" t="s">
        <v>765</v>
      </c>
      <c r="B354" s="6" t="s">
        <v>766</v>
      </c>
      <c r="C354" s="5" t="s">
        <v>78</v>
      </c>
      <c r="D354" s="7">
        <f>IFERROR(__xludf.DUMMYFUNCTION("GOOGLEFINANCE(""ASX:BLU"", ""price"")"),0.01)</f>
        <v>0.01</v>
      </c>
      <c r="E354" s="8">
        <f>IFERROR(__xludf.DUMMYFUNCTION("GOOGLEFINANCE(""ASX:BLU"", ""closeyest"")"),0.01)</f>
        <v>0.01</v>
      </c>
      <c r="F354" s="5" t="str">
        <f>IFERROR(__xludf.DUMMYFUNCTION("GOOGLEFINANCE(""ASX:BLU"", ""pe"")"),"#N/A")</f>
        <v>#N/A</v>
      </c>
      <c r="G354" s="9">
        <f>IFERROR(__xludf.DUMMYFUNCTION("GOOGLEFINANCE(""ASX:BLU"", ""high52"")"),0.01)</f>
        <v>0.01</v>
      </c>
      <c r="H354" s="9">
        <f>IFERROR(__xludf.DUMMYFUNCTION("GOOGLEFINANCE(""ASX:BLU"", ""low52"")"),0.0)</f>
        <v>0</v>
      </c>
      <c r="I354" s="9">
        <f>IFERROR(__xludf.DUMMYFUNCTION("GOOGLEFINANCE(""ASX:BLU"", ""marketcap"")"),1.0843104E7)</f>
        <v>10843104</v>
      </c>
      <c r="J354" s="5"/>
      <c r="K354" s="5"/>
      <c r="L354" s="5"/>
      <c r="M354" s="5"/>
      <c r="N354" s="11" t="s">
        <v>19</v>
      </c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6" t="s">
        <v>767</v>
      </c>
      <c r="B355" s="6" t="s">
        <v>768</v>
      </c>
      <c r="C355" s="5" t="s">
        <v>769</v>
      </c>
      <c r="D355" s="7">
        <f>IFERROR(__xludf.DUMMYFUNCTION("GOOGLEFINANCE(""ASX:BLX"", ""price"")"),2.73)</f>
        <v>2.73</v>
      </c>
      <c r="E355" s="8">
        <f>IFERROR(__xludf.DUMMYFUNCTION("GOOGLEFINANCE(""ASX:BLX"", ""closeyest"")"),2.74)</f>
        <v>2.74</v>
      </c>
      <c r="F355" s="9">
        <f>IFERROR(__xludf.DUMMYFUNCTION("GOOGLEFINANCE(""ASX:BLX"", ""pe"")"),21.14)</f>
        <v>21.14</v>
      </c>
      <c r="G355" s="9">
        <f>IFERROR(__xludf.DUMMYFUNCTION("GOOGLEFINANCE(""ASX:BLX"", ""high52"")"),3.8)</f>
        <v>3.8</v>
      </c>
      <c r="H355" s="9">
        <f>IFERROR(__xludf.DUMMYFUNCTION("GOOGLEFINANCE(""ASX:BLX"", ""low52"")"),2.65)</f>
        <v>2.65</v>
      </c>
      <c r="I355" s="9">
        <f>IFERROR(__xludf.DUMMYFUNCTION("GOOGLEFINANCE(""ASX:BLX"", ""marketcap"")"),6.26103937E8)</f>
        <v>626103937</v>
      </c>
      <c r="J355" s="5"/>
      <c r="K355" s="5"/>
      <c r="L355" s="5"/>
      <c r="M355" s="5"/>
      <c r="N355" s="10">
        <v>21.92</v>
      </c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6" t="s">
        <v>770</v>
      </c>
      <c r="B356" s="6" t="s">
        <v>771</v>
      </c>
      <c r="C356" s="5" t="s">
        <v>88</v>
      </c>
      <c r="D356" s="7">
        <f>IFERROR(__xludf.DUMMYFUNCTION("GOOGLEFINANCE(""ASX:BLZ"", ""price"")"),0.0)</f>
        <v>0</v>
      </c>
      <c r="E356" s="8">
        <f>IFERROR(__xludf.DUMMYFUNCTION("GOOGLEFINANCE(""ASX:BLZ"", ""closeyest"")"),0.0)</f>
        <v>0</v>
      </c>
      <c r="F356" s="5" t="str">
        <f>IFERROR(__xludf.DUMMYFUNCTION("GOOGLEFINANCE(""ASX:BLZ"", ""pe"")"),"#N/A")</f>
        <v>#N/A</v>
      </c>
      <c r="G356" s="9">
        <f>IFERROR(__xludf.DUMMYFUNCTION("GOOGLEFINANCE(""ASX:BLZ"", ""high52"")"),0.0)</f>
        <v>0</v>
      </c>
      <c r="H356" s="9">
        <f>IFERROR(__xludf.DUMMYFUNCTION("GOOGLEFINANCE(""ASX:BLZ"", ""low52"")"),0.0)</f>
        <v>0</v>
      </c>
      <c r="I356" s="9">
        <f>IFERROR(__xludf.DUMMYFUNCTION("GOOGLEFINANCE(""ASX:BLZ"", ""marketcap"")"),783474.0)</f>
        <v>783474</v>
      </c>
      <c r="J356" s="12">
        <v>0.001</v>
      </c>
      <c r="K356" s="12">
        <v>0.001</v>
      </c>
      <c r="L356" s="12">
        <v>0.005</v>
      </c>
      <c r="M356" s="12">
        <v>0.001</v>
      </c>
      <c r="N356" s="11" t="s">
        <v>19</v>
      </c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6" t="s">
        <v>772</v>
      </c>
      <c r="B357" s="6" t="s">
        <v>773</v>
      </c>
      <c r="C357" s="5" t="s">
        <v>88</v>
      </c>
      <c r="D357" s="7">
        <f>IFERROR(__xludf.DUMMYFUNCTION("GOOGLEFINANCE(""ASX:BM1"", ""price"")"),0.73)</f>
        <v>0.73</v>
      </c>
      <c r="E357" s="8">
        <f>IFERROR(__xludf.DUMMYFUNCTION("GOOGLEFINANCE(""ASX:BM1"", ""closeyest"")"),0.73)</f>
        <v>0.73</v>
      </c>
      <c r="F357" s="5" t="str">
        <f>IFERROR(__xludf.DUMMYFUNCTION("GOOGLEFINANCE(""ASX:BM1"", ""pe"")"),"#N/A")</f>
        <v>#N/A</v>
      </c>
      <c r="G357" s="9">
        <f>IFERROR(__xludf.DUMMYFUNCTION("GOOGLEFINANCE(""ASX:BM1"", ""high52"")"),0.75)</f>
        <v>0.75</v>
      </c>
      <c r="H357" s="9">
        <f>IFERROR(__xludf.DUMMYFUNCTION("GOOGLEFINANCE(""ASX:BM1"", ""low52"")"),0.35)</f>
        <v>0.35</v>
      </c>
      <c r="I357" s="9">
        <f>IFERROR(__xludf.DUMMYFUNCTION("GOOGLEFINANCE(""ASX:BM1"", ""marketcap"")"),1.60982485E8)</f>
        <v>160982485</v>
      </c>
      <c r="J357" s="5"/>
      <c r="K357" s="5"/>
      <c r="L357" s="5"/>
      <c r="M357" s="5"/>
      <c r="N357" s="11" t="s">
        <v>19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6" t="s">
        <v>774</v>
      </c>
      <c r="B358" s="6" t="s">
        <v>775</v>
      </c>
      <c r="C358" s="5" t="s">
        <v>39</v>
      </c>
      <c r="D358" s="7">
        <f>IFERROR(__xludf.DUMMYFUNCTION("GOOGLEFINANCE(""ASX:BM8"", ""price"")"),0.1)</f>
        <v>0.1</v>
      </c>
      <c r="E358" s="8">
        <f>IFERROR(__xludf.DUMMYFUNCTION("GOOGLEFINANCE(""ASX:BM8"", ""closeyest"")"),0.11)</f>
        <v>0.11</v>
      </c>
      <c r="F358" s="5" t="str">
        <f>IFERROR(__xludf.DUMMYFUNCTION("GOOGLEFINANCE(""ASX:BM8"", ""pe"")"),"#N/A")</f>
        <v>#N/A</v>
      </c>
      <c r="G358" s="9">
        <f>IFERROR(__xludf.DUMMYFUNCTION("GOOGLEFINANCE(""ASX:BM8"", ""high52"")"),0.28)</f>
        <v>0.28</v>
      </c>
      <c r="H358" s="9">
        <f>IFERROR(__xludf.DUMMYFUNCTION("GOOGLEFINANCE(""ASX:BM8"", ""low52"")"),0.05)</f>
        <v>0.05</v>
      </c>
      <c r="I358" s="9">
        <f>IFERROR(__xludf.DUMMYFUNCTION("GOOGLEFINANCE(""ASX:BM8"", ""marketcap"")"),2.10489E7)</f>
        <v>21048900</v>
      </c>
      <c r="J358" s="5"/>
      <c r="K358" s="5"/>
      <c r="L358" s="5"/>
      <c r="M358" s="5"/>
      <c r="N358" s="11" t="s">
        <v>19</v>
      </c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6" t="s">
        <v>776</v>
      </c>
      <c r="B359" s="6" t="s">
        <v>777</v>
      </c>
      <c r="C359" s="5" t="s">
        <v>778</v>
      </c>
      <c r="D359" s="7">
        <f>IFERROR(__xludf.DUMMYFUNCTION("GOOGLEFINANCE(""ASX:BMC"", ""price"")"),2.8)</f>
        <v>2.8</v>
      </c>
      <c r="E359" s="8">
        <f>IFERROR(__xludf.DUMMYFUNCTION("GOOGLEFINANCE(""ASX:BMC"", ""closeyest"")"),2.7)</f>
        <v>2.7</v>
      </c>
      <c r="F359" s="5" t="str">
        <f>IFERROR(__xludf.DUMMYFUNCTION("GOOGLEFINANCE(""ASX:BMC"", ""pe"")"),"#N/A")</f>
        <v>#N/A</v>
      </c>
      <c r="G359" s="9">
        <f>IFERROR(__xludf.DUMMYFUNCTION("GOOGLEFINANCE(""ASX:BMC"", ""high52"")"),2.93)</f>
        <v>2.93</v>
      </c>
      <c r="H359" s="9">
        <f>IFERROR(__xludf.DUMMYFUNCTION("GOOGLEFINANCE(""ASX:BMC"", ""low52"")"),2.25)</f>
        <v>2.25</v>
      </c>
      <c r="I359" s="9" t="str">
        <f>IFERROR(__xludf.DUMMYFUNCTION("GOOGLEFINANCE(""ASX:BMC"", ""marketcap"")"),"#N/A")</f>
        <v>#N/A</v>
      </c>
      <c r="J359" s="5"/>
      <c r="K359" s="5"/>
      <c r="L359" s="5"/>
      <c r="M359" s="5"/>
      <c r="N359" s="11" t="s">
        <v>19</v>
      </c>
      <c r="O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6" t="s">
        <v>779</v>
      </c>
      <c r="B360" s="6" t="s">
        <v>780</v>
      </c>
      <c r="C360" s="5" t="s">
        <v>18</v>
      </c>
      <c r="D360" s="7">
        <f>IFERROR(__xludf.DUMMYFUNCTION("GOOGLEFINANCE(""ASX:BMG"", ""price"")"),0.03)</f>
        <v>0.03</v>
      </c>
      <c r="E360" s="8">
        <f>IFERROR(__xludf.DUMMYFUNCTION("GOOGLEFINANCE(""ASX:BMG"", ""closeyest"")"),0.03)</f>
        <v>0.03</v>
      </c>
      <c r="F360" s="5" t="str">
        <f>IFERROR(__xludf.DUMMYFUNCTION("GOOGLEFINANCE(""ASX:BMG"", ""pe"")"),"#N/A")</f>
        <v>#N/A</v>
      </c>
      <c r="G360" s="9">
        <f>IFERROR(__xludf.DUMMYFUNCTION("GOOGLEFINANCE(""ASX:BMG"", ""high52"")"),0.03)</f>
        <v>0.03</v>
      </c>
      <c r="H360" s="9">
        <f>IFERROR(__xludf.DUMMYFUNCTION("GOOGLEFINANCE(""ASX:BMG"", ""low52"")"),0.01)</f>
        <v>0.01</v>
      </c>
      <c r="I360" s="9">
        <f>IFERROR(__xludf.DUMMYFUNCTION("GOOGLEFINANCE(""ASX:BMG"", ""marketcap"")"),2.3193215E7)</f>
        <v>23193215</v>
      </c>
      <c r="J360" s="5"/>
      <c r="K360" s="5"/>
      <c r="L360" s="5"/>
      <c r="M360" s="5"/>
      <c r="N360" s="11" t="s">
        <v>19</v>
      </c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6" t="s">
        <v>781</v>
      </c>
      <c r="B361" s="6" t="s">
        <v>782</v>
      </c>
      <c r="C361" s="5" t="s">
        <v>783</v>
      </c>
      <c r="D361" s="7">
        <f>IFERROR(__xludf.DUMMYFUNCTION("GOOGLEFINANCE(""ASX:BMH"", ""price"")"),0.01)</f>
        <v>0.01</v>
      </c>
      <c r="E361" s="8">
        <f>IFERROR(__xludf.DUMMYFUNCTION("GOOGLEFINANCE(""ASX:BMH"", ""closeyest"")"),0.01)</f>
        <v>0.01</v>
      </c>
      <c r="F361" s="5" t="str">
        <f>IFERROR(__xludf.DUMMYFUNCTION("GOOGLEFINANCE(""ASX:BMH"", ""pe"")"),"#N/A")</f>
        <v>#N/A</v>
      </c>
      <c r="G361" s="9">
        <f>IFERROR(__xludf.DUMMYFUNCTION("GOOGLEFINANCE(""ASX:BMH"", ""high52"")"),0.06)</f>
        <v>0.06</v>
      </c>
      <c r="H361" s="9">
        <f>IFERROR(__xludf.DUMMYFUNCTION("GOOGLEFINANCE(""ASX:BMH"", ""low52"")"),0.01)</f>
        <v>0.01</v>
      </c>
      <c r="I361" s="9">
        <f>IFERROR(__xludf.DUMMYFUNCTION("GOOGLEFINANCE(""ASX:BMH"", ""marketcap"")"),1140830.0)</f>
        <v>1140830</v>
      </c>
      <c r="J361" s="5"/>
      <c r="K361" s="5"/>
      <c r="L361" s="5"/>
      <c r="M361" s="5"/>
      <c r="N361" s="11" t="s">
        <v>19</v>
      </c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6" t="s">
        <v>784</v>
      </c>
      <c r="B362" s="6" t="s">
        <v>785</v>
      </c>
      <c r="C362" s="5" t="s">
        <v>18</v>
      </c>
      <c r="D362" s="7">
        <f>IFERROR(__xludf.DUMMYFUNCTION("GOOGLEFINANCE(""ASX:BML"", ""price"")"),0.48)</f>
        <v>0.48</v>
      </c>
      <c r="E362" s="8">
        <f>IFERROR(__xludf.DUMMYFUNCTION("GOOGLEFINANCE(""ASX:BML"", ""closeyest"")"),0.48)</f>
        <v>0.48</v>
      </c>
      <c r="F362" s="5" t="str">
        <f>IFERROR(__xludf.DUMMYFUNCTION("GOOGLEFINANCE(""ASX:BML"", ""pe"")"),"#N/A")</f>
        <v>#N/A</v>
      </c>
      <c r="G362" s="9">
        <f>IFERROR(__xludf.DUMMYFUNCTION("GOOGLEFINANCE(""ASX:BML"", ""high52"")"),0.56)</f>
        <v>0.56</v>
      </c>
      <c r="H362" s="9">
        <f>IFERROR(__xludf.DUMMYFUNCTION("GOOGLEFINANCE(""ASX:BML"", ""low52"")"),0.11)</f>
        <v>0.11</v>
      </c>
      <c r="I362" s="9">
        <f>IFERROR(__xludf.DUMMYFUNCTION("GOOGLEFINANCE(""ASX:BML"", ""marketcap"")"),2.40010609E8)</f>
        <v>240010609</v>
      </c>
      <c r="J362" s="5"/>
      <c r="K362" s="5"/>
      <c r="L362" s="5"/>
      <c r="M362" s="5"/>
      <c r="N362" s="11" t="s">
        <v>19</v>
      </c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6" t="s">
        <v>786</v>
      </c>
      <c r="B363" s="6" t="s">
        <v>787</v>
      </c>
      <c r="C363" s="5" t="s">
        <v>39</v>
      </c>
      <c r="D363" s="7">
        <f>IFERROR(__xludf.DUMMYFUNCTION("GOOGLEFINANCE(""ASX:BMM"", ""price"")"),0.12)</f>
        <v>0.12</v>
      </c>
      <c r="E363" s="8">
        <f>IFERROR(__xludf.DUMMYFUNCTION("GOOGLEFINANCE(""ASX:BMM"", ""closeyest"")"),0.1)</f>
        <v>0.1</v>
      </c>
      <c r="F363" s="5" t="str">
        <f>IFERROR(__xludf.DUMMYFUNCTION("GOOGLEFINANCE(""ASX:BMM"", ""pe"")"),"#N/A")</f>
        <v>#N/A</v>
      </c>
      <c r="G363" s="9">
        <f>IFERROR(__xludf.DUMMYFUNCTION("GOOGLEFINANCE(""ASX:BMM"", ""high52"")"),0.28)</f>
        <v>0.28</v>
      </c>
      <c r="H363" s="9">
        <f>IFERROR(__xludf.DUMMYFUNCTION("GOOGLEFINANCE(""ASX:BMM"", ""low52"")"),0.03)</f>
        <v>0.03</v>
      </c>
      <c r="I363" s="9">
        <f>IFERROR(__xludf.DUMMYFUNCTION("GOOGLEFINANCE(""ASX:BMM"", ""marketcap"")"),1.5070566E7)</f>
        <v>15070566</v>
      </c>
      <c r="J363" s="5"/>
      <c r="K363" s="5"/>
      <c r="L363" s="5"/>
      <c r="M363" s="5"/>
      <c r="N363" s="11" t="s">
        <v>19</v>
      </c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6" t="s">
        <v>788</v>
      </c>
      <c r="B364" s="6" t="s">
        <v>789</v>
      </c>
      <c r="C364" s="5" t="s">
        <v>28</v>
      </c>
      <c r="D364" s="7">
        <f>IFERROR(__xludf.DUMMYFUNCTION("GOOGLEFINANCE(""ASX:BMN"", ""price"")"),3.75)</f>
        <v>3.75</v>
      </c>
      <c r="E364" s="8">
        <f>IFERROR(__xludf.DUMMYFUNCTION("GOOGLEFINANCE(""ASX:BMN"", ""closeyest"")"),3.74)</f>
        <v>3.74</v>
      </c>
      <c r="F364" s="5" t="str">
        <f>IFERROR(__xludf.DUMMYFUNCTION("GOOGLEFINANCE(""ASX:BMN"", ""pe"")"),"#N/A")</f>
        <v>#N/A</v>
      </c>
      <c r="G364" s="9">
        <f>IFERROR(__xludf.DUMMYFUNCTION("GOOGLEFINANCE(""ASX:BMN"", ""high52"")"),4.07)</f>
        <v>4.07</v>
      </c>
      <c r="H364" s="9">
        <f>IFERROR(__xludf.DUMMYFUNCTION("GOOGLEFINANCE(""ASX:BMN"", ""low52"")"),1.76)</f>
        <v>1.76</v>
      </c>
      <c r="I364" s="9">
        <f>IFERROR(__xludf.DUMMYFUNCTION("GOOGLEFINANCE(""ASX:BMN"", ""marketcap"")"),7.787085E8)</f>
        <v>778708500</v>
      </c>
      <c r="J364" s="5"/>
      <c r="K364" s="5"/>
      <c r="L364" s="5"/>
      <c r="M364" s="5"/>
      <c r="N364" s="11" t="s">
        <v>19</v>
      </c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6" t="s">
        <v>788</v>
      </c>
      <c r="B365" s="6" t="s">
        <v>789</v>
      </c>
      <c r="C365" s="5" t="s">
        <v>28</v>
      </c>
      <c r="D365" s="7">
        <f>IFERROR(__xludf.DUMMYFUNCTION("GOOGLEFINANCE(""ASX:BMN"", ""price"")"),3.75)</f>
        <v>3.75</v>
      </c>
      <c r="E365" s="8">
        <f>IFERROR(__xludf.DUMMYFUNCTION("GOOGLEFINANCE(""ASX:BMN"", ""closeyest"")"),3.74)</f>
        <v>3.74</v>
      </c>
      <c r="F365" s="5" t="str">
        <f>IFERROR(__xludf.DUMMYFUNCTION("GOOGLEFINANCE(""ASX:BMN"", ""pe"")"),"#N/A")</f>
        <v>#N/A</v>
      </c>
      <c r="G365" s="9">
        <f>IFERROR(__xludf.DUMMYFUNCTION("GOOGLEFINANCE(""ASX:BMN"", ""high52"")"),4.07)</f>
        <v>4.07</v>
      </c>
      <c r="H365" s="9">
        <f>IFERROR(__xludf.DUMMYFUNCTION("GOOGLEFINANCE(""ASX:BMN"", ""low52"")"),1.76)</f>
        <v>1.76</v>
      </c>
      <c r="I365" s="9">
        <f>IFERROR(__xludf.DUMMYFUNCTION("GOOGLEFINANCE(""ASX:BMN"", ""marketcap"")"),7.787085E8)</f>
        <v>778708500</v>
      </c>
      <c r="J365" s="5"/>
      <c r="K365" s="5"/>
      <c r="L365" s="5"/>
      <c r="M365" s="5"/>
      <c r="N365" s="11" t="s">
        <v>19</v>
      </c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13" t="s">
        <v>788</v>
      </c>
      <c r="B366" s="13" t="s">
        <v>789</v>
      </c>
      <c r="C366" s="14" t="s">
        <v>28</v>
      </c>
      <c r="D366" s="15">
        <f>IFERROR(__xludf.DUMMYFUNCTION("GOOGLEFINANCE(""ASX:BMN"", ""price"")"),3.75)</f>
        <v>3.75</v>
      </c>
      <c r="E366" s="8">
        <f>IFERROR(__xludf.DUMMYFUNCTION("GOOGLEFINANCE(""ASX:BMN"", ""closeyest"")"),3.74)</f>
        <v>3.74</v>
      </c>
      <c r="F366" s="5" t="str">
        <f>IFERROR(__xludf.DUMMYFUNCTION("GOOGLEFINANCE(""ASX:BMN"", ""pe"")"),"#N/A")</f>
        <v>#N/A</v>
      </c>
      <c r="G366" s="9">
        <f>IFERROR(__xludf.DUMMYFUNCTION("GOOGLEFINANCE(""ASX:BMN"", ""high52"")"),4.07)</f>
        <v>4.07</v>
      </c>
      <c r="H366" s="9">
        <f>IFERROR(__xludf.DUMMYFUNCTION("GOOGLEFINANCE(""ASX:BMN"", ""low52"")"),1.76)</f>
        <v>1.76</v>
      </c>
      <c r="I366" s="9">
        <f>IFERROR(__xludf.DUMMYFUNCTION("GOOGLEFINANCE(""ASX:BMN"", ""marketcap"")"),7.787085E8)</f>
        <v>778708500</v>
      </c>
      <c r="J366" s="5"/>
      <c r="K366" s="5"/>
      <c r="L366" s="5"/>
      <c r="M366" s="5"/>
      <c r="N366" s="11" t="s">
        <v>19</v>
      </c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6" t="s">
        <v>790</v>
      </c>
      <c r="B367" s="6" t="s">
        <v>791</v>
      </c>
      <c r="C367" s="5" t="s">
        <v>18</v>
      </c>
      <c r="D367" s="7">
        <f>IFERROR(__xludf.DUMMYFUNCTION("GOOGLEFINANCE(""ASX:BMO"", ""price"")"),0.04)</f>
        <v>0.04</v>
      </c>
      <c r="E367" s="8">
        <f>IFERROR(__xludf.DUMMYFUNCTION("GOOGLEFINANCE(""ASX:BMO"", ""closeyest"")"),0.04)</f>
        <v>0.04</v>
      </c>
      <c r="F367" s="5" t="str">
        <f>IFERROR(__xludf.DUMMYFUNCTION("GOOGLEFINANCE(""ASX:BMO"", ""pe"")"),"#N/A")</f>
        <v>#N/A</v>
      </c>
      <c r="G367" s="9">
        <f>IFERROR(__xludf.DUMMYFUNCTION("GOOGLEFINANCE(""ASX:BMO"", ""high52"")"),0.16)</f>
        <v>0.16</v>
      </c>
      <c r="H367" s="9">
        <f>IFERROR(__xludf.DUMMYFUNCTION("GOOGLEFINANCE(""ASX:BMO"", ""low52"")"),0.03)</f>
        <v>0.03</v>
      </c>
      <c r="I367" s="9">
        <f>IFERROR(__xludf.DUMMYFUNCTION("GOOGLEFINANCE(""ASX:BMO"", ""marketcap"")"),2963893.0)</f>
        <v>2963893</v>
      </c>
      <c r="J367" s="5"/>
      <c r="K367" s="5"/>
      <c r="L367" s="5"/>
      <c r="M367" s="5"/>
      <c r="N367" s="11" t="s">
        <v>19</v>
      </c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6" t="s">
        <v>792</v>
      </c>
      <c r="B368" s="6" t="s">
        <v>793</v>
      </c>
      <c r="C368" s="5" t="s">
        <v>18</v>
      </c>
      <c r="D368" s="7">
        <f>IFERROR(__xludf.DUMMYFUNCTION("GOOGLEFINANCE(""ASX:BMR"", ""price"")"),0.32)</f>
        <v>0.32</v>
      </c>
      <c r="E368" s="8">
        <f>IFERROR(__xludf.DUMMYFUNCTION("GOOGLEFINANCE(""ASX:BMR"", ""closeyest"")"),0.31)</f>
        <v>0.31</v>
      </c>
      <c r="F368" s="5" t="str">
        <f>IFERROR(__xludf.DUMMYFUNCTION("GOOGLEFINANCE(""ASX:BMR"", ""pe"")"),"#N/A")</f>
        <v>#N/A</v>
      </c>
      <c r="G368" s="9">
        <f>IFERROR(__xludf.DUMMYFUNCTION("GOOGLEFINANCE(""ASX:BMR"", ""high52"")"),0.35)</f>
        <v>0.35</v>
      </c>
      <c r="H368" s="9">
        <f>IFERROR(__xludf.DUMMYFUNCTION("GOOGLEFINANCE(""ASX:BMR"", ""low52"")"),0.1)</f>
        <v>0.1</v>
      </c>
      <c r="I368" s="9">
        <f>IFERROR(__xludf.DUMMYFUNCTION("GOOGLEFINANCE(""ASX:BMR"", ""marketcap"")"),6.5157623E7)</f>
        <v>65157623</v>
      </c>
      <c r="J368" s="9">
        <v>0.003</v>
      </c>
      <c r="K368" s="9">
        <v>0.004</v>
      </c>
      <c r="L368" s="9">
        <v>0.007</v>
      </c>
      <c r="M368" s="9">
        <v>0.002</v>
      </c>
      <c r="N368" s="11" t="s">
        <v>19</v>
      </c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6" t="s">
        <v>794</v>
      </c>
      <c r="B369" s="6" t="s">
        <v>795</v>
      </c>
      <c r="C369" s="5" t="s">
        <v>15</v>
      </c>
      <c r="D369" s="7">
        <f>IFERROR(__xludf.DUMMYFUNCTION("GOOGLEFINANCE(""ASX:BMT"", ""price"")"),0.2)</f>
        <v>0.2</v>
      </c>
      <c r="E369" s="8">
        <f>IFERROR(__xludf.DUMMYFUNCTION("GOOGLEFINANCE(""ASX:BMT"", ""closeyest"")"),0.22)</f>
        <v>0.22</v>
      </c>
      <c r="F369" s="5" t="str">
        <f>IFERROR(__xludf.DUMMYFUNCTION("GOOGLEFINANCE(""ASX:BMT"", ""pe"")"),"#N/A")</f>
        <v>#N/A</v>
      </c>
      <c r="G369" s="9">
        <f>IFERROR(__xludf.DUMMYFUNCTION("GOOGLEFINANCE(""ASX:BMT"", ""high52"")"),0.33)</f>
        <v>0.33</v>
      </c>
      <c r="H369" s="9">
        <f>IFERROR(__xludf.DUMMYFUNCTION("GOOGLEFINANCE(""ASX:BMT"", ""low52"")"),0.18)</f>
        <v>0.18</v>
      </c>
      <c r="I369" s="9">
        <f>IFERROR(__xludf.DUMMYFUNCTION("GOOGLEFINANCE(""ASX:BMT"", ""marketcap"")"),5.679852E7)</f>
        <v>56798520</v>
      </c>
      <c r="J369" s="5"/>
      <c r="K369" s="5"/>
      <c r="L369" s="5"/>
      <c r="M369" s="5"/>
      <c r="N369" s="11" t="s">
        <v>19</v>
      </c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6" t="s">
        <v>796</v>
      </c>
      <c r="B370" s="6" t="s">
        <v>797</v>
      </c>
      <c r="C370" s="5" t="s">
        <v>36</v>
      </c>
      <c r="D370" s="7">
        <f>IFERROR(__xludf.DUMMYFUNCTION("GOOGLEFINANCE(""ASX:BNDS"", ""price"")"),23.35)</f>
        <v>23.35</v>
      </c>
      <c r="E370" s="8">
        <f>IFERROR(__xludf.DUMMYFUNCTION("GOOGLEFINANCE(""ASX:BNDS"", ""closeyest"")"),23.36)</f>
        <v>23.36</v>
      </c>
      <c r="F370" s="5" t="str">
        <f>IFERROR(__xludf.DUMMYFUNCTION("GOOGLEFINANCE(""ASX:BNDS"", ""pe"")"),"#N/A")</f>
        <v>#N/A</v>
      </c>
      <c r="G370" s="9">
        <f>IFERROR(__xludf.DUMMYFUNCTION("GOOGLEFINANCE(""ASX:BNDS"", ""high52"")"),24.27)</f>
        <v>24.27</v>
      </c>
      <c r="H370" s="9">
        <f>IFERROR(__xludf.DUMMYFUNCTION("GOOGLEFINANCE(""ASX:BNDS"", ""low52"")"),23.22)</f>
        <v>23.22</v>
      </c>
      <c r="I370" s="9" t="str">
        <f>IFERROR(__xludf.DUMMYFUNCTION("GOOGLEFINANCE(""ASX:BNDS"", ""marketcap"")"),"#N/A")</f>
        <v>#N/A</v>
      </c>
      <c r="J370" s="5"/>
      <c r="K370" s="5"/>
      <c r="L370" s="5"/>
      <c r="M370" s="5"/>
      <c r="N370" s="11" t="s">
        <v>19</v>
      </c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6" t="s">
        <v>798</v>
      </c>
      <c r="B371" s="6" t="s">
        <v>799</v>
      </c>
      <c r="C371" s="5" t="s">
        <v>36</v>
      </c>
      <c r="D371" s="7">
        <f>IFERROR(__xludf.DUMMYFUNCTION("GOOGLEFINANCE(""ASX:BNKS"", ""price"")"),12.5)</f>
        <v>12.5</v>
      </c>
      <c r="E371" s="8">
        <f>IFERROR(__xludf.DUMMYFUNCTION("GOOGLEFINANCE(""ASX:BNKS"", ""closeyest"")"),12.55)</f>
        <v>12.55</v>
      </c>
      <c r="F371" s="5" t="str">
        <f>IFERROR(__xludf.DUMMYFUNCTION("GOOGLEFINANCE(""ASX:BNKS"", ""pe"")"),"#N/A")</f>
        <v>#N/A</v>
      </c>
      <c r="G371" s="9">
        <f>IFERROR(__xludf.DUMMYFUNCTION("GOOGLEFINANCE(""ASX:BNKS"", ""high52"")"),12.75)</f>
        <v>12.75</v>
      </c>
      <c r="H371" s="9">
        <f>IFERROR(__xludf.DUMMYFUNCTION("GOOGLEFINANCE(""ASX:BNKS"", ""low52"")"),7.5)</f>
        <v>7.5</v>
      </c>
      <c r="I371" s="9" t="str">
        <f>IFERROR(__xludf.DUMMYFUNCTION("GOOGLEFINANCE(""ASX:BNKS"", ""marketcap"")"),"#N/A")</f>
        <v>#N/A</v>
      </c>
      <c r="J371" s="5"/>
      <c r="K371" s="5"/>
      <c r="L371" s="5"/>
      <c r="M371" s="5"/>
      <c r="N371" s="11" t="s">
        <v>19</v>
      </c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6" t="s">
        <v>800</v>
      </c>
      <c r="B372" s="6" t="s">
        <v>801</v>
      </c>
      <c r="C372" s="5" t="s">
        <v>18</v>
      </c>
      <c r="D372" s="7">
        <f>IFERROR(__xludf.DUMMYFUNCTION("GOOGLEFINANCE(""ASX:BNL"", ""price"")"),0.01)</f>
        <v>0.01</v>
      </c>
      <c r="E372" s="8">
        <f>IFERROR(__xludf.DUMMYFUNCTION("GOOGLEFINANCE(""ASX:BNL"", ""closeyest"")"),0.01)</f>
        <v>0.01</v>
      </c>
      <c r="F372" s="5" t="str">
        <f>IFERROR(__xludf.DUMMYFUNCTION("GOOGLEFINANCE(""ASX:BNL"", ""pe"")"),"#N/A")</f>
        <v>#N/A</v>
      </c>
      <c r="G372" s="9">
        <f>IFERROR(__xludf.DUMMYFUNCTION("GOOGLEFINANCE(""ASX:BNL"", ""high52"")"),0.01)</f>
        <v>0.01</v>
      </c>
      <c r="H372" s="9">
        <f>IFERROR(__xludf.DUMMYFUNCTION("GOOGLEFINANCE(""ASX:BNL"", ""low52"")"),0.0)</f>
        <v>0</v>
      </c>
      <c r="I372" s="9">
        <f>IFERROR(__xludf.DUMMYFUNCTION("GOOGLEFINANCE(""ASX:BNL"", ""marketcap"")"),1.8844806E7)</f>
        <v>18844806</v>
      </c>
      <c r="J372" s="5"/>
      <c r="K372" s="5"/>
      <c r="L372" s="5"/>
      <c r="M372" s="5"/>
      <c r="N372" s="11" t="s">
        <v>19</v>
      </c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6" t="s">
        <v>802</v>
      </c>
      <c r="B373" s="6" t="s">
        <v>803</v>
      </c>
      <c r="C373" s="5" t="s">
        <v>88</v>
      </c>
      <c r="D373" s="7">
        <f>IFERROR(__xludf.DUMMYFUNCTION("GOOGLEFINANCE(""ASX:BNR"", ""price"")"),0.05)</f>
        <v>0.05</v>
      </c>
      <c r="E373" s="8">
        <f>IFERROR(__xludf.DUMMYFUNCTION("GOOGLEFINANCE(""ASX:BNR"", ""closeyest"")"),0.06)</f>
        <v>0.06</v>
      </c>
      <c r="F373" s="9">
        <f>IFERROR(__xludf.DUMMYFUNCTION("GOOGLEFINANCE(""ASX:BNR"", ""pe"")"),9.15)</f>
        <v>9.15</v>
      </c>
      <c r="G373" s="9">
        <f>IFERROR(__xludf.DUMMYFUNCTION("GOOGLEFINANCE(""ASX:BNR"", ""high52"")"),0.09)</f>
        <v>0.09</v>
      </c>
      <c r="H373" s="9">
        <f>IFERROR(__xludf.DUMMYFUNCTION("GOOGLEFINANCE(""ASX:BNR"", ""low52"")"),0.04)</f>
        <v>0.04</v>
      </c>
      <c r="I373" s="9">
        <f>IFERROR(__xludf.DUMMYFUNCTION("GOOGLEFINANCE(""ASX:BNR"", ""marketcap"")"),1.5590869E7)</f>
        <v>15590869</v>
      </c>
      <c r="J373" s="5"/>
      <c r="K373" s="5"/>
      <c r="L373" s="5"/>
      <c r="M373" s="5"/>
      <c r="N373" s="10">
        <v>9.32</v>
      </c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6" t="s">
        <v>804</v>
      </c>
      <c r="B374" s="6" t="s">
        <v>805</v>
      </c>
      <c r="C374" s="5" t="s">
        <v>88</v>
      </c>
      <c r="D374" s="7">
        <f>IFERROR(__xludf.DUMMYFUNCTION("GOOGLEFINANCE(""ASX:BNZ"", ""price"")"),1.72)</f>
        <v>1.72</v>
      </c>
      <c r="E374" s="8">
        <f>IFERROR(__xludf.DUMMYFUNCTION("GOOGLEFINANCE(""ASX:BNZ"", ""closeyest"")"),1.75)</f>
        <v>1.75</v>
      </c>
      <c r="F374" s="5" t="str">
        <f>IFERROR(__xludf.DUMMYFUNCTION("GOOGLEFINANCE(""ASX:BNZ"", ""pe"")"),"#N/A")</f>
        <v>#N/A</v>
      </c>
      <c r="G374" s="9">
        <f>IFERROR(__xludf.DUMMYFUNCTION("GOOGLEFINANCE(""ASX:BNZ"", ""high52"")"),1.9)</f>
        <v>1.9</v>
      </c>
      <c r="H374" s="9">
        <f>IFERROR(__xludf.DUMMYFUNCTION("GOOGLEFINANCE(""ASX:BNZ"", ""low52"")"),0.3)</f>
        <v>0.3</v>
      </c>
      <c r="I374" s="9">
        <f>IFERROR(__xludf.DUMMYFUNCTION("GOOGLEFINANCE(""ASX:BNZ"", ""marketcap"")"),4.62504138E8)</f>
        <v>462504138</v>
      </c>
      <c r="J374" s="5"/>
      <c r="K374" s="5"/>
      <c r="L374" s="5"/>
      <c r="M374" s="5"/>
      <c r="N374" s="11" t="s">
        <v>19</v>
      </c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6" t="s">
        <v>806</v>
      </c>
      <c r="B375" s="6" t="s">
        <v>807</v>
      </c>
      <c r="C375" s="5" t="s">
        <v>18</v>
      </c>
      <c r="D375" s="7">
        <f>IFERROR(__xludf.DUMMYFUNCTION("GOOGLEFINANCE(""ASX:BOA"", ""price"")"),0.03)</f>
        <v>0.03</v>
      </c>
      <c r="E375" s="8">
        <f>IFERROR(__xludf.DUMMYFUNCTION("GOOGLEFINANCE(""ASX:BOA"", ""closeyest"")"),0.03)</f>
        <v>0.03</v>
      </c>
      <c r="F375" s="5" t="str">
        <f>IFERROR(__xludf.DUMMYFUNCTION("GOOGLEFINANCE(""ASX:BOA"", ""pe"")"),"#N/A")</f>
        <v>#N/A</v>
      </c>
      <c r="G375" s="9">
        <f>IFERROR(__xludf.DUMMYFUNCTION("GOOGLEFINANCE(""ASX:BOA"", ""high52"")"),0.04)</f>
        <v>0.04</v>
      </c>
      <c r="H375" s="9">
        <f>IFERROR(__xludf.DUMMYFUNCTION("GOOGLEFINANCE(""ASX:BOA"", ""low52"")"),0.02)</f>
        <v>0.02</v>
      </c>
      <c r="I375" s="9">
        <f>IFERROR(__xludf.DUMMYFUNCTION("GOOGLEFINANCE(""ASX:BOA"", ""marketcap"")"),4078049.0)</f>
        <v>4078049</v>
      </c>
      <c r="J375" s="5"/>
      <c r="K375" s="5"/>
      <c r="L375" s="5"/>
      <c r="M375" s="5"/>
      <c r="N375" s="11" t="s">
        <v>19</v>
      </c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6" t="s">
        <v>808</v>
      </c>
      <c r="B376" s="6" t="s">
        <v>809</v>
      </c>
      <c r="C376" s="5" t="s">
        <v>18</v>
      </c>
      <c r="D376" s="7">
        <f>IFERROR(__xludf.DUMMYFUNCTION("GOOGLEFINANCE(""ASX:BOC"", ""price"")"),0.86)</f>
        <v>0.86</v>
      </c>
      <c r="E376" s="8">
        <f>IFERROR(__xludf.DUMMYFUNCTION("GOOGLEFINANCE(""ASX:BOC"", ""closeyest"")"),0.79)</f>
        <v>0.79</v>
      </c>
      <c r="F376" s="5" t="str">
        <f>IFERROR(__xludf.DUMMYFUNCTION("GOOGLEFINANCE(""ASX:BOC"", ""pe"")"),"#N/A")</f>
        <v>#N/A</v>
      </c>
      <c r="G376" s="9">
        <f>IFERROR(__xludf.DUMMYFUNCTION("GOOGLEFINANCE(""ASX:BOC"", ""high52"")"),2.53)</f>
        <v>2.53</v>
      </c>
      <c r="H376" s="9">
        <f>IFERROR(__xludf.DUMMYFUNCTION("GOOGLEFINANCE(""ASX:BOC"", ""low52"")"),0.3)</f>
        <v>0.3</v>
      </c>
      <c r="I376" s="9">
        <f>IFERROR(__xludf.DUMMYFUNCTION("GOOGLEFINANCE(""ASX:BOC"", ""marketcap"")"),3.42644559E8)</f>
        <v>342644559</v>
      </c>
      <c r="J376" s="5"/>
      <c r="K376" s="5"/>
      <c r="L376" s="5"/>
      <c r="M376" s="5"/>
      <c r="N376" s="11" t="s">
        <v>19</v>
      </c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6" t="s">
        <v>810</v>
      </c>
      <c r="B377" s="6" t="s">
        <v>811</v>
      </c>
      <c r="C377" s="5" t="s">
        <v>28</v>
      </c>
      <c r="D377" s="7">
        <f>IFERROR(__xludf.DUMMYFUNCTION("GOOGLEFINANCE(""ASX:BOE"", ""price"")"),1.62)</f>
        <v>1.62</v>
      </c>
      <c r="E377" s="8">
        <f>IFERROR(__xludf.DUMMYFUNCTION("GOOGLEFINANCE(""ASX:BOE"", ""closeyest"")"),1.62)</f>
        <v>1.62</v>
      </c>
      <c r="F377" s="5" t="str">
        <f>IFERROR(__xludf.DUMMYFUNCTION("GOOGLEFINANCE(""ASX:BOE"", ""pe"")"),"#N/A")</f>
        <v>#N/A</v>
      </c>
      <c r="G377" s="9">
        <f>IFERROR(__xludf.DUMMYFUNCTION("GOOGLEFINANCE(""ASX:BOE"", ""high52"")"),4.75)</f>
        <v>4.75</v>
      </c>
      <c r="H377" s="9">
        <f>IFERROR(__xludf.DUMMYFUNCTION("GOOGLEFINANCE(""ASX:BOE"", ""low52"")"),1.07)</f>
        <v>1.07</v>
      </c>
      <c r="I377" s="9">
        <f>IFERROR(__xludf.DUMMYFUNCTION("GOOGLEFINANCE(""ASX:BOE"", ""marketcap"")"),6.68355641E8)</f>
        <v>668355641</v>
      </c>
      <c r="J377" s="5"/>
      <c r="K377" s="5"/>
      <c r="L377" s="5"/>
      <c r="M377" s="5"/>
      <c r="N377" s="11" t="s">
        <v>19</v>
      </c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6" t="s">
        <v>810</v>
      </c>
      <c r="B378" s="6" t="s">
        <v>811</v>
      </c>
      <c r="C378" s="5" t="s">
        <v>28</v>
      </c>
      <c r="D378" s="7">
        <f>IFERROR(__xludf.DUMMYFUNCTION("GOOGLEFINANCE(""ASX:BOE"", ""price"")"),1.62)</f>
        <v>1.62</v>
      </c>
      <c r="E378" s="8">
        <f>IFERROR(__xludf.DUMMYFUNCTION("GOOGLEFINANCE(""ASX:BOE"", ""closeyest"")"),1.62)</f>
        <v>1.62</v>
      </c>
      <c r="F378" s="5" t="str">
        <f>IFERROR(__xludf.DUMMYFUNCTION("GOOGLEFINANCE(""ASX:BOE"", ""pe"")"),"#N/A")</f>
        <v>#N/A</v>
      </c>
      <c r="G378" s="9">
        <f>IFERROR(__xludf.DUMMYFUNCTION("GOOGLEFINANCE(""ASX:BOE"", ""high52"")"),4.75)</f>
        <v>4.75</v>
      </c>
      <c r="H378" s="9">
        <f>IFERROR(__xludf.DUMMYFUNCTION("GOOGLEFINANCE(""ASX:BOE"", ""low52"")"),1.07)</f>
        <v>1.07</v>
      </c>
      <c r="I378" s="9">
        <f>IFERROR(__xludf.DUMMYFUNCTION("GOOGLEFINANCE(""ASX:BOE"", ""marketcap"")"),6.68355641E8)</f>
        <v>668355641</v>
      </c>
      <c r="J378" s="5"/>
      <c r="K378" s="5"/>
      <c r="L378" s="5"/>
      <c r="M378" s="5"/>
      <c r="N378" s="11" t="s">
        <v>19</v>
      </c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13" t="s">
        <v>810</v>
      </c>
      <c r="B379" s="13" t="s">
        <v>811</v>
      </c>
      <c r="C379" s="14" t="s">
        <v>28</v>
      </c>
      <c r="D379" s="15">
        <f>IFERROR(__xludf.DUMMYFUNCTION("GOOGLEFINANCE(""ASX:BOE"", ""price"")"),1.62)</f>
        <v>1.62</v>
      </c>
      <c r="E379" s="8">
        <f>IFERROR(__xludf.DUMMYFUNCTION("GOOGLEFINANCE(""ASX:BOE"", ""closeyest"")"),1.62)</f>
        <v>1.62</v>
      </c>
      <c r="F379" s="5" t="str">
        <f>IFERROR(__xludf.DUMMYFUNCTION("GOOGLEFINANCE(""ASX:BOE"", ""pe"")"),"#N/A")</f>
        <v>#N/A</v>
      </c>
      <c r="G379" s="9">
        <f>IFERROR(__xludf.DUMMYFUNCTION("GOOGLEFINANCE(""ASX:BOE"", ""high52"")"),4.75)</f>
        <v>4.75</v>
      </c>
      <c r="H379" s="9">
        <f>IFERROR(__xludf.DUMMYFUNCTION("GOOGLEFINANCE(""ASX:BOE"", ""low52"")"),1.07)</f>
        <v>1.07</v>
      </c>
      <c r="I379" s="9">
        <f>IFERROR(__xludf.DUMMYFUNCTION("GOOGLEFINANCE(""ASX:BOE"", ""marketcap"")"),6.68355641E8)</f>
        <v>668355641</v>
      </c>
      <c r="J379" s="5"/>
      <c r="K379" s="5"/>
      <c r="L379" s="5"/>
      <c r="M379" s="5"/>
      <c r="N379" s="11" t="s">
        <v>19</v>
      </c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6" t="s">
        <v>812</v>
      </c>
      <c r="B380" s="6" t="s">
        <v>813</v>
      </c>
      <c r="C380" s="5" t="s">
        <v>161</v>
      </c>
      <c r="D380" s="7">
        <f>IFERROR(__xludf.DUMMYFUNCTION("GOOGLEFINANCE(""ASX:BOL"", ""price"")"),1.7)</f>
        <v>1.7</v>
      </c>
      <c r="E380" s="8">
        <f>IFERROR(__xludf.DUMMYFUNCTION("GOOGLEFINANCE(""ASX:BOL"", ""closeyest"")"),1.69)</f>
        <v>1.69</v>
      </c>
      <c r="F380" s="9">
        <f>IFERROR(__xludf.DUMMYFUNCTION("GOOGLEFINANCE(""ASX:BOL"", ""pe"")"),3.05)</f>
        <v>3.05</v>
      </c>
      <c r="G380" s="9">
        <f>IFERROR(__xludf.DUMMYFUNCTION("GOOGLEFINANCE(""ASX:BOL"", ""high52"")"),1.75)</f>
        <v>1.75</v>
      </c>
      <c r="H380" s="9">
        <f>IFERROR(__xludf.DUMMYFUNCTION("GOOGLEFINANCE(""ASX:BOL"", ""low52"")"),1.2)</f>
        <v>1.2</v>
      </c>
      <c r="I380" s="9">
        <f>IFERROR(__xludf.DUMMYFUNCTION("GOOGLEFINANCE(""ASX:BOL"", ""marketcap"")"),6.7376353E7)</f>
        <v>67376353</v>
      </c>
      <c r="J380" s="5"/>
      <c r="K380" s="5"/>
      <c r="L380" s="5"/>
      <c r="M380" s="5"/>
      <c r="N380" s="10">
        <v>3.12</v>
      </c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6" t="s">
        <v>814</v>
      </c>
      <c r="B381" s="6" t="s">
        <v>815</v>
      </c>
      <c r="C381" s="5" t="s">
        <v>36</v>
      </c>
      <c r="D381" s="7">
        <f>IFERROR(__xludf.DUMMYFUNCTION("GOOGLEFINANCE(""ASX:BOND"", ""price"")"),25.3)</f>
        <v>25.3</v>
      </c>
      <c r="E381" s="8">
        <f>IFERROR(__xludf.DUMMYFUNCTION("GOOGLEFINANCE(""ASX:BOND"", ""closeyest"")"),25.3)</f>
        <v>25.3</v>
      </c>
      <c r="F381" s="5" t="str">
        <f>IFERROR(__xludf.DUMMYFUNCTION("GOOGLEFINANCE(""ASX:BOND"", ""pe"")"),"#N/A")</f>
        <v>#N/A</v>
      </c>
      <c r="G381" s="9">
        <f>IFERROR(__xludf.DUMMYFUNCTION("GOOGLEFINANCE(""ASX:BOND"", ""high52"")"),26.57)</f>
        <v>26.57</v>
      </c>
      <c r="H381" s="9">
        <f>IFERROR(__xludf.DUMMYFUNCTION("GOOGLEFINANCE(""ASX:BOND"", ""low52"")"),24.84)</f>
        <v>24.84</v>
      </c>
      <c r="I381" s="9" t="str">
        <f>IFERROR(__xludf.DUMMYFUNCTION("GOOGLEFINANCE(""ASX:BOND"", ""marketcap"")"),"#N/A")</f>
        <v>#N/A</v>
      </c>
      <c r="J381" s="5"/>
      <c r="K381" s="5"/>
      <c r="L381" s="5"/>
      <c r="M381" s="5"/>
      <c r="N381" s="11" t="s">
        <v>19</v>
      </c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6" t="s">
        <v>816</v>
      </c>
      <c r="B382" s="6" t="s">
        <v>817</v>
      </c>
      <c r="C382" s="5" t="s">
        <v>413</v>
      </c>
      <c r="D382" s="7">
        <f>IFERROR(__xludf.DUMMYFUNCTION("GOOGLEFINANCE(""ASX:BOQ"", ""price"")"),6.41)</f>
        <v>6.41</v>
      </c>
      <c r="E382" s="8">
        <f>IFERROR(__xludf.DUMMYFUNCTION("GOOGLEFINANCE(""ASX:BOQ"", ""closeyest"")"),6.45)</f>
        <v>6.45</v>
      </c>
      <c r="F382" s="9">
        <f>IFERROR(__xludf.DUMMYFUNCTION("GOOGLEFINANCE(""ASX:BOQ"", ""pe"")"),32.06)</f>
        <v>32.06</v>
      </c>
      <c r="G382" s="9">
        <f>IFERROR(__xludf.DUMMYFUNCTION("GOOGLEFINANCE(""ASX:BOQ"", ""high52"")"),8.16)</f>
        <v>8.16</v>
      </c>
      <c r="H382" s="9">
        <f>IFERROR(__xludf.DUMMYFUNCTION("GOOGLEFINANCE(""ASX:BOQ"", ""low52"")"),6.2)</f>
        <v>6.2</v>
      </c>
      <c r="I382" s="9">
        <f>IFERROR(__xludf.DUMMYFUNCTION("GOOGLEFINANCE(""ASX:BOQ"", ""marketcap"")"),4.240018753E9)</f>
        <v>4240018753</v>
      </c>
      <c r="J382" s="5"/>
      <c r="K382" s="5"/>
      <c r="L382" s="5"/>
      <c r="M382" s="5"/>
      <c r="N382" s="10">
        <v>33.06</v>
      </c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6" t="s">
        <v>818</v>
      </c>
      <c r="B383" s="6" t="s">
        <v>819</v>
      </c>
      <c r="C383" s="5" t="s">
        <v>174</v>
      </c>
      <c r="D383" s="7">
        <f>IFERROR(__xludf.DUMMYFUNCTION("GOOGLEFINANCE(""ASX:BOT"", ""price"")"),0.14)</f>
        <v>0.14</v>
      </c>
      <c r="E383" s="8">
        <f>IFERROR(__xludf.DUMMYFUNCTION("GOOGLEFINANCE(""ASX:BOT"", ""closeyest"")"),0.13)</f>
        <v>0.13</v>
      </c>
      <c r="F383" s="5" t="str">
        <f>IFERROR(__xludf.DUMMYFUNCTION("GOOGLEFINANCE(""ASX:BOT"", ""pe"")"),"#N/A")</f>
        <v>#N/A</v>
      </c>
      <c r="G383" s="9">
        <f>IFERROR(__xludf.DUMMYFUNCTION("GOOGLEFINANCE(""ASX:BOT"", ""high52"")"),0.54)</f>
        <v>0.54</v>
      </c>
      <c r="H383" s="9">
        <f>IFERROR(__xludf.DUMMYFUNCTION("GOOGLEFINANCE(""ASX:BOT"", ""low52"")"),0.1)</f>
        <v>0.1</v>
      </c>
      <c r="I383" s="9">
        <f>IFERROR(__xludf.DUMMYFUNCTION("GOOGLEFINANCE(""ASX:BOT"", ""marketcap"")"),2.56234465E8)</f>
        <v>256234465</v>
      </c>
      <c r="J383" s="5"/>
      <c r="K383" s="5"/>
      <c r="L383" s="5"/>
      <c r="M383" s="5"/>
      <c r="N383" s="11" t="s">
        <v>19</v>
      </c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6" t="s">
        <v>820</v>
      </c>
      <c r="B384" s="6" t="s">
        <v>821</v>
      </c>
      <c r="C384" s="5" t="s">
        <v>25</v>
      </c>
      <c r="D384" s="7">
        <f>IFERROR(__xludf.DUMMYFUNCTION("GOOGLEFINANCE(""ASX:BP8"", ""price"")"),0.0)</f>
        <v>0</v>
      </c>
      <c r="E384" s="8">
        <f>IFERROR(__xludf.DUMMYFUNCTION("GOOGLEFINANCE(""ASX:BP8"", ""closeyest"")"),0.0)</f>
        <v>0</v>
      </c>
      <c r="F384" s="5" t="str">
        <f>IFERROR(__xludf.DUMMYFUNCTION("GOOGLEFINANCE(""ASX:BP8"", ""pe"")"),"#N/A")</f>
        <v>#N/A</v>
      </c>
      <c r="G384" s="9">
        <f>IFERROR(__xludf.DUMMYFUNCTION("GOOGLEFINANCE(""ASX:BP8"", ""high52"")"),0.01)</f>
        <v>0.01</v>
      </c>
      <c r="H384" s="9">
        <f>IFERROR(__xludf.DUMMYFUNCTION("GOOGLEFINANCE(""ASX:BP8"", ""low52"")"),0.0)</f>
        <v>0</v>
      </c>
      <c r="I384" s="9">
        <f>IFERROR(__xludf.DUMMYFUNCTION("GOOGLEFINANCE(""ASX:BP8"", ""marketcap"")"),304154.0)</f>
        <v>304154</v>
      </c>
      <c r="J384" s="12">
        <v>0.001</v>
      </c>
      <c r="K384" s="12">
        <v>0.002</v>
      </c>
      <c r="L384" s="12">
        <v>0.006</v>
      </c>
      <c r="M384" s="12">
        <v>0.001</v>
      </c>
      <c r="N384" s="11" t="s">
        <v>19</v>
      </c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6" t="s">
        <v>822</v>
      </c>
      <c r="B385" s="6" t="s">
        <v>823</v>
      </c>
      <c r="C385" s="5" t="s">
        <v>824</v>
      </c>
      <c r="D385" s="7">
        <f>IFERROR(__xludf.DUMMYFUNCTION("GOOGLEFINANCE(""ASX:BPG"", ""price"")"),0.81)</f>
        <v>0.81</v>
      </c>
      <c r="E385" s="8">
        <f>IFERROR(__xludf.DUMMYFUNCTION("GOOGLEFINANCE(""ASX:BPG"", ""closeyest"")"),0.81)</f>
        <v>0.81</v>
      </c>
      <c r="F385" s="5" t="str">
        <f>IFERROR(__xludf.DUMMYFUNCTION("GOOGLEFINANCE(""ASX:BPG"", ""pe"")"),"#N/A")</f>
        <v>#N/A</v>
      </c>
      <c r="G385" s="9">
        <f>IFERROR(__xludf.DUMMYFUNCTION("GOOGLEFINANCE(""ASX:BPG"", ""high52"")"),0.95)</f>
        <v>0.95</v>
      </c>
      <c r="H385" s="9">
        <f>IFERROR(__xludf.DUMMYFUNCTION("GOOGLEFINANCE(""ASX:BPG"", ""low52"")"),0.79)</f>
        <v>0.79</v>
      </c>
      <c r="I385" s="9">
        <f>IFERROR(__xludf.DUMMYFUNCTION("GOOGLEFINANCE(""ASX:BPG"", ""marketcap"")"),9.058237E7)</f>
        <v>90582370</v>
      </c>
      <c r="J385" s="5"/>
      <c r="K385" s="5"/>
      <c r="L385" s="5"/>
      <c r="M385" s="5"/>
      <c r="N385" s="11" t="s">
        <v>19</v>
      </c>
      <c r="O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6" t="s">
        <v>825</v>
      </c>
      <c r="B386" s="6" t="s">
        <v>826</v>
      </c>
      <c r="C386" s="5" t="s">
        <v>25</v>
      </c>
      <c r="D386" s="7">
        <f>IFERROR(__xludf.DUMMYFUNCTION("GOOGLEFINANCE(""ASX:BPH"", ""price"")"),0.01)</f>
        <v>0.01</v>
      </c>
      <c r="E386" s="8">
        <f>IFERROR(__xludf.DUMMYFUNCTION("GOOGLEFINANCE(""ASX:BPH"", ""closeyest"")"),0.01)</f>
        <v>0.01</v>
      </c>
      <c r="F386" s="9">
        <f>IFERROR(__xludf.DUMMYFUNCTION("GOOGLEFINANCE(""ASX:BPH"", ""pe"")"),1.87)</f>
        <v>1.87</v>
      </c>
      <c r="G386" s="9">
        <f>IFERROR(__xludf.DUMMYFUNCTION("GOOGLEFINANCE(""ASX:BPH"", ""high52"")"),0.02)</f>
        <v>0.02</v>
      </c>
      <c r="H386" s="9">
        <f>IFERROR(__xludf.DUMMYFUNCTION("GOOGLEFINANCE(""ASX:BPH"", ""low52"")"),0.01)</f>
        <v>0.01</v>
      </c>
      <c r="I386" s="9">
        <f>IFERROR(__xludf.DUMMYFUNCTION("GOOGLEFINANCE(""ASX:BPH"", ""marketcap"")"),1.1586449E7)</f>
        <v>11586449</v>
      </c>
      <c r="J386" s="5"/>
      <c r="K386" s="5"/>
      <c r="L386" s="5"/>
      <c r="M386" s="5"/>
      <c r="N386" s="10">
        <v>1.68</v>
      </c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6" t="s">
        <v>827</v>
      </c>
      <c r="B387" s="6" t="s">
        <v>828</v>
      </c>
      <c r="C387" s="5" t="s">
        <v>88</v>
      </c>
      <c r="D387" s="7">
        <f>IFERROR(__xludf.DUMMYFUNCTION("GOOGLEFINANCE(""ASX:BPM"", ""price"")"),0.18)</f>
        <v>0.18</v>
      </c>
      <c r="E387" s="8">
        <f>IFERROR(__xludf.DUMMYFUNCTION("GOOGLEFINANCE(""ASX:BPM"", ""closeyest"")"),0.17)</f>
        <v>0.17</v>
      </c>
      <c r="F387" s="5" t="str">
        <f>IFERROR(__xludf.DUMMYFUNCTION("GOOGLEFINANCE(""ASX:BPM"", ""pe"")"),"#N/A")</f>
        <v>#N/A</v>
      </c>
      <c r="G387" s="9">
        <f>IFERROR(__xludf.DUMMYFUNCTION("GOOGLEFINANCE(""ASX:BPM"", ""high52"")"),0.21)</f>
        <v>0.21</v>
      </c>
      <c r="H387" s="9">
        <f>IFERROR(__xludf.DUMMYFUNCTION("GOOGLEFINANCE(""ASX:BPM"", ""low52"")"),0.03)</f>
        <v>0.03</v>
      </c>
      <c r="I387" s="9">
        <f>IFERROR(__xludf.DUMMYFUNCTION("GOOGLEFINANCE(""ASX:BPM"", ""marketcap"")"),1.8823087E7)</f>
        <v>18823087</v>
      </c>
      <c r="J387" s="5"/>
      <c r="K387" s="5"/>
      <c r="L387" s="5"/>
      <c r="M387" s="5"/>
      <c r="N387" s="11" t="s">
        <v>19</v>
      </c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6" t="s">
        <v>829</v>
      </c>
      <c r="B388" s="6" t="s">
        <v>830</v>
      </c>
      <c r="C388" s="5" t="s">
        <v>161</v>
      </c>
      <c r="D388" s="7">
        <f>IFERROR(__xludf.DUMMYFUNCTION("GOOGLEFINANCE(""ASX:BPP"", ""price"")"),0.14)</f>
        <v>0.14</v>
      </c>
      <c r="E388" s="8">
        <f>IFERROR(__xludf.DUMMYFUNCTION("GOOGLEFINANCE(""ASX:BPP"", ""closeyest"")"),0.14)</f>
        <v>0.14</v>
      </c>
      <c r="F388" s="9">
        <f>IFERROR(__xludf.DUMMYFUNCTION("GOOGLEFINANCE(""ASX:BPP"", ""pe"")"),14.8)</f>
        <v>14.8</v>
      </c>
      <c r="G388" s="9">
        <f>IFERROR(__xludf.DUMMYFUNCTION("GOOGLEFINANCE(""ASX:BPP"", ""high52"")"),0.21)</f>
        <v>0.21</v>
      </c>
      <c r="H388" s="9">
        <f>IFERROR(__xludf.DUMMYFUNCTION("GOOGLEFINANCE(""ASX:BPP"", ""low52"")"),0.11)</f>
        <v>0.11</v>
      </c>
      <c r="I388" s="9">
        <f>IFERROR(__xludf.DUMMYFUNCTION("GOOGLEFINANCE(""ASX:BPP"", ""marketcap"")"),1.7139528E7)</f>
        <v>17139528</v>
      </c>
      <c r="J388" s="9">
        <v>1.725</v>
      </c>
      <c r="K388" s="9">
        <v>1.735</v>
      </c>
      <c r="L388" s="9">
        <v>1.83</v>
      </c>
      <c r="M388" s="9">
        <v>1.515</v>
      </c>
      <c r="N388" s="10">
        <v>14.8</v>
      </c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6" t="s">
        <v>831</v>
      </c>
      <c r="B389" s="6" t="s">
        <v>832</v>
      </c>
      <c r="C389" s="5" t="s">
        <v>78</v>
      </c>
      <c r="D389" s="7">
        <f>IFERROR(__xludf.DUMMYFUNCTION("GOOGLEFINANCE(""ASX:BPT"", ""price"")"),1.09)</f>
        <v>1.09</v>
      </c>
      <c r="E389" s="8">
        <f>IFERROR(__xludf.DUMMYFUNCTION("GOOGLEFINANCE(""ASX:BPT"", ""closeyest"")"),1.14)</f>
        <v>1.14</v>
      </c>
      <c r="F389" s="5" t="str">
        <f>IFERROR(__xludf.DUMMYFUNCTION("GOOGLEFINANCE(""ASX:BPT"", ""pe"")"),"#N/A")</f>
        <v>#N/A</v>
      </c>
      <c r="G389" s="9">
        <f>IFERROR(__xludf.DUMMYFUNCTION("GOOGLEFINANCE(""ASX:BPT"", ""high52"")"),1.54)</f>
        <v>1.54</v>
      </c>
      <c r="H389" s="9">
        <f>IFERROR(__xludf.DUMMYFUNCTION("GOOGLEFINANCE(""ASX:BPT"", ""low52"")"),1.08)</f>
        <v>1.08</v>
      </c>
      <c r="I389" s="9">
        <f>IFERROR(__xludf.DUMMYFUNCTION("GOOGLEFINANCE(""ASX:BPT"", ""marketcap"")"),2.464484276E9)</f>
        <v>2464484276</v>
      </c>
      <c r="J389" s="5"/>
      <c r="K389" s="5"/>
      <c r="L389" s="5"/>
      <c r="M389" s="5"/>
      <c r="N389" s="11" t="s">
        <v>19</v>
      </c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6" t="s">
        <v>833</v>
      </c>
      <c r="B390" s="6" t="s">
        <v>834</v>
      </c>
      <c r="C390" s="5" t="s">
        <v>450</v>
      </c>
      <c r="D390" s="7">
        <f>IFERROR(__xludf.DUMMYFUNCTION("GOOGLEFINANCE(""ASX:BRE"", ""price"")"),4.14)</f>
        <v>4.14</v>
      </c>
      <c r="E390" s="8">
        <f>IFERROR(__xludf.DUMMYFUNCTION("GOOGLEFINANCE(""ASX:BRE"", ""closeyest"")"),3.94)</f>
        <v>3.94</v>
      </c>
      <c r="F390" s="5" t="str">
        <f>IFERROR(__xludf.DUMMYFUNCTION("GOOGLEFINANCE(""ASX:BRE"", ""pe"")"),"#N/A")</f>
        <v>#N/A</v>
      </c>
      <c r="G390" s="9">
        <f>IFERROR(__xludf.DUMMYFUNCTION("GOOGLEFINANCE(""ASX:BRE"", ""high52"")"),6.02)</f>
        <v>6.02</v>
      </c>
      <c r="H390" s="9">
        <f>IFERROR(__xludf.DUMMYFUNCTION("GOOGLEFINANCE(""ASX:BRE"", ""low52"")"),1.57)</f>
        <v>1.57</v>
      </c>
      <c r="I390" s="9">
        <f>IFERROR(__xludf.DUMMYFUNCTION("GOOGLEFINANCE(""ASX:BRE"", ""marketcap"")"),1.136953673E9)</f>
        <v>1136953673</v>
      </c>
      <c r="J390" s="5"/>
      <c r="K390" s="5"/>
      <c r="L390" s="5"/>
      <c r="M390" s="5"/>
      <c r="N390" s="11" t="s">
        <v>19</v>
      </c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6" t="s">
        <v>835</v>
      </c>
      <c r="B391" s="6" t="s">
        <v>836</v>
      </c>
      <c r="C391" s="5" t="s">
        <v>837</v>
      </c>
      <c r="D391" s="7">
        <f>IFERROR(__xludf.DUMMYFUNCTION("GOOGLEFINANCE(""ASX:BRG"", ""price"")"),29.48)</f>
        <v>29.48</v>
      </c>
      <c r="E391" s="8">
        <f>IFERROR(__xludf.DUMMYFUNCTION("GOOGLEFINANCE(""ASX:BRG"", ""closeyest"")"),29.29)</f>
        <v>29.29</v>
      </c>
      <c r="F391" s="9">
        <f>IFERROR(__xludf.DUMMYFUNCTION("GOOGLEFINANCE(""ASX:BRG"", ""pe"")"),31.69)</f>
        <v>31.69</v>
      </c>
      <c r="G391" s="9">
        <f>IFERROR(__xludf.DUMMYFUNCTION("GOOGLEFINANCE(""ASX:BRG"", ""high52"")"),39.0)</f>
        <v>39</v>
      </c>
      <c r="H391" s="9">
        <f>IFERROR(__xludf.DUMMYFUNCTION("GOOGLEFINANCE(""ASX:BRG"", ""low52"")"),24.33)</f>
        <v>24.33</v>
      </c>
      <c r="I391" s="9">
        <f>IFERROR(__xludf.DUMMYFUNCTION("GOOGLEFINANCE(""ASX:BRG"", ""marketcap"")"),4.269718045E9)</f>
        <v>4269718045</v>
      </c>
      <c r="J391" s="5"/>
      <c r="K391" s="5"/>
      <c r="L391" s="5"/>
      <c r="M391" s="5"/>
      <c r="N391" s="10">
        <v>32.18</v>
      </c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6" t="s">
        <v>838</v>
      </c>
      <c r="B392" s="6" t="s">
        <v>839</v>
      </c>
      <c r="C392" s="5" t="s">
        <v>840</v>
      </c>
      <c r="D392" s="7">
        <f>IFERROR(__xludf.DUMMYFUNCTION("GOOGLEFINANCE(""ASX:BRI"", ""price"")"),1.41)</f>
        <v>1.41</v>
      </c>
      <c r="E392" s="8">
        <f>IFERROR(__xludf.DUMMYFUNCTION("GOOGLEFINANCE(""ASX:BRI"", ""closeyest"")"),1.4)</f>
        <v>1.4</v>
      </c>
      <c r="F392" s="5" t="str">
        <f>IFERROR(__xludf.DUMMYFUNCTION("GOOGLEFINANCE(""ASX:BRI"", ""pe"")"),"#N/A")</f>
        <v>#N/A</v>
      </c>
      <c r="G392" s="9">
        <f>IFERROR(__xludf.DUMMYFUNCTION("GOOGLEFINANCE(""ASX:BRI"", ""high52"")"),1.49)</f>
        <v>1.49</v>
      </c>
      <c r="H392" s="9">
        <f>IFERROR(__xludf.DUMMYFUNCTION("GOOGLEFINANCE(""ASX:BRI"", ""low52"")"),1.14)</f>
        <v>1.14</v>
      </c>
      <c r="I392" s="9">
        <f>IFERROR(__xludf.DUMMYFUNCTION("GOOGLEFINANCE(""ASX:BRI"", ""marketcap"")"),1.32808799E8)</f>
        <v>132808799</v>
      </c>
      <c r="J392" s="9">
        <v>1.595</v>
      </c>
      <c r="K392" s="9">
        <v>1.595</v>
      </c>
      <c r="L392" s="9">
        <v>1.905</v>
      </c>
      <c r="M392" s="9">
        <v>1.56</v>
      </c>
      <c r="N392" s="11" t="s">
        <v>19</v>
      </c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6" t="s">
        <v>841</v>
      </c>
      <c r="B393" s="6" t="s">
        <v>842</v>
      </c>
      <c r="C393" s="5" t="s">
        <v>78</v>
      </c>
      <c r="D393" s="7">
        <f>IFERROR(__xludf.DUMMYFUNCTION("GOOGLEFINANCE(""ASX:BRK"", ""price"")"),0.47)</f>
        <v>0.47</v>
      </c>
      <c r="E393" s="8">
        <f>IFERROR(__xludf.DUMMYFUNCTION("GOOGLEFINANCE(""ASX:BRK"", ""closeyest"")"),0.47)</f>
        <v>0.47</v>
      </c>
      <c r="F393" s="9">
        <f>IFERROR(__xludf.DUMMYFUNCTION("GOOGLEFINANCE(""ASX:BRK"", ""pe"")"),9.64)</f>
        <v>9.64</v>
      </c>
      <c r="G393" s="9">
        <f>IFERROR(__xludf.DUMMYFUNCTION("GOOGLEFINANCE(""ASX:BRK"", ""high52"")"),0.55)</f>
        <v>0.55</v>
      </c>
      <c r="H393" s="9">
        <f>IFERROR(__xludf.DUMMYFUNCTION("GOOGLEFINANCE(""ASX:BRK"", ""low52"")"),0.34)</f>
        <v>0.34</v>
      </c>
      <c r="I393" s="9">
        <f>IFERROR(__xludf.DUMMYFUNCTION("GOOGLEFINANCE(""ASX:BRK"", ""marketcap"")"),4.5235107E7)</f>
        <v>45235107</v>
      </c>
      <c r="J393" s="5"/>
      <c r="K393" s="5"/>
      <c r="L393" s="5"/>
      <c r="M393" s="5"/>
      <c r="N393" s="10">
        <v>9.75</v>
      </c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6" t="s">
        <v>843</v>
      </c>
      <c r="B394" s="6" t="s">
        <v>844</v>
      </c>
      <c r="C394" s="5" t="s">
        <v>314</v>
      </c>
      <c r="D394" s="7">
        <f>IFERROR(__xludf.DUMMYFUNCTION("GOOGLEFINANCE(""ASX:BRL"", ""price"")"),0.72)</f>
        <v>0.72</v>
      </c>
      <c r="E394" s="8">
        <f>IFERROR(__xludf.DUMMYFUNCTION("GOOGLEFINANCE(""ASX:BRL"", ""closeyest"")"),0.72)</f>
        <v>0.72</v>
      </c>
      <c r="F394" s="9">
        <f>IFERROR(__xludf.DUMMYFUNCTION("GOOGLEFINANCE(""ASX:BRL"", ""pe"")"),38.52)</f>
        <v>38.52</v>
      </c>
      <c r="G394" s="9">
        <f>IFERROR(__xludf.DUMMYFUNCTION("GOOGLEFINANCE(""ASX:BRL"", ""high52"")"),0.91)</f>
        <v>0.91</v>
      </c>
      <c r="H394" s="9">
        <f>IFERROR(__xludf.DUMMYFUNCTION("GOOGLEFINANCE(""ASX:BRL"", ""low52"")"),0.61)</f>
        <v>0.61</v>
      </c>
      <c r="I394" s="9">
        <f>IFERROR(__xludf.DUMMYFUNCTION("GOOGLEFINANCE(""ASX:BRL"", ""marketcap"")"),1.72782006E8)</f>
        <v>172782006</v>
      </c>
      <c r="J394" s="5"/>
      <c r="K394" s="5"/>
      <c r="L394" s="5"/>
      <c r="M394" s="5"/>
      <c r="N394" s="10">
        <v>38.4</v>
      </c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6" t="s">
        <v>845</v>
      </c>
      <c r="B395" s="6" t="s">
        <v>846</v>
      </c>
      <c r="C395" s="5" t="s">
        <v>15</v>
      </c>
      <c r="D395" s="7">
        <f>IFERROR(__xludf.DUMMYFUNCTION("GOOGLEFINANCE(""ASX:BRN"", ""price"")"),0.18)</f>
        <v>0.18</v>
      </c>
      <c r="E395" s="8">
        <f>IFERROR(__xludf.DUMMYFUNCTION("GOOGLEFINANCE(""ASX:BRN"", ""closeyest"")"),0.18)</f>
        <v>0.18</v>
      </c>
      <c r="F395" s="5" t="str">
        <f>IFERROR(__xludf.DUMMYFUNCTION("GOOGLEFINANCE(""ASX:BRN"", ""pe"")"),"#N/A")</f>
        <v>#N/A</v>
      </c>
      <c r="G395" s="9">
        <f>IFERROR(__xludf.DUMMYFUNCTION("GOOGLEFINANCE(""ASX:BRN"", ""high52"")"),0.42)</f>
        <v>0.42</v>
      </c>
      <c r="H395" s="9">
        <f>IFERROR(__xludf.DUMMYFUNCTION("GOOGLEFINANCE(""ASX:BRN"", ""low52"")"),0.16)</f>
        <v>0.16</v>
      </c>
      <c r="I395" s="9">
        <f>IFERROR(__xludf.DUMMYFUNCTION("GOOGLEFINANCE(""ASX:BRN"", ""marketcap"")"),4.05495196E8)</f>
        <v>405495196</v>
      </c>
      <c r="J395" s="9">
        <v>0.002</v>
      </c>
      <c r="K395" s="9">
        <v>0.002</v>
      </c>
      <c r="L395" s="9">
        <v>0.009</v>
      </c>
      <c r="M395" s="9">
        <v>0.002</v>
      </c>
      <c r="N395" s="11" t="s">
        <v>19</v>
      </c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6" t="s">
        <v>847</v>
      </c>
      <c r="B396" s="6" t="s">
        <v>848</v>
      </c>
      <c r="C396" s="5" t="s">
        <v>78</v>
      </c>
      <c r="D396" s="7">
        <f>IFERROR(__xludf.DUMMYFUNCTION("GOOGLEFINANCE(""ASX:BRU"", ""price"")"),0.02)</f>
        <v>0.02</v>
      </c>
      <c r="E396" s="8">
        <f>IFERROR(__xludf.DUMMYFUNCTION("GOOGLEFINANCE(""ASX:BRU"", ""closeyest"")"),0.02)</f>
        <v>0.02</v>
      </c>
      <c r="F396" s="5" t="str">
        <f>IFERROR(__xludf.DUMMYFUNCTION("GOOGLEFINANCE(""ASX:BRU"", ""pe"")"),"#N/A")</f>
        <v>#N/A</v>
      </c>
      <c r="G396" s="9">
        <f>IFERROR(__xludf.DUMMYFUNCTION("GOOGLEFINANCE(""ASX:BRU"", ""high52"")"),0.06)</f>
        <v>0.06</v>
      </c>
      <c r="H396" s="9">
        <f>IFERROR(__xludf.DUMMYFUNCTION("GOOGLEFINANCE(""ASX:BRU"", ""low52"")"),0.02)</f>
        <v>0.02</v>
      </c>
      <c r="I396" s="9">
        <f>IFERROR(__xludf.DUMMYFUNCTION("GOOGLEFINANCE(""ASX:BRU"", ""marketcap"")"),1.448366E7)</f>
        <v>14483660</v>
      </c>
      <c r="J396" s="5"/>
      <c r="K396" s="5"/>
      <c r="L396" s="5"/>
      <c r="M396" s="5"/>
      <c r="N396" s="11" t="s">
        <v>19</v>
      </c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6" t="s">
        <v>849</v>
      </c>
      <c r="B397" s="6" t="s">
        <v>850</v>
      </c>
      <c r="C397" s="5" t="s">
        <v>39</v>
      </c>
      <c r="D397" s="7">
        <f>IFERROR(__xludf.DUMMYFUNCTION("GOOGLEFINANCE(""ASX:BRX"", ""price"")"),0.09)</f>
        <v>0.09</v>
      </c>
      <c r="E397" s="8">
        <f>IFERROR(__xludf.DUMMYFUNCTION("GOOGLEFINANCE(""ASX:BRX"", ""closeyest"")"),0.1)</f>
        <v>0.1</v>
      </c>
      <c r="F397" s="5" t="str">
        <f>IFERROR(__xludf.DUMMYFUNCTION("GOOGLEFINANCE(""ASX:BRX"", ""pe"")"),"#N/A")</f>
        <v>#N/A</v>
      </c>
      <c r="G397" s="9">
        <f>IFERROR(__xludf.DUMMYFUNCTION("GOOGLEFINANCE(""ASX:BRX"", ""high52"")"),0.33)</f>
        <v>0.33</v>
      </c>
      <c r="H397" s="9">
        <f>IFERROR(__xludf.DUMMYFUNCTION("GOOGLEFINANCE(""ASX:BRX"", ""low52"")"),0.05)</f>
        <v>0.05</v>
      </c>
      <c r="I397" s="9">
        <f>IFERROR(__xludf.DUMMYFUNCTION("GOOGLEFINANCE(""ASX:BRX"", ""marketcap"")"),2.2000426E7)</f>
        <v>22000426</v>
      </c>
      <c r="J397" s="5"/>
      <c r="K397" s="5"/>
      <c r="L397" s="5"/>
      <c r="M397" s="5"/>
      <c r="N397" s="11" t="s">
        <v>19</v>
      </c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6" t="s">
        <v>851</v>
      </c>
      <c r="B398" s="6" t="s">
        <v>852</v>
      </c>
      <c r="C398" s="5" t="s">
        <v>123</v>
      </c>
      <c r="D398" s="7">
        <f>IFERROR(__xludf.DUMMYFUNCTION("GOOGLEFINANCE(""ASX:BSA"", ""price"")"),0.16)</f>
        <v>0.16</v>
      </c>
      <c r="E398" s="8">
        <f>IFERROR(__xludf.DUMMYFUNCTION("GOOGLEFINANCE(""ASX:BSA"", ""closeyest"")"),0.16)</f>
        <v>0.16</v>
      </c>
      <c r="F398" s="9">
        <f>IFERROR(__xludf.DUMMYFUNCTION("GOOGLEFINANCE(""ASX:BSA"", ""pe"")"),3.23)</f>
        <v>3.23</v>
      </c>
      <c r="G398" s="9">
        <f>IFERROR(__xludf.DUMMYFUNCTION("GOOGLEFINANCE(""ASX:BSA"", ""high52"")"),1.07)</f>
        <v>1.07</v>
      </c>
      <c r="H398" s="9">
        <f>IFERROR(__xludf.DUMMYFUNCTION("GOOGLEFINANCE(""ASX:BSA"", ""low52"")"),0.04)</f>
        <v>0.04</v>
      </c>
      <c r="I398" s="9">
        <f>IFERROR(__xludf.DUMMYFUNCTION("GOOGLEFINANCE(""ASX:BSA"", ""marketcap"")"),1.1671538E7)</f>
        <v>11671538</v>
      </c>
      <c r="J398" s="5"/>
      <c r="K398" s="5"/>
      <c r="L398" s="5"/>
      <c r="M398" s="5"/>
      <c r="N398" s="10">
        <v>3.03</v>
      </c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6" t="s">
        <v>853</v>
      </c>
      <c r="B399" s="6" t="s">
        <v>854</v>
      </c>
      <c r="C399" s="5" t="s">
        <v>212</v>
      </c>
      <c r="D399" s="7">
        <f>IFERROR(__xludf.DUMMYFUNCTION("GOOGLEFINANCE(""ASX:BSL"", ""price"")"),29.87)</f>
        <v>29.87</v>
      </c>
      <c r="E399" s="8">
        <f>IFERROR(__xludf.DUMMYFUNCTION("GOOGLEFINANCE(""ASX:BSL"", ""closeyest"")"),29.54)</f>
        <v>29.54</v>
      </c>
      <c r="F399" s="9">
        <f>IFERROR(__xludf.DUMMYFUNCTION("GOOGLEFINANCE(""ASX:BSL"", ""pe"")"),177.96)</f>
        <v>177.96</v>
      </c>
      <c r="G399" s="9">
        <f>IFERROR(__xludf.DUMMYFUNCTION("GOOGLEFINANCE(""ASX:BSL"", ""high52"")"),29.88)</f>
        <v>29.88</v>
      </c>
      <c r="H399" s="9">
        <f>IFERROR(__xludf.DUMMYFUNCTION("GOOGLEFINANCE(""ASX:BSL"", ""low52"")"),18.85)</f>
        <v>18.85</v>
      </c>
      <c r="I399" s="9">
        <f>IFERROR(__xludf.DUMMYFUNCTION("GOOGLEFINANCE(""ASX:BSL"", ""marketcap"")"),1.3085369318E10)</f>
        <v>13085369318</v>
      </c>
      <c r="J399" s="5"/>
      <c r="K399" s="5"/>
      <c r="L399" s="5"/>
      <c r="M399" s="5"/>
      <c r="N399" s="10">
        <v>143.82</v>
      </c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6" t="s">
        <v>853</v>
      </c>
      <c r="B400" s="6" t="s">
        <v>854</v>
      </c>
      <c r="C400" s="5" t="s">
        <v>212</v>
      </c>
      <c r="D400" s="7">
        <f>IFERROR(__xludf.DUMMYFUNCTION("GOOGLEFINANCE(""ASX:BSL"", ""price"")"),29.87)</f>
        <v>29.87</v>
      </c>
      <c r="E400" s="8">
        <f>IFERROR(__xludf.DUMMYFUNCTION("GOOGLEFINANCE(""ASX:BSL"", ""closeyest"")"),29.54)</f>
        <v>29.54</v>
      </c>
      <c r="F400" s="9">
        <f>IFERROR(__xludf.DUMMYFUNCTION("GOOGLEFINANCE(""ASX:BSL"", ""pe"")"),177.96)</f>
        <v>177.96</v>
      </c>
      <c r="G400" s="9">
        <f>IFERROR(__xludf.DUMMYFUNCTION("GOOGLEFINANCE(""ASX:BSL"", ""high52"")"),29.88)</f>
        <v>29.88</v>
      </c>
      <c r="H400" s="9">
        <f>IFERROR(__xludf.DUMMYFUNCTION("GOOGLEFINANCE(""ASX:BSL"", ""low52"")"),18.85)</f>
        <v>18.85</v>
      </c>
      <c r="I400" s="9">
        <f>IFERROR(__xludf.DUMMYFUNCTION("GOOGLEFINANCE(""ASX:BSL"", ""marketcap"")"),1.3085369318E10)</f>
        <v>13085369318</v>
      </c>
      <c r="J400" s="5"/>
      <c r="K400" s="5"/>
      <c r="L400" s="5"/>
      <c r="M400" s="5"/>
      <c r="N400" s="10">
        <v>143.82</v>
      </c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6" t="s">
        <v>855</v>
      </c>
      <c r="B401" s="6" t="s">
        <v>856</v>
      </c>
      <c r="C401" s="5" t="s">
        <v>28</v>
      </c>
      <c r="D401" s="7">
        <f>IFERROR(__xludf.DUMMYFUNCTION("GOOGLEFINANCE(""ASX:BSN"", ""price"")"),0.04)</f>
        <v>0.04</v>
      </c>
      <c r="E401" s="8">
        <f>IFERROR(__xludf.DUMMYFUNCTION("GOOGLEFINANCE(""ASX:BSN"", ""closeyest"")"),0.04)</f>
        <v>0.04</v>
      </c>
      <c r="F401" s="5" t="str">
        <f>IFERROR(__xludf.DUMMYFUNCTION("GOOGLEFINANCE(""ASX:BSN"", ""pe"")"),"#N/A")</f>
        <v>#N/A</v>
      </c>
      <c r="G401" s="9">
        <f>IFERROR(__xludf.DUMMYFUNCTION("GOOGLEFINANCE(""ASX:BSN"", ""high52"")"),0.08)</f>
        <v>0.08</v>
      </c>
      <c r="H401" s="9">
        <f>IFERROR(__xludf.DUMMYFUNCTION("GOOGLEFINANCE(""ASX:BSN"", ""low52"")"),0.01)</f>
        <v>0.01</v>
      </c>
      <c r="I401" s="9">
        <f>IFERROR(__xludf.DUMMYFUNCTION("GOOGLEFINANCE(""ASX:BSN"", ""marketcap"")"),8838479.0)</f>
        <v>8838479</v>
      </c>
      <c r="J401" s="5"/>
      <c r="K401" s="5"/>
      <c r="L401" s="5"/>
      <c r="M401" s="5"/>
      <c r="N401" s="11" t="s">
        <v>19</v>
      </c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6" t="s">
        <v>855</v>
      </c>
      <c r="B402" s="6" t="s">
        <v>856</v>
      </c>
      <c r="C402" s="5" t="s">
        <v>28</v>
      </c>
      <c r="D402" s="7">
        <f>IFERROR(__xludf.DUMMYFUNCTION("GOOGLEFINANCE(""ASX:BSN"", ""price"")"),0.04)</f>
        <v>0.04</v>
      </c>
      <c r="E402" s="8">
        <f>IFERROR(__xludf.DUMMYFUNCTION("GOOGLEFINANCE(""ASX:BSN"", ""closeyest"")"),0.04)</f>
        <v>0.04</v>
      </c>
      <c r="F402" s="5" t="str">
        <f>IFERROR(__xludf.DUMMYFUNCTION("GOOGLEFINANCE(""ASX:BSN"", ""pe"")"),"#N/A")</f>
        <v>#N/A</v>
      </c>
      <c r="G402" s="9">
        <f>IFERROR(__xludf.DUMMYFUNCTION("GOOGLEFINANCE(""ASX:BSN"", ""high52"")"),0.08)</f>
        <v>0.08</v>
      </c>
      <c r="H402" s="9">
        <f>IFERROR(__xludf.DUMMYFUNCTION("GOOGLEFINANCE(""ASX:BSN"", ""low52"")"),0.01)</f>
        <v>0.01</v>
      </c>
      <c r="I402" s="9">
        <f>IFERROR(__xludf.DUMMYFUNCTION("GOOGLEFINANCE(""ASX:BSN"", ""marketcap"")"),8838479.0)</f>
        <v>8838479</v>
      </c>
      <c r="J402" s="5"/>
      <c r="K402" s="5"/>
      <c r="L402" s="5"/>
      <c r="M402" s="5"/>
      <c r="N402" s="11" t="s">
        <v>19</v>
      </c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13" t="s">
        <v>855</v>
      </c>
      <c r="B403" s="13" t="s">
        <v>856</v>
      </c>
      <c r="C403" s="14" t="s">
        <v>28</v>
      </c>
      <c r="D403" s="15">
        <f>IFERROR(__xludf.DUMMYFUNCTION("GOOGLEFINANCE(""ASX:BSN"", ""price"")"),0.04)</f>
        <v>0.04</v>
      </c>
      <c r="E403" s="8">
        <f>IFERROR(__xludf.DUMMYFUNCTION("GOOGLEFINANCE(""ASX:BSN"", ""closeyest"")"),0.04)</f>
        <v>0.04</v>
      </c>
      <c r="F403" s="5" t="str">
        <f>IFERROR(__xludf.DUMMYFUNCTION("GOOGLEFINANCE(""ASX:BSN"", ""pe"")"),"#N/A")</f>
        <v>#N/A</v>
      </c>
      <c r="G403" s="9">
        <f>IFERROR(__xludf.DUMMYFUNCTION("GOOGLEFINANCE(""ASX:BSN"", ""high52"")"),0.08)</f>
        <v>0.08</v>
      </c>
      <c r="H403" s="9">
        <f>IFERROR(__xludf.DUMMYFUNCTION("GOOGLEFINANCE(""ASX:BSN"", ""low52"")"),0.01)</f>
        <v>0.01</v>
      </c>
      <c r="I403" s="9">
        <f>IFERROR(__xludf.DUMMYFUNCTION("GOOGLEFINANCE(""ASX:BSN"", ""marketcap"")"),8838479.0)</f>
        <v>8838479</v>
      </c>
      <c r="J403" s="5"/>
      <c r="K403" s="5"/>
      <c r="L403" s="5"/>
      <c r="M403" s="5"/>
      <c r="N403" s="11" t="s">
        <v>19</v>
      </c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6" t="s">
        <v>857</v>
      </c>
      <c r="B404" s="6" t="s">
        <v>858</v>
      </c>
      <c r="C404" s="5" t="s">
        <v>36</v>
      </c>
      <c r="D404" s="7">
        <f>IFERROR(__xludf.DUMMYFUNCTION("GOOGLEFINANCE(""ASX:BSUB"", ""price"")"),25.61)</f>
        <v>25.61</v>
      </c>
      <c r="E404" s="8">
        <f>IFERROR(__xludf.DUMMYFUNCTION("GOOGLEFINANCE(""ASX:BSUB"", ""closeyest"")"),25.58)</f>
        <v>25.58</v>
      </c>
      <c r="F404" s="5" t="str">
        <f>IFERROR(__xludf.DUMMYFUNCTION("GOOGLEFINANCE(""ASX:BSUB"", ""pe"")"),"#N/A")</f>
        <v>#N/A</v>
      </c>
      <c r="G404" s="9">
        <f>IFERROR(__xludf.DUMMYFUNCTION("GOOGLEFINANCE(""ASX:BSUB"", ""high52"")"),25.71)</f>
        <v>25.71</v>
      </c>
      <c r="H404" s="9">
        <f>IFERROR(__xludf.DUMMYFUNCTION("GOOGLEFINANCE(""ASX:BSUB"", ""low52"")"),24.93)</f>
        <v>24.93</v>
      </c>
      <c r="I404" s="9" t="str">
        <f>IFERROR(__xludf.DUMMYFUNCTION("GOOGLEFINANCE(""ASX:BSUB"", ""marketcap"")"),"#N/A")</f>
        <v>#N/A</v>
      </c>
      <c r="J404" s="5"/>
      <c r="K404" s="5"/>
      <c r="L404" s="5"/>
      <c r="M404" s="5"/>
      <c r="N404" s="11" t="s">
        <v>19</v>
      </c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6" t="s">
        <v>859</v>
      </c>
      <c r="B405" s="6" t="s">
        <v>860</v>
      </c>
      <c r="C405" s="5" t="s">
        <v>18</v>
      </c>
      <c r="D405" s="7">
        <f>IFERROR(__xludf.DUMMYFUNCTION("GOOGLEFINANCE(""ASX:BSX"", ""price"")"),0.06)</f>
        <v>0.06</v>
      </c>
      <c r="E405" s="8">
        <f>IFERROR(__xludf.DUMMYFUNCTION("GOOGLEFINANCE(""ASX:BSX"", ""closeyest"")"),0.05)</f>
        <v>0.05</v>
      </c>
      <c r="F405" s="5" t="str">
        <f>IFERROR(__xludf.DUMMYFUNCTION("GOOGLEFINANCE(""ASX:BSX"", ""pe"")"),"#N/A")</f>
        <v>#N/A</v>
      </c>
      <c r="G405" s="9">
        <f>IFERROR(__xludf.DUMMYFUNCTION("GOOGLEFINANCE(""ASX:BSX"", ""high52"")"),0.1)</f>
        <v>0.1</v>
      </c>
      <c r="H405" s="9">
        <f>IFERROR(__xludf.DUMMYFUNCTION("GOOGLEFINANCE(""ASX:BSX"", ""low52"")"),0.03)</f>
        <v>0.03</v>
      </c>
      <c r="I405" s="9">
        <f>IFERROR(__xludf.DUMMYFUNCTION("GOOGLEFINANCE(""ASX:BSX"", ""marketcap"")"),9.4792389E7)</f>
        <v>94792389</v>
      </c>
      <c r="J405" s="5"/>
      <c r="K405" s="5"/>
      <c r="L405" s="5"/>
      <c r="M405" s="5"/>
      <c r="N405" s="11" t="s">
        <v>19</v>
      </c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6" t="s">
        <v>861</v>
      </c>
      <c r="B406" s="6" t="s">
        <v>862</v>
      </c>
      <c r="C406" s="5" t="s">
        <v>25</v>
      </c>
      <c r="D406" s="7">
        <f>IFERROR(__xludf.DUMMYFUNCTION("GOOGLEFINANCE(""ASX:BTC"", ""price"")"),0.07)</f>
        <v>0.07</v>
      </c>
      <c r="E406" s="8">
        <f>IFERROR(__xludf.DUMMYFUNCTION("GOOGLEFINANCE(""ASX:BTC"", ""closeyest"")"),0.07)</f>
        <v>0.07</v>
      </c>
      <c r="F406" s="9">
        <f>IFERROR(__xludf.DUMMYFUNCTION("GOOGLEFINANCE(""ASX:BTC"", ""pe"")"),5.49)</f>
        <v>5.49</v>
      </c>
      <c r="G406" s="9">
        <f>IFERROR(__xludf.DUMMYFUNCTION("GOOGLEFINANCE(""ASX:BTC"", ""high52"")"),0.07)</f>
        <v>0.07</v>
      </c>
      <c r="H406" s="9">
        <f>IFERROR(__xludf.DUMMYFUNCTION("GOOGLEFINANCE(""ASX:BTC"", ""low52"")"),0.05)</f>
        <v>0.05</v>
      </c>
      <c r="I406" s="9">
        <f>IFERROR(__xludf.DUMMYFUNCTION("GOOGLEFINANCE(""ASX:BTC"", ""marketcap"")"),2.4009023E7)</f>
        <v>24009023</v>
      </c>
      <c r="J406" s="5"/>
      <c r="K406" s="5"/>
      <c r="L406" s="5"/>
      <c r="M406" s="5"/>
      <c r="N406" s="10">
        <v>5.24</v>
      </c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6" t="s">
        <v>863</v>
      </c>
      <c r="B407" s="6" t="s">
        <v>864</v>
      </c>
      <c r="C407" s="5" t="s">
        <v>78</v>
      </c>
      <c r="D407" s="7">
        <f>IFERROR(__xludf.DUMMYFUNCTION("GOOGLEFINANCE(""ASX:BTE"", ""price"")"),0.06)</f>
        <v>0.06</v>
      </c>
      <c r="E407" s="8">
        <f>IFERROR(__xludf.DUMMYFUNCTION("GOOGLEFINANCE(""ASX:BTE"", ""closeyest"")"),0.06)</f>
        <v>0.06</v>
      </c>
      <c r="F407" s="5" t="str">
        <f>IFERROR(__xludf.DUMMYFUNCTION("GOOGLEFINANCE(""ASX:BTE"", ""pe"")"),"#N/A")</f>
        <v>#N/A</v>
      </c>
      <c r="G407" s="9">
        <f>IFERROR(__xludf.DUMMYFUNCTION("GOOGLEFINANCE(""ASX:BTE"", ""high52"")"),0.08)</f>
        <v>0.08</v>
      </c>
      <c r="H407" s="9">
        <f>IFERROR(__xludf.DUMMYFUNCTION("GOOGLEFINANCE(""ASX:BTE"", ""low52"")"),0.05)</f>
        <v>0.05</v>
      </c>
      <c r="I407" s="9">
        <f>IFERROR(__xludf.DUMMYFUNCTION("GOOGLEFINANCE(""ASX:BTE"", ""marketcap"")"),1.804861E7)</f>
        <v>18048610</v>
      </c>
      <c r="J407" s="5"/>
      <c r="K407" s="5"/>
      <c r="L407" s="5"/>
      <c r="M407" s="5"/>
      <c r="N407" s="11" t="s">
        <v>19</v>
      </c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6" t="s">
        <v>865</v>
      </c>
      <c r="B408" s="6" t="s">
        <v>866</v>
      </c>
      <c r="C408" s="5" t="s">
        <v>171</v>
      </c>
      <c r="D408" s="7">
        <f>IFERROR(__xludf.DUMMYFUNCTION("GOOGLEFINANCE(""ASX:BTI"", ""price"")"),1.21)</f>
        <v>1.21</v>
      </c>
      <c r="E408" s="8">
        <f>IFERROR(__xludf.DUMMYFUNCTION("GOOGLEFINANCE(""ASX:BTI"", ""closeyest"")"),1.22)</f>
        <v>1.22</v>
      </c>
      <c r="F408" s="9">
        <f>IFERROR(__xludf.DUMMYFUNCTION("GOOGLEFINANCE(""ASX:BTI"", ""pe"")"),9.28)</f>
        <v>9.28</v>
      </c>
      <c r="G408" s="9">
        <f>IFERROR(__xludf.DUMMYFUNCTION("GOOGLEFINANCE(""ASX:BTI"", ""high52"")"),1.27)</f>
        <v>1.27</v>
      </c>
      <c r="H408" s="9">
        <f>IFERROR(__xludf.DUMMYFUNCTION("GOOGLEFINANCE(""ASX:BTI"", ""low52"")"),0.89)</f>
        <v>0.89</v>
      </c>
      <c r="I408" s="9">
        <f>IFERROR(__xludf.DUMMYFUNCTION("GOOGLEFINANCE(""ASX:BTI"", ""marketcap"")"),1.80566369E8)</f>
        <v>180566369</v>
      </c>
      <c r="J408" s="5"/>
      <c r="K408" s="5"/>
      <c r="L408" s="5"/>
      <c r="M408" s="5"/>
      <c r="N408" s="10">
        <v>9.36</v>
      </c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6" t="s">
        <v>867</v>
      </c>
      <c r="B409" s="6" t="s">
        <v>868</v>
      </c>
      <c r="C409" s="5" t="s">
        <v>78</v>
      </c>
      <c r="D409" s="7">
        <f>IFERROR(__xludf.DUMMYFUNCTION("GOOGLEFINANCE(""ASX:BTL"", ""price"")"),0.26)</f>
        <v>0.26</v>
      </c>
      <c r="E409" s="8">
        <f>IFERROR(__xludf.DUMMYFUNCTION("GOOGLEFINANCE(""ASX:BTL"", ""closeyest"")"),0.27)</f>
        <v>0.27</v>
      </c>
      <c r="F409" s="5" t="str">
        <f>IFERROR(__xludf.DUMMYFUNCTION("GOOGLEFINANCE(""ASX:BTL"", ""pe"")"),"#N/A")</f>
        <v>#N/A</v>
      </c>
      <c r="G409" s="9">
        <f>IFERROR(__xludf.DUMMYFUNCTION("GOOGLEFINANCE(""ASX:BTL"", ""high52"")"),0.37)</f>
        <v>0.37</v>
      </c>
      <c r="H409" s="9">
        <f>IFERROR(__xludf.DUMMYFUNCTION("GOOGLEFINANCE(""ASX:BTL"", ""low52"")"),0.18)</f>
        <v>0.18</v>
      </c>
      <c r="I409" s="9">
        <f>IFERROR(__xludf.DUMMYFUNCTION("GOOGLEFINANCE(""ASX:BTL"", ""marketcap"")"),3.17239374E8)</f>
        <v>317239374</v>
      </c>
      <c r="J409" s="5"/>
      <c r="K409" s="5"/>
      <c r="L409" s="5"/>
      <c r="M409" s="5"/>
      <c r="N409" s="11" t="s">
        <v>19</v>
      </c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6" t="s">
        <v>869</v>
      </c>
      <c r="B410" s="6" t="s">
        <v>870</v>
      </c>
      <c r="C410" s="5" t="s">
        <v>18</v>
      </c>
      <c r="D410" s="7">
        <f>IFERROR(__xludf.DUMMYFUNCTION("GOOGLEFINANCE(""ASX:BTM"", ""price"")"),0.17)</f>
        <v>0.17</v>
      </c>
      <c r="E410" s="8">
        <f>IFERROR(__xludf.DUMMYFUNCTION("GOOGLEFINANCE(""ASX:BTM"", ""closeyest"")"),0.17)</f>
        <v>0.17</v>
      </c>
      <c r="F410" s="5" t="str">
        <f>IFERROR(__xludf.DUMMYFUNCTION("GOOGLEFINANCE(""ASX:BTM"", ""pe"")"),"#N/A")</f>
        <v>#N/A</v>
      </c>
      <c r="G410" s="9">
        <f>IFERROR(__xludf.DUMMYFUNCTION("GOOGLEFINANCE(""ASX:BTM"", ""high52"")"),0.25)</f>
        <v>0.25</v>
      </c>
      <c r="H410" s="9">
        <f>IFERROR(__xludf.DUMMYFUNCTION("GOOGLEFINANCE(""ASX:BTM"", ""low52"")"),0.06)</f>
        <v>0.06</v>
      </c>
      <c r="I410" s="9">
        <f>IFERROR(__xludf.DUMMYFUNCTION("GOOGLEFINANCE(""ASX:BTM"", ""marketcap"")"),1.134716E7)</f>
        <v>11347160</v>
      </c>
      <c r="J410" s="5"/>
      <c r="K410" s="5"/>
      <c r="L410" s="5"/>
      <c r="M410" s="5"/>
      <c r="N410" s="11" t="s">
        <v>19</v>
      </c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6" t="s">
        <v>871</v>
      </c>
      <c r="B411" s="6" t="s">
        <v>872</v>
      </c>
      <c r="C411" s="5" t="s">
        <v>873</v>
      </c>
      <c r="D411" s="7">
        <f>IFERROR(__xludf.DUMMYFUNCTION("GOOGLEFINANCE(""ASX:BTN"", ""price"")"),0.08)</f>
        <v>0.08</v>
      </c>
      <c r="E411" s="8">
        <f>IFERROR(__xludf.DUMMYFUNCTION("GOOGLEFINANCE(""ASX:BTN"", ""closeyest"")"),0.08)</f>
        <v>0.08</v>
      </c>
      <c r="F411" s="5" t="str">
        <f>IFERROR(__xludf.DUMMYFUNCTION("GOOGLEFINANCE(""ASX:BTN"", ""pe"")"),"#N/A")</f>
        <v>#N/A</v>
      </c>
      <c r="G411" s="9">
        <f>IFERROR(__xludf.DUMMYFUNCTION("GOOGLEFINANCE(""ASX:BTN"", ""high52"")"),0.14)</f>
        <v>0.14</v>
      </c>
      <c r="H411" s="9">
        <f>IFERROR(__xludf.DUMMYFUNCTION("GOOGLEFINANCE(""ASX:BTN"", ""low52"")"),0.07)</f>
        <v>0.07</v>
      </c>
      <c r="I411" s="9">
        <f>IFERROR(__xludf.DUMMYFUNCTION("GOOGLEFINANCE(""ASX:BTN"", ""marketcap"")"),2.980338E7)</f>
        <v>29803380</v>
      </c>
      <c r="J411" s="5"/>
      <c r="K411" s="5"/>
      <c r="L411" s="5"/>
      <c r="M411" s="5"/>
      <c r="N411" s="11" t="s">
        <v>19</v>
      </c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6" t="s">
        <v>874</v>
      </c>
      <c r="B412" s="6" t="s">
        <v>875</v>
      </c>
      <c r="C412" s="5" t="s">
        <v>88</v>
      </c>
      <c r="D412" s="7">
        <f>IFERROR(__xludf.DUMMYFUNCTION("GOOGLEFINANCE(""ASX:BTR"", ""price"")"),0.53)</f>
        <v>0.53</v>
      </c>
      <c r="E412" s="8">
        <f>IFERROR(__xludf.DUMMYFUNCTION("GOOGLEFINANCE(""ASX:BTR"", ""closeyest"")"),0.54)</f>
        <v>0.54</v>
      </c>
      <c r="F412" s="5" t="str">
        <f>IFERROR(__xludf.DUMMYFUNCTION("GOOGLEFINANCE(""ASX:BTR"", ""pe"")"),"#N/A")</f>
        <v>#N/A</v>
      </c>
      <c r="G412" s="9">
        <f>IFERROR(__xludf.DUMMYFUNCTION("GOOGLEFINANCE(""ASX:BTR"", ""high52"")"),0.75)</f>
        <v>0.75</v>
      </c>
      <c r="H412" s="9">
        <f>IFERROR(__xludf.DUMMYFUNCTION("GOOGLEFINANCE(""ASX:BTR"", ""low52"")"),0.37)</f>
        <v>0.37</v>
      </c>
      <c r="I412" s="9">
        <f>IFERROR(__xludf.DUMMYFUNCTION("GOOGLEFINANCE(""ASX:BTR"", ""marketcap"")"),3.71404051E8)</f>
        <v>371404051</v>
      </c>
      <c r="J412" s="5"/>
      <c r="K412" s="5"/>
      <c r="L412" s="5"/>
      <c r="M412" s="5"/>
      <c r="N412" s="11" t="s">
        <v>19</v>
      </c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6" t="s">
        <v>876</v>
      </c>
      <c r="B413" s="6" t="s">
        <v>877</v>
      </c>
      <c r="C413" s="5" t="s">
        <v>36</v>
      </c>
      <c r="D413" s="7">
        <f>IFERROR(__xludf.DUMMYFUNCTION("GOOGLEFINANCE(""ASX:BTXX"", ""price"")"),30.07)</f>
        <v>30.07</v>
      </c>
      <c r="E413" s="8">
        <f>IFERROR(__xludf.DUMMYFUNCTION("GOOGLEFINANCE(""ASX:BTXX"", ""closeyest"")"),30.64)</f>
        <v>30.64</v>
      </c>
      <c r="F413" s="5" t="str">
        <f>IFERROR(__xludf.DUMMYFUNCTION("GOOGLEFINANCE(""ASX:BTXX"", ""pe"")"),"#N/A")</f>
        <v>#N/A</v>
      </c>
      <c r="G413" s="9">
        <f>IFERROR(__xludf.DUMMYFUNCTION("GOOGLEFINANCE(""ASX:BTXX"", ""high52"")"),42.5)</f>
        <v>42.5</v>
      </c>
      <c r="H413" s="9">
        <f>IFERROR(__xludf.DUMMYFUNCTION("GOOGLEFINANCE(""ASX:BTXX"", ""low52"")"),27.47)</f>
        <v>27.47</v>
      </c>
      <c r="I413" s="9" t="str">
        <f>IFERROR(__xludf.DUMMYFUNCTION("GOOGLEFINANCE(""ASX:BTXX"", ""marketcap"")"),"#N/A")</f>
        <v>#N/A</v>
      </c>
      <c r="J413" s="5"/>
      <c r="K413" s="5"/>
      <c r="L413" s="5"/>
      <c r="M413" s="5"/>
      <c r="N413" s="11" t="s">
        <v>19</v>
      </c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6" t="s">
        <v>878</v>
      </c>
      <c r="B414" s="6" t="s">
        <v>879</v>
      </c>
      <c r="C414" s="5" t="s">
        <v>98</v>
      </c>
      <c r="D414" s="7">
        <f>IFERROR(__xludf.DUMMYFUNCTION("GOOGLEFINANCE(""ASX:BUB"", ""price"")"),0.14)</f>
        <v>0.14</v>
      </c>
      <c r="E414" s="8">
        <f>IFERROR(__xludf.DUMMYFUNCTION("GOOGLEFINANCE(""ASX:BUB"", ""closeyest"")"),0.14)</f>
        <v>0.14</v>
      </c>
      <c r="F414" s="9">
        <f>IFERROR(__xludf.DUMMYFUNCTION("GOOGLEFINANCE(""ASX:BUB"", ""pe"")"),21.74)</f>
        <v>21.74</v>
      </c>
      <c r="G414" s="9">
        <f>IFERROR(__xludf.DUMMYFUNCTION("GOOGLEFINANCE(""ASX:BUB"", ""high52"")"),0.19)</f>
        <v>0.19</v>
      </c>
      <c r="H414" s="9">
        <f>IFERROR(__xludf.DUMMYFUNCTION("GOOGLEFINANCE(""ASX:BUB"", ""low52"")"),0.1)</f>
        <v>0.1</v>
      </c>
      <c r="I414" s="9">
        <f>IFERROR(__xludf.DUMMYFUNCTION("GOOGLEFINANCE(""ASX:BUB"", ""marketcap"")"),1.16396613E8)</f>
        <v>116396613</v>
      </c>
      <c r="J414" s="5"/>
      <c r="K414" s="5"/>
      <c r="L414" s="5"/>
      <c r="M414" s="5"/>
      <c r="N414" s="10">
        <v>22.54</v>
      </c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6" t="s">
        <v>880</v>
      </c>
      <c r="B415" s="6" t="s">
        <v>881</v>
      </c>
      <c r="C415" s="5" t="s">
        <v>36</v>
      </c>
      <c r="D415" s="7">
        <f>IFERROR(__xludf.DUMMYFUNCTION("GOOGLEFINANCE(""ASX:BUGG"", ""price"")"),10.88)</f>
        <v>10.88</v>
      </c>
      <c r="E415" s="8">
        <f>IFERROR(__xludf.DUMMYFUNCTION("GOOGLEFINANCE(""ASX:BUGG"", ""closeyest"")"),10.83)</f>
        <v>10.83</v>
      </c>
      <c r="F415" s="5" t="str">
        <f>IFERROR(__xludf.DUMMYFUNCTION("GOOGLEFINANCE(""ASX:BUGG"", ""pe"")"),"#N/A")</f>
        <v>#N/A</v>
      </c>
      <c r="G415" s="9">
        <f>IFERROR(__xludf.DUMMYFUNCTION("GOOGLEFINANCE(""ASX:BUGG"", ""high52"")"),14.32)</f>
        <v>14.32</v>
      </c>
      <c r="H415" s="9">
        <f>IFERROR(__xludf.DUMMYFUNCTION("GOOGLEFINANCE(""ASX:BUGG"", ""low52"")"),10.75)</f>
        <v>10.75</v>
      </c>
      <c r="I415" s="9" t="str">
        <f>IFERROR(__xludf.DUMMYFUNCTION("GOOGLEFINANCE(""ASX:BUGG"", ""marketcap"")"),"#N/A")</f>
        <v>#N/A</v>
      </c>
      <c r="J415" s="5"/>
      <c r="K415" s="5"/>
      <c r="L415" s="5"/>
      <c r="M415" s="5"/>
      <c r="N415" s="11" t="s">
        <v>19</v>
      </c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6" t="s">
        <v>882</v>
      </c>
      <c r="B416" s="6" t="s">
        <v>883</v>
      </c>
      <c r="C416" s="5" t="s">
        <v>18</v>
      </c>
      <c r="D416" s="7">
        <f>IFERROR(__xludf.DUMMYFUNCTION("GOOGLEFINANCE(""ASX:BUR"", ""price"")"),0.03)</f>
        <v>0.03</v>
      </c>
      <c r="E416" s="8">
        <f>IFERROR(__xludf.DUMMYFUNCTION("GOOGLEFINANCE(""ASX:BUR"", ""closeyest"")"),0.03)</f>
        <v>0.03</v>
      </c>
      <c r="F416" s="5" t="str">
        <f>IFERROR(__xludf.DUMMYFUNCTION("GOOGLEFINANCE(""ASX:BUR"", ""pe"")"),"#N/A")</f>
        <v>#N/A</v>
      </c>
      <c r="G416" s="9">
        <f>IFERROR(__xludf.DUMMYFUNCTION("GOOGLEFINANCE(""ASX:BUR"", ""high52"")"),0.08)</f>
        <v>0.08</v>
      </c>
      <c r="H416" s="9">
        <f>IFERROR(__xludf.DUMMYFUNCTION("GOOGLEFINANCE(""ASX:BUR"", ""low52"")"),0.03)</f>
        <v>0.03</v>
      </c>
      <c r="I416" s="9">
        <f>IFERROR(__xludf.DUMMYFUNCTION("GOOGLEFINANCE(""ASX:BUR"", ""marketcap"")"),4984789.0)</f>
        <v>4984789</v>
      </c>
      <c r="J416" s="5"/>
      <c r="K416" s="5"/>
      <c r="L416" s="5"/>
      <c r="M416" s="5"/>
      <c r="N416" s="11" t="s">
        <v>19</v>
      </c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6" t="s">
        <v>884</v>
      </c>
      <c r="B417" s="6" t="s">
        <v>885</v>
      </c>
      <c r="C417" s="5" t="s">
        <v>450</v>
      </c>
      <c r="D417" s="7">
        <f>IFERROR(__xludf.DUMMYFUNCTION("GOOGLEFINANCE(""ASX:BUS"", ""price"")"),0.12)</f>
        <v>0.12</v>
      </c>
      <c r="E417" s="8">
        <f>IFERROR(__xludf.DUMMYFUNCTION("GOOGLEFINANCE(""ASX:BUS"", ""closeyest"")"),0.13)</f>
        <v>0.13</v>
      </c>
      <c r="F417" s="5" t="str">
        <f>IFERROR(__xludf.DUMMYFUNCTION("GOOGLEFINANCE(""ASX:BUS"", ""pe"")"),"#N/A")</f>
        <v>#N/A</v>
      </c>
      <c r="G417" s="9">
        <f>IFERROR(__xludf.DUMMYFUNCTION("GOOGLEFINANCE(""ASX:BUS"", ""high52"")"),0.21)</f>
        <v>0.21</v>
      </c>
      <c r="H417" s="9">
        <f>IFERROR(__xludf.DUMMYFUNCTION("GOOGLEFINANCE(""ASX:BUS"", ""low52"")"),0.09)</f>
        <v>0.09</v>
      </c>
      <c r="I417" s="9">
        <f>IFERROR(__xludf.DUMMYFUNCTION("GOOGLEFINANCE(""ASX:BUS"", ""marketcap"")"),8037120.0)</f>
        <v>8037120</v>
      </c>
      <c r="J417" s="5"/>
      <c r="K417" s="5"/>
      <c r="L417" s="5"/>
      <c r="M417" s="5"/>
      <c r="N417" s="11" t="s">
        <v>19</v>
      </c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6" t="s">
        <v>886</v>
      </c>
      <c r="B418" s="6" t="s">
        <v>887</v>
      </c>
      <c r="C418" s="5" t="s">
        <v>18</v>
      </c>
      <c r="D418" s="7">
        <f>IFERROR(__xludf.DUMMYFUNCTION("GOOGLEFINANCE(""ASX:BUX"", ""price"")"),0.04)</f>
        <v>0.04</v>
      </c>
      <c r="E418" s="8">
        <f>IFERROR(__xludf.DUMMYFUNCTION("GOOGLEFINANCE(""ASX:BUX"", ""closeyest"")"),0.04)</f>
        <v>0.04</v>
      </c>
      <c r="F418" s="5" t="str">
        <f>IFERROR(__xludf.DUMMYFUNCTION("GOOGLEFINANCE(""ASX:BUX"", ""pe"")"),"#N/A")</f>
        <v>#N/A</v>
      </c>
      <c r="G418" s="9">
        <f>IFERROR(__xludf.DUMMYFUNCTION("GOOGLEFINANCE(""ASX:BUX"", ""high52"")"),0.05)</f>
        <v>0.05</v>
      </c>
      <c r="H418" s="9">
        <f>IFERROR(__xludf.DUMMYFUNCTION("GOOGLEFINANCE(""ASX:BUX"", ""low52"")"),0.02)</f>
        <v>0.02</v>
      </c>
      <c r="I418" s="9">
        <f>IFERROR(__xludf.DUMMYFUNCTION("GOOGLEFINANCE(""ASX:BUX"", ""marketcap"")"),1.3667867E7)</f>
        <v>13667867</v>
      </c>
      <c r="J418" s="9">
        <v>0.001</v>
      </c>
      <c r="K418" s="9">
        <v>0.001</v>
      </c>
      <c r="L418" s="9">
        <v>0.002</v>
      </c>
      <c r="M418" s="9">
        <v>0.001</v>
      </c>
      <c r="N418" s="11" t="s">
        <v>19</v>
      </c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6" t="s">
        <v>888</v>
      </c>
      <c r="B419" s="6" t="s">
        <v>889</v>
      </c>
      <c r="C419" s="5" t="s">
        <v>78</v>
      </c>
      <c r="D419" s="7">
        <f>IFERROR(__xludf.DUMMYFUNCTION("GOOGLEFINANCE(""ASX:BUY"", ""price"")"),0.0)</f>
        <v>0</v>
      </c>
      <c r="E419" s="8">
        <f>IFERROR(__xludf.DUMMYFUNCTION("GOOGLEFINANCE(""ASX:BUY"", ""closeyest"")"),0.0)</f>
        <v>0</v>
      </c>
      <c r="F419" s="5" t="str">
        <f>IFERROR(__xludf.DUMMYFUNCTION("GOOGLEFINANCE(""ASX:BUY"", ""pe"")"),"#N/A")</f>
        <v>#N/A</v>
      </c>
      <c r="G419" s="9">
        <f>IFERROR(__xludf.DUMMYFUNCTION("GOOGLEFINANCE(""ASX:BUY"", ""high52"")"),0.0)</f>
        <v>0</v>
      </c>
      <c r="H419" s="9">
        <f>IFERROR(__xludf.DUMMYFUNCTION("GOOGLEFINANCE(""ASX:BUY"", ""low52"")"),0.0)</f>
        <v>0</v>
      </c>
      <c r="I419" s="9">
        <f>IFERROR(__xludf.DUMMYFUNCTION("GOOGLEFINANCE(""ASX:BUY"", ""marketcap"")"),1799874.0)</f>
        <v>1799874</v>
      </c>
      <c r="J419" s="12">
        <v>0.003</v>
      </c>
      <c r="K419" s="12">
        <v>0.003</v>
      </c>
      <c r="L419" s="12">
        <v>0.004</v>
      </c>
      <c r="M419" s="12">
        <v>0.002</v>
      </c>
      <c r="N419" s="11" t="s">
        <v>19</v>
      </c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6" t="s">
        <v>890</v>
      </c>
      <c r="B420" s="6" t="s">
        <v>891</v>
      </c>
      <c r="C420" s="5" t="s">
        <v>18</v>
      </c>
      <c r="D420" s="7">
        <f>IFERROR(__xludf.DUMMYFUNCTION("GOOGLEFINANCE(""ASX:BVR"", ""price"")"),0.78)</f>
        <v>0.78</v>
      </c>
      <c r="E420" s="8">
        <f>IFERROR(__xludf.DUMMYFUNCTION("GOOGLEFINANCE(""ASX:BVR"", ""closeyest"")"),0.76)</f>
        <v>0.76</v>
      </c>
      <c r="F420" s="5" t="str">
        <f>IFERROR(__xludf.DUMMYFUNCTION("GOOGLEFINANCE(""ASX:BVR"", ""pe"")"),"#N/A")</f>
        <v>#N/A</v>
      </c>
      <c r="G420" s="9">
        <f>IFERROR(__xludf.DUMMYFUNCTION("GOOGLEFINANCE(""ASX:BVR"", ""high52"")"),0.8)</f>
        <v>0.8</v>
      </c>
      <c r="H420" s="9">
        <f>IFERROR(__xludf.DUMMYFUNCTION("GOOGLEFINANCE(""ASX:BVR"", ""low52"")"),0.25)</f>
        <v>0.25</v>
      </c>
      <c r="I420" s="9">
        <f>IFERROR(__xludf.DUMMYFUNCTION("GOOGLEFINANCE(""ASX:BVR"", ""marketcap"")"),7.9409847E7)</f>
        <v>79409847</v>
      </c>
      <c r="J420" s="5"/>
      <c r="K420" s="5"/>
      <c r="L420" s="5"/>
      <c r="M420" s="5"/>
      <c r="N420" s="11" t="s">
        <v>19</v>
      </c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6" t="s">
        <v>892</v>
      </c>
      <c r="B421" s="6" t="s">
        <v>893</v>
      </c>
      <c r="C421" s="5" t="s">
        <v>15</v>
      </c>
      <c r="D421" s="7">
        <f>IFERROR(__xludf.DUMMYFUNCTION("GOOGLEFINANCE(""ASX:BVS"", ""price"")"),2.45)</f>
        <v>2.45</v>
      </c>
      <c r="E421" s="8">
        <f>IFERROR(__xludf.DUMMYFUNCTION("GOOGLEFINANCE(""ASX:BVS"", ""closeyest"")"),2.53)</f>
        <v>2.53</v>
      </c>
      <c r="F421" s="9">
        <f>IFERROR(__xludf.DUMMYFUNCTION("GOOGLEFINANCE(""ASX:BVS"", ""pe"")"),14.79)</f>
        <v>14.79</v>
      </c>
      <c r="G421" s="9">
        <f>IFERROR(__xludf.DUMMYFUNCTION("GOOGLEFINANCE(""ASX:BVS"", ""high52"")"),3.51)</f>
        <v>3.51</v>
      </c>
      <c r="H421" s="9">
        <f>IFERROR(__xludf.DUMMYFUNCTION("GOOGLEFINANCE(""ASX:BVS"", ""low52"")"),1.86)</f>
        <v>1.86</v>
      </c>
      <c r="I421" s="9">
        <f>IFERROR(__xludf.DUMMYFUNCTION("GOOGLEFINANCE(""ASX:BVS"", ""marketcap"")"),1.098335021E9)</f>
        <v>1098335021</v>
      </c>
      <c r="J421" s="5"/>
      <c r="K421" s="5"/>
      <c r="L421" s="5"/>
      <c r="M421" s="5"/>
      <c r="N421" s="10">
        <v>15.7</v>
      </c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6" t="s">
        <v>894</v>
      </c>
      <c r="B422" s="6" t="s">
        <v>895</v>
      </c>
      <c r="C422" s="5" t="s">
        <v>171</v>
      </c>
      <c r="D422" s="7">
        <f>IFERROR(__xludf.DUMMYFUNCTION("GOOGLEFINANCE(""ASX:BWF"", ""price"")"),0.2)</f>
        <v>0.2</v>
      </c>
      <c r="E422" s="8">
        <f>IFERROR(__xludf.DUMMYFUNCTION("GOOGLEFINANCE(""ASX:BWF"", ""closeyest"")"),0.21)</f>
        <v>0.21</v>
      </c>
      <c r="F422" s="5" t="str">
        <f>IFERROR(__xludf.DUMMYFUNCTION("GOOGLEFINANCE(""ASX:BWF"", ""pe"")"),"#N/A")</f>
        <v>#N/A</v>
      </c>
      <c r="G422" s="9">
        <f>IFERROR(__xludf.DUMMYFUNCTION("GOOGLEFINANCE(""ASX:BWF"", ""high52"")"),0.47)</f>
        <v>0.47</v>
      </c>
      <c r="H422" s="9">
        <f>IFERROR(__xludf.DUMMYFUNCTION("GOOGLEFINANCE(""ASX:BWF"", ""low52"")"),0.2)</f>
        <v>0.2</v>
      </c>
      <c r="I422" s="9">
        <f>IFERROR(__xludf.DUMMYFUNCTION("GOOGLEFINANCE(""ASX:BWF"", ""marketcap"")"),3.425808E7)</f>
        <v>34258080</v>
      </c>
      <c r="J422" s="5"/>
      <c r="K422" s="5"/>
      <c r="L422" s="5"/>
      <c r="M422" s="5"/>
      <c r="N422" s="11" t="s">
        <v>19</v>
      </c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6" t="s">
        <v>896</v>
      </c>
      <c r="B423" s="6" t="s">
        <v>897</v>
      </c>
      <c r="C423" s="5" t="s">
        <v>898</v>
      </c>
      <c r="D423" s="7">
        <f>IFERROR(__xludf.DUMMYFUNCTION("GOOGLEFINANCE(""ASX:BWN"", ""price"")"),0.46)</f>
        <v>0.46</v>
      </c>
      <c r="E423" s="8">
        <f>IFERROR(__xludf.DUMMYFUNCTION("GOOGLEFINANCE(""ASX:BWN"", ""closeyest"")"),0.46)</f>
        <v>0.46</v>
      </c>
      <c r="F423" s="9">
        <f>IFERROR(__xludf.DUMMYFUNCTION("GOOGLEFINANCE(""ASX:BWN"", ""pe"")"),9.78)</f>
        <v>9.78</v>
      </c>
      <c r="G423" s="9">
        <f>IFERROR(__xludf.DUMMYFUNCTION("GOOGLEFINANCE(""ASX:BWN"", ""high52"")"),0.65)</f>
        <v>0.65</v>
      </c>
      <c r="H423" s="9">
        <f>IFERROR(__xludf.DUMMYFUNCTION("GOOGLEFINANCE(""ASX:BWN"", ""low52"")"),0.4)</f>
        <v>0.4</v>
      </c>
      <c r="I423" s="9">
        <f>IFERROR(__xludf.DUMMYFUNCTION("GOOGLEFINANCE(""ASX:BWN"", ""marketcap"")"),1.23883991E8)</f>
        <v>123883991</v>
      </c>
      <c r="J423" s="5"/>
      <c r="K423" s="5"/>
      <c r="L423" s="5"/>
      <c r="M423" s="5"/>
      <c r="N423" s="10">
        <v>9.99</v>
      </c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6" t="s">
        <v>899</v>
      </c>
      <c r="B424" s="6" t="s">
        <v>900</v>
      </c>
      <c r="C424" s="5" t="s">
        <v>418</v>
      </c>
      <c r="D424" s="7">
        <f>IFERROR(__xludf.DUMMYFUNCTION("GOOGLEFINANCE(""ASX:BWP"", ""price"")"),3.91)</f>
        <v>3.91</v>
      </c>
      <c r="E424" s="8">
        <f>IFERROR(__xludf.DUMMYFUNCTION("GOOGLEFINANCE(""ASX:BWP"", ""closeyest"")"),3.87)</f>
        <v>3.87</v>
      </c>
      <c r="F424" s="9">
        <f>IFERROR(__xludf.DUMMYFUNCTION("GOOGLEFINANCE(""ASX:BWP"", ""pe"")"),10.5)</f>
        <v>10.5</v>
      </c>
      <c r="G424" s="9">
        <f>IFERROR(__xludf.DUMMYFUNCTION("GOOGLEFINANCE(""ASX:BWP"", ""high52"")"),4.12)</f>
        <v>4.12</v>
      </c>
      <c r="H424" s="9">
        <f>IFERROR(__xludf.DUMMYFUNCTION("GOOGLEFINANCE(""ASX:BWP"", ""low52"")"),3.25)</f>
        <v>3.25</v>
      </c>
      <c r="I424" s="9">
        <f>IFERROR(__xludf.DUMMYFUNCTION("GOOGLEFINANCE(""ASX:BWP"", ""marketcap"")"),2.832320388E9)</f>
        <v>2832320388</v>
      </c>
      <c r="J424" s="5"/>
      <c r="K424" s="5"/>
      <c r="L424" s="5"/>
      <c r="M424" s="5"/>
      <c r="N424" s="10">
        <v>10.61</v>
      </c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6" t="s">
        <v>901</v>
      </c>
      <c r="B425" s="6" t="s">
        <v>902</v>
      </c>
      <c r="C425" s="5" t="s">
        <v>375</v>
      </c>
      <c r="D425" s="7">
        <f>IFERROR(__xludf.DUMMYFUNCTION("GOOGLEFINANCE(""ASX:BXB"", ""price"")"),22.6)</f>
        <v>22.6</v>
      </c>
      <c r="E425" s="8">
        <f>IFERROR(__xludf.DUMMYFUNCTION("GOOGLEFINANCE(""ASX:BXB"", ""closeyest"")"),22.31)</f>
        <v>22.31</v>
      </c>
      <c r="F425" s="9">
        <f>IFERROR(__xludf.DUMMYFUNCTION("GOOGLEFINANCE(""ASX:BXB"", ""pe"")"),24.33)</f>
        <v>24.33</v>
      </c>
      <c r="G425" s="9">
        <f>IFERROR(__xludf.DUMMYFUNCTION("GOOGLEFINANCE(""ASX:BXB"", ""high52"")"),26.93)</f>
        <v>26.93</v>
      </c>
      <c r="H425" s="9">
        <f>IFERROR(__xludf.DUMMYFUNCTION("GOOGLEFINANCE(""ASX:BXB"", ""low52"")"),18.65)</f>
        <v>18.65</v>
      </c>
      <c r="I425" s="9">
        <f>IFERROR(__xludf.DUMMYFUNCTION("GOOGLEFINANCE(""ASX:BXB"", ""marketcap"")"),3.0691365518E10)</f>
        <v>30691365518</v>
      </c>
      <c r="J425" s="5"/>
      <c r="K425" s="5"/>
      <c r="L425" s="5"/>
      <c r="M425" s="5"/>
      <c r="N425" s="10">
        <v>24.54</v>
      </c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6" t="s">
        <v>903</v>
      </c>
      <c r="B426" s="6" t="s">
        <v>904</v>
      </c>
      <c r="C426" s="5" t="s">
        <v>25</v>
      </c>
      <c r="D426" s="7">
        <f>IFERROR(__xludf.DUMMYFUNCTION("GOOGLEFINANCE(""ASX:BXN"", ""price"")"),0.04)</f>
        <v>0.04</v>
      </c>
      <c r="E426" s="8">
        <f>IFERROR(__xludf.DUMMYFUNCTION("GOOGLEFINANCE(""ASX:BXN"", ""closeyest"")"),0.04)</f>
        <v>0.04</v>
      </c>
      <c r="F426" s="9">
        <f>IFERROR(__xludf.DUMMYFUNCTION("GOOGLEFINANCE(""ASX:BXN"", ""pe"")"),17.54)</f>
        <v>17.54</v>
      </c>
      <c r="G426" s="9">
        <f>IFERROR(__xludf.DUMMYFUNCTION("GOOGLEFINANCE(""ASX:BXN"", ""high52"")"),0.06)</f>
        <v>0.06</v>
      </c>
      <c r="H426" s="9">
        <f>IFERROR(__xludf.DUMMYFUNCTION("GOOGLEFINANCE(""ASX:BXN"", ""low52"")"),0.02)</f>
        <v>0.02</v>
      </c>
      <c r="I426" s="9">
        <f>IFERROR(__xludf.DUMMYFUNCTION("GOOGLEFINANCE(""ASX:BXN"", ""marketcap"")"),9.1242557E7)</f>
        <v>91242557</v>
      </c>
      <c r="J426" s="5"/>
      <c r="K426" s="5"/>
      <c r="L426" s="5"/>
      <c r="M426" s="5"/>
      <c r="N426" s="10">
        <v>17.98</v>
      </c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6" t="s">
        <v>905</v>
      </c>
      <c r="B427" s="6" t="s">
        <v>906</v>
      </c>
      <c r="C427" s="5" t="s">
        <v>39</v>
      </c>
      <c r="D427" s="7">
        <f>IFERROR(__xludf.DUMMYFUNCTION("GOOGLEFINANCE(""ASX:C1X"", ""price"")"),0.12)</f>
        <v>0.12</v>
      </c>
      <c r="E427" s="8">
        <f>IFERROR(__xludf.DUMMYFUNCTION("GOOGLEFINANCE(""ASX:C1X"", ""closeyest"")"),0.13)</f>
        <v>0.13</v>
      </c>
      <c r="F427" s="5" t="str">
        <f>IFERROR(__xludf.DUMMYFUNCTION("GOOGLEFINANCE(""ASX:C1X"", ""pe"")"),"#N/A")</f>
        <v>#N/A</v>
      </c>
      <c r="G427" s="9">
        <f>IFERROR(__xludf.DUMMYFUNCTION("GOOGLEFINANCE(""ASX:C1X"", ""high52"")"),0.14)</f>
        <v>0.14</v>
      </c>
      <c r="H427" s="9">
        <f>IFERROR(__xludf.DUMMYFUNCTION("GOOGLEFINANCE(""ASX:C1X"", ""low52"")"),0.04)</f>
        <v>0.04</v>
      </c>
      <c r="I427" s="9">
        <f>IFERROR(__xludf.DUMMYFUNCTION("GOOGLEFINANCE(""ASX:C1X"", ""marketcap"")"),1.2424343E7)</f>
        <v>12424343</v>
      </c>
      <c r="J427" s="5"/>
      <c r="K427" s="5"/>
      <c r="L427" s="5"/>
      <c r="M427" s="5"/>
      <c r="N427" s="11" t="s">
        <v>19</v>
      </c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6" t="s">
        <v>907</v>
      </c>
      <c r="B428" s="6" t="s">
        <v>908</v>
      </c>
      <c r="C428" s="5" t="s">
        <v>18</v>
      </c>
      <c r="D428" s="7">
        <f>IFERROR(__xludf.DUMMYFUNCTION("GOOGLEFINANCE(""ASX:C29"", ""price"")"),0.02)</f>
        <v>0.02</v>
      </c>
      <c r="E428" s="8">
        <f>IFERROR(__xludf.DUMMYFUNCTION("GOOGLEFINANCE(""ASX:C29"", ""closeyest"")"),0.02)</f>
        <v>0.02</v>
      </c>
      <c r="F428" s="5" t="str">
        <f>IFERROR(__xludf.DUMMYFUNCTION("GOOGLEFINANCE(""ASX:C29"", ""pe"")"),"#N/A")</f>
        <v>#N/A</v>
      </c>
      <c r="G428" s="9">
        <f>IFERROR(__xludf.DUMMYFUNCTION("GOOGLEFINANCE(""ASX:C29"", ""high52"")"),0.07)</f>
        <v>0.07</v>
      </c>
      <c r="H428" s="9">
        <f>IFERROR(__xludf.DUMMYFUNCTION("GOOGLEFINANCE(""ASX:C29"", ""low52"")"),0.01)</f>
        <v>0.01</v>
      </c>
      <c r="I428" s="9">
        <f>IFERROR(__xludf.DUMMYFUNCTION("GOOGLEFINANCE(""ASX:C29"", ""marketcap"")"),4180519.0)</f>
        <v>4180519</v>
      </c>
      <c r="J428" s="5"/>
      <c r="K428" s="5"/>
      <c r="L428" s="5"/>
      <c r="M428" s="5"/>
      <c r="N428" s="11" t="s">
        <v>19</v>
      </c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6" t="s">
        <v>909</v>
      </c>
      <c r="B429" s="6" t="s">
        <v>910</v>
      </c>
      <c r="C429" s="5" t="s">
        <v>396</v>
      </c>
      <c r="D429" s="7">
        <f>IFERROR(__xludf.DUMMYFUNCTION("GOOGLEFINANCE(""ASX:C79"", ""price"")"),7.14)</f>
        <v>7.14</v>
      </c>
      <c r="E429" s="8">
        <f>IFERROR(__xludf.DUMMYFUNCTION("GOOGLEFINANCE(""ASX:C79"", ""closeyest"")"),7.24)</f>
        <v>7.24</v>
      </c>
      <c r="F429" s="5" t="str">
        <f>IFERROR(__xludf.DUMMYFUNCTION("GOOGLEFINANCE(""ASX:C79"", ""pe"")"),"#N/A")</f>
        <v>#N/A</v>
      </c>
      <c r="G429" s="9">
        <f>IFERROR(__xludf.DUMMYFUNCTION("GOOGLEFINANCE(""ASX:C79"", ""high52"")"),9.42)</f>
        <v>9.42</v>
      </c>
      <c r="H429" s="9">
        <f>IFERROR(__xludf.DUMMYFUNCTION("GOOGLEFINANCE(""ASX:C79"", ""low52"")"),3.43)</f>
        <v>3.43</v>
      </c>
      <c r="I429" s="9">
        <f>IFERROR(__xludf.DUMMYFUNCTION("GOOGLEFINANCE(""ASX:C79"", ""marketcap"")"),8.31640052E8)</f>
        <v>831640052</v>
      </c>
      <c r="J429" s="5"/>
      <c r="K429" s="5"/>
      <c r="L429" s="5"/>
      <c r="M429" s="5"/>
      <c r="N429" s="11" t="s">
        <v>19</v>
      </c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6" t="s">
        <v>911</v>
      </c>
      <c r="B430" s="6" t="s">
        <v>912</v>
      </c>
      <c r="C430" s="5" t="s">
        <v>18</v>
      </c>
      <c r="D430" s="7">
        <f>IFERROR(__xludf.DUMMYFUNCTION("GOOGLEFINANCE(""ASX:C7A"", ""price"")"),0.0)</f>
        <v>0</v>
      </c>
      <c r="E430" s="8">
        <f>IFERROR(__xludf.DUMMYFUNCTION("GOOGLEFINANCE(""ASX:C7A"", ""closeyest"")"),0.0)</f>
        <v>0</v>
      </c>
      <c r="F430" s="5" t="str">
        <f>IFERROR(__xludf.DUMMYFUNCTION("GOOGLEFINANCE(""ASX:C7A"", ""pe"")"),"#N/A")</f>
        <v>#N/A</v>
      </c>
      <c r="G430" s="9">
        <f>IFERROR(__xludf.DUMMYFUNCTION("GOOGLEFINANCE(""ASX:C7A"", ""high52"")"),0.01)</f>
        <v>0.01</v>
      </c>
      <c r="H430" s="9">
        <f>IFERROR(__xludf.DUMMYFUNCTION("GOOGLEFINANCE(""ASX:C7A"", ""low52"")"),0.0)</f>
        <v>0</v>
      </c>
      <c r="I430" s="9">
        <f>IFERROR(__xludf.DUMMYFUNCTION("GOOGLEFINANCE(""ASX:C7A"", ""marketcap"")"),1337931.0)</f>
        <v>1337931</v>
      </c>
      <c r="J430" s="12">
        <v>0.003</v>
      </c>
      <c r="K430" s="12">
        <v>0.003</v>
      </c>
      <c r="L430" s="12">
        <v>0.007</v>
      </c>
      <c r="M430" s="12">
        <v>0.002</v>
      </c>
      <c r="N430" s="11" t="s">
        <v>19</v>
      </c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6" t="s">
        <v>913</v>
      </c>
      <c r="B431" s="6" t="s">
        <v>914</v>
      </c>
      <c r="C431" s="5" t="s">
        <v>75</v>
      </c>
      <c r="D431" s="7">
        <f>IFERROR(__xludf.DUMMYFUNCTION("GOOGLEFINANCE(""ASX:CAA"", ""price"")"),12.1)</f>
        <v>12.1</v>
      </c>
      <c r="E431" s="8">
        <f>IFERROR(__xludf.DUMMYFUNCTION("GOOGLEFINANCE(""ASX:CAA"", ""closeyest"")"),12.05)</f>
        <v>12.05</v>
      </c>
      <c r="F431" s="9">
        <f>IFERROR(__xludf.DUMMYFUNCTION("GOOGLEFINANCE(""ASX:CAA"", ""pe"")"),6.42)</f>
        <v>6.42</v>
      </c>
      <c r="G431" s="9">
        <f>IFERROR(__xludf.DUMMYFUNCTION("GOOGLEFINANCE(""ASX:CAA"", ""high52"")"),13.22)</f>
        <v>13.22</v>
      </c>
      <c r="H431" s="9">
        <f>IFERROR(__xludf.DUMMYFUNCTION("GOOGLEFINANCE(""ASX:CAA"", ""low52"")"),8.74)</f>
        <v>8.74</v>
      </c>
      <c r="I431" s="9">
        <f>IFERROR(__xludf.DUMMYFUNCTION("GOOGLEFINANCE(""ASX:CAA"", ""marketcap"")"),1.9570589E8)</f>
        <v>195705890</v>
      </c>
      <c r="J431" s="5"/>
      <c r="K431" s="5"/>
      <c r="L431" s="5"/>
      <c r="M431" s="5"/>
      <c r="N431" s="10">
        <v>6.27</v>
      </c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6" t="s">
        <v>915</v>
      </c>
      <c r="B432" s="6" t="s">
        <v>916</v>
      </c>
      <c r="C432" s="5" t="s">
        <v>18</v>
      </c>
      <c r="D432" s="7">
        <f>IFERROR(__xludf.DUMMYFUNCTION("GOOGLEFINANCE(""ASX:CAE"", ""price"")"),0.05)</f>
        <v>0.05</v>
      </c>
      <c r="E432" s="8">
        <f>IFERROR(__xludf.DUMMYFUNCTION("GOOGLEFINANCE(""ASX:CAE"", ""closeyest"")"),0.05)</f>
        <v>0.05</v>
      </c>
      <c r="F432" s="5" t="str">
        <f>IFERROR(__xludf.DUMMYFUNCTION("GOOGLEFINANCE(""ASX:CAE"", ""pe"")"),"#N/A")</f>
        <v>#N/A</v>
      </c>
      <c r="G432" s="9">
        <f>IFERROR(__xludf.DUMMYFUNCTION("GOOGLEFINANCE(""ASX:CAE"", ""high52"")"),0.09)</f>
        <v>0.09</v>
      </c>
      <c r="H432" s="9">
        <f>IFERROR(__xludf.DUMMYFUNCTION("GOOGLEFINANCE(""ASX:CAE"", ""low52"")"),0.02)</f>
        <v>0.02</v>
      </c>
      <c r="I432" s="9">
        <f>IFERROR(__xludf.DUMMYFUNCTION("GOOGLEFINANCE(""ASX:CAE"", ""marketcap"")"),4.4607304E7)</f>
        <v>44607304</v>
      </c>
      <c r="J432" s="5"/>
      <c r="K432" s="5"/>
      <c r="L432" s="5"/>
      <c r="M432" s="5"/>
      <c r="N432" s="11" t="s">
        <v>19</v>
      </c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6" t="s">
        <v>917</v>
      </c>
      <c r="B433" s="6" t="s">
        <v>918</v>
      </c>
      <c r="C433" s="5" t="s">
        <v>171</v>
      </c>
      <c r="D433" s="7">
        <f>IFERROR(__xludf.DUMMYFUNCTION("GOOGLEFINANCE(""ASX:CAF"", ""price"")"),0.41)</f>
        <v>0.41</v>
      </c>
      <c r="E433" s="8">
        <f>IFERROR(__xludf.DUMMYFUNCTION("GOOGLEFINANCE(""ASX:CAF"", ""closeyest"")"),0.42)</f>
        <v>0.42</v>
      </c>
      <c r="F433" s="9">
        <f>IFERROR(__xludf.DUMMYFUNCTION("GOOGLEFINANCE(""ASX:CAF"", ""pe"")"),16.88)</f>
        <v>16.88</v>
      </c>
      <c r="G433" s="9">
        <f>IFERROR(__xludf.DUMMYFUNCTION("GOOGLEFINANCE(""ASX:CAF"", ""high52"")"),0.52)</f>
        <v>0.52</v>
      </c>
      <c r="H433" s="9">
        <f>IFERROR(__xludf.DUMMYFUNCTION("GOOGLEFINANCE(""ASX:CAF"", ""low52"")"),0.28)</f>
        <v>0.28</v>
      </c>
      <c r="I433" s="9">
        <f>IFERROR(__xludf.DUMMYFUNCTION("GOOGLEFINANCE(""ASX:CAF"", ""marketcap"")"),8.4262963E7)</f>
        <v>84262963</v>
      </c>
      <c r="J433" s="5"/>
      <c r="K433" s="5"/>
      <c r="L433" s="5"/>
      <c r="M433" s="5"/>
      <c r="N433" s="10">
        <v>17.72</v>
      </c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6" t="s">
        <v>919</v>
      </c>
      <c r="B434" s="6" t="s">
        <v>920</v>
      </c>
      <c r="C434" s="5" t="s">
        <v>171</v>
      </c>
      <c r="D434" s="7">
        <f>IFERROR(__xludf.DUMMYFUNCTION("GOOGLEFINANCE(""ASX:CAM"", ""price"")"),0.71)</f>
        <v>0.71</v>
      </c>
      <c r="E434" s="8">
        <f>IFERROR(__xludf.DUMMYFUNCTION("GOOGLEFINANCE(""ASX:CAM"", ""closeyest"")"),0.71)</f>
        <v>0.71</v>
      </c>
      <c r="F434" s="9">
        <f>IFERROR(__xludf.DUMMYFUNCTION("GOOGLEFINANCE(""ASX:CAM"", ""pe"")"),42.11)</f>
        <v>42.11</v>
      </c>
      <c r="G434" s="9">
        <f>IFERROR(__xludf.DUMMYFUNCTION("GOOGLEFINANCE(""ASX:CAM"", ""high52"")"),0.79)</f>
        <v>0.79</v>
      </c>
      <c r="H434" s="9">
        <f>IFERROR(__xludf.DUMMYFUNCTION("GOOGLEFINANCE(""ASX:CAM"", ""low52"")"),0.67)</f>
        <v>0.67</v>
      </c>
      <c r="I434" s="9">
        <f>IFERROR(__xludf.DUMMYFUNCTION("GOOGLEFINANCE(""ASX:CAM"", ""marketcap"")"),1.01502377E8)</f>
        <v>101502377</v>
      </c>
      <c r="J434" s="5"/>
      <c r="K434" s="5"/>
      <c r="L434" s="5"/>
      <c r="M434" s="5"/>
      <c r="N434" s="10">
        <v>41.81</v>
      </c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6" t="s">
        <v>921</v>
      </c>
      <c r="B435" s="6" t="s">
        <v>922</v>
      </c>
      <c r="C435" s="5" t="s">
        <v>164</v>
      </c>
      <c r="D435" s="7">
        <f>IFERROR(__xludf.DUMMYFUNCTION("GOOGLEFINANCE(""ASX:CAN"", ""price"")"),0.01)</f>
        <v>0.01</v>
      </c>
      <c r="E435" s="8">
        <f>IFERROR(__xludf.DUMMYFUNCTION("GOOGLEFINANCE(""ASX:CAN"", ""closeyest"")"),0.01)</f>
        <v>0.01</v>
      </c>
      <c r="F435" s="5" t="str">
        <f>IFERROR(__xludf.DUMMYFUNCTION("GOOGLEFINANCE(""ASX:CAN"", ""pe"")"),"#N/A")</f>
        <v>#N/A</v>
      </c>
      <c r="G435" s="9">
        <f>IFERROR(__xludf.DUMMYFUNCTION("GOOGLEFINANCE(""ASX:CAN"", ""high52"")"),0.04)</f>
        <v>0.04</v>
      </c>
      <c r="H435" s="9">
        <f>IFERROR(__xludf.DUMMYFUNCTION("GOOGLEFINANCE(""ASX:CAN"", ""low52"")"),0.01)</f>
        <v>0.01</v>
      </c>
      <c r="I435" s="9">
        <f>IFERROR(__xludf.DUMMYFUNCTION("GOOGLEFINANCE(""ASX:CAN"", ""marketcap"")"),1.5708129E7)</f>
        <v>15708129</v>
      </c>
      <c r="J435" s="5"/>
      <c r="K435" s="5"/>
      <c r="L435" s="5"/>
      <c r="M435" s="5"/>
      <c r="N435" s="11" t="s">
        <v>19</v>
      </c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6" t="s">
        <v>923</v>
      </c>
      <c r="B436" s="6" t="s">
        <v>924</v>
      </c>
      <c r="C436" s="5" t="s">
        <v>550</v>
      </c>
      <c r="D436" s="7">
        <f>IFERROR(__xludf.DUMMYFUNCTION("GOOGLEFINANCE(""ASX:CAQ"", ""price"")"),0.01)</f>
        <v>0.01</v>
      </c>
      <c r="E436" s="8">
        <f>IFERROR(__xludf.DUMMYFUNCTION("GOOGLEFINANCE(""ASX:CAQ"", ""closeyest"")"),0.01)</f>
        <v>0.01</v>
      </c>
      <c r="F436" s="5" t="str">
        <f>IFERROR(__xludf.DUMMYFUNCTION("GOOGLEFINANCE(""ASX:CAQ"", ""pe"")"),"#N/A")</f>
        <v>#N/A</v>
      </c>
      <c r="G436" s="9">
        <f>IFERROR(__xludf.DUMMYFUNCTION("GOOGLEFINANCE(""ASX:CAQ"", ""high52"")"),0.01)</f>
        <v>0.01</v>
      </c>
      <c r="H436" s="9">
        <f>IFERROR(__xludf.DUMMYFUNCTION("GOOGLEFINANCE(""ASX:CAQ"", ""low52"")"),0.01)</f>
        <v>0.01</v>
      </c>
      <c r="I436" s="9">
        <f>IFERROR(__xludf.DUMMYFUNCTION("GOOGLEFINANCE(""ASX:CAQ"", ""marketcap"")"),6460080.0)</f>
        <v>6460080</v>
      </c>
      <c r="J436" s="5"/>
      <c r="K436" s="5"/>
      <c r="L436" s="5"/>
      <c r="M436" s="5"/>
      <c r="N436" s="11" t="s">
        <v>19</v>
      </c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6" t="s">
        <v>925</v>
      </c>
      <c r="B437" s="6" t="s">
        <v>926</v>
      </c>
      <c r="C437" s="5" t="s">
        <v>70</v>
      </c>
      <c r="D437" s="7">
        <f>IFERROR(__xludf.DUMMYFUNCTION("GOOGLEFINANCE(""ASX:CAR"", ""price"")"),29.56)</f>
        <v>29.56</v>
      </c>
      <c r="E437" s="8">
        <f>IFERROR(__xludf.DUMMYFUNCTION("GOOGLEFINANCE(""ASX:CAR"", ""closeyest"")"),29.8)</f>
        <v>29.8</v>
      </c>
      <c r="F437" s="9">
        <f>IFERROR(__xludf.DUMMYFUNCTION("GOOGLEFINANCE(""ASX:CAR"", ""pe"")"),40.59)</f>
        <v>40.59</v>
      </c>
      <c r="G437" s="9">
        <f>IFERROR(__xludf.DUMMYFUNCTION("GOOGLEFINANCE(""ASX:CAR"", ""high52"")"),42.06)</f>
        <v>42.06</v>
      </c>
      <c r="H437" s="9">
        <f>IFERROR(__xludf.DUMMYFUNCTION("GOOGLEFINANCE(""ASX:CAR"", ""low52"")"),28.4)</f>
        <v>28.4</v>
      </c>
      <c r="I437" s="9">
        <f>IFERROR(__xludf.DUMMYFUNCTION("GOOGLEFINANCE(""ASX:CAR"", ""marketcap"")"),1.1186499969E10)</f>
        <v>11186499969</v>
      </c>
      <c r="J437" s="5"/>
      <c r="K437" s="5"/>
      <c r="L437" s="5"/>
      <c r="M437" s="5"/>
      <c r="N437" s="10">
        <v>42.39</v>
      </c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6" t="s">
        <v>927</v>
      </c>
      <c r="B438" s="6" t="s">
        <v>928</v>
      </c>
      <c r="C438" s="5" t="s">
        <v>15</v>
      </c>
      <c r="D438" s="7">
        <f>IFERROR(__xludf.DUMMYFUNCTION("GOOGLEFINANCE(""ASX:CAT"", ""price"")"),4.09)</f>
        <v>4.09</v>
      </c>
      <c r="E438" s="8">
        <f>IFERROR(__xludf.DUMMYFUNCTION("GOOGLEFINANCE(""ASX:CAT"", ""closeyest"")"),4.11)</f>
        <v>4.11</v>
      </c>
      <c r="F438" s="5" t="str">
        <f>IFERROR(__xludf.DUMMYFUNCTION("GOOGLEFINANCE(""ASX:CAT"", ""pe"")"),"#N/A")</f>
        <v>#N/A</v>
      </c>
      <c r="G438" s="9">
        <f>IFERROR(__xludf.DUMMYFUNCTION("GOOGLEFINANCE(""ASX:CAT"", ""high52"")"),7.72)</f>
        <v>7.72</v>
      </c>
      <c r="H438" s="9">
        <f>IFERROR(__xludf.DUMMYFUNCTION("GOOGLEFINANCE(""ASX:CAT"", ""low52"")"),2.98)</f>
        <v>2.98</v>
      </c>
      <c r="I438" s="9">
        <f>IFERROR(__xludf.DUMMYFUNCTION("GOOGLEFINANCE(""ASX:CAT"", ""marketcap"")"),1.256046817E9)</f>
        <v>1256046817</v>
      </c>
      <c r="J438" s="5"/>
      <c r="K438" s="5"/>
      <c r="L438" s="5"/>
      <c r="M438" s="5"/>
      <c r="N438" s="11" t="s">
        <v>19</v>
      </c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6" t="s">
        <v>929</v>
      </c>
      <c r="B439" s="6" t="s">
        <v>930</v>
      </c>
      <c r="C439" s="5" t="s">
        <v>18</v>
      </c>
      <c r="D439" s="7">
        <f>IFERROR(__xludf.DUMMYFUNCTION("GOOGLEFINANCE(""ASX:CAV"", ""price"")"),0.1)</f>
        <v>0.1</v>
      </c>
      <c r="E439" s="8">
        <f>IFERROR(__xludf.DUMMYFUNCTION("GOOGLEFINANCE(""ASX:CAV"", ""closeyest"")"),0.09)</f>
        <v>0.09</v>
      </c>
      <c r="F439" s="5" t="str">
        <f>IFERROR(__xludf.DUMMYFUNCTION("GOOGLEFINANCE(""ASX:CAV"", ""pe"")"),"#N/A")</f>
        <v>#N/A</v>
      </c>
      <c r="G439" s="9">
        <f>IFERROR(__xludf.DUMMYFUNCTION("GOOGLEFINANCE(""ASX:CAV"", ""high52"")"),0.1)</f>
        <v>0.1</v>
      </c>
      <c r="H439" s="9">
        <f>IFERROR(__xludf.DUMMYFUNCTION("GOOGLEFINANCE(""ASX:CAV"", ""low52"")"),0.04)</f>
        <v>0.04</v>
      </c>
      <c r="I439" s="9">
        <f>IFERROR(__xludf.DUMMYFUNCTION("GOOGLEFINANCE(""ASX:CAV"", ""marketcap"")"),3.9595315E7)</f>
        <v>39595315</v>
      </c>
      <c r="J439" s="5"/>
      <c r="K439" s="5"/>
      <c r="L439" s="5"/>
      <c r="M439" s="5"/>
      <c r="N439" s="11" t="s">
        <v>19</v>
      </c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6" t="s">
        <v>931</v>
      </c>
      <c r="B440" s="6" t="s">
        <v>932</v>
      </c>
      <c r="C440" s="5" t="s">
        <v>75</v>
      </c>
      <c r="D440" s="7">
        <f>IFERROR(__xludf.DUMMYFUNCTION("GOOGLEFINANCE(""ASX:CAY"", ""price"")"),0.22)</f>
        <v>0.22</v>
      </c>
      <c r="E440" s="8">
        <f>IFERROR(__xludf.DUMMYFUNCTION("GOOGLEFINANCE(""ASX:CAY"", ""closeyest"")"),0.21)</f>
        <v>0.21</v>
      </c>
      <c r="F440" s="5" t="str">
        <f>IFERROR(__xludf.DUMMYFUNCTION("GOOGLEFINANCE(""ASX:CAY"", ""pe"")"),"#N/A")</f>
        <v>#N/A</v>
      </c>
      <c r="G440" s="9">
        <f>IFERROR(__xludf.DUMMYFUNCTION("GOOGLEFINANCE(""ASX:CAY"", ""high52"")"),0.31)</f>
        <v>0.31</v>
      </c>
      <c r="H440" s="9">
        <f>IFERROR(__xludf.DUMMYFUNCTION("GOOGLEFINANCE(""ASX:CAY"", ""low52"")"),0.16)</f>
        <v>0.16</v>
      </c>
      <c r="I440" s="9">
        <f>IFERROR(__xludf.DUMMYFUNCTION("GOOGLEFINANCE(""ASX:CAY"", ""marketcap"")"),4.53665297E8)</f>
        <v>453665297</v>
      </c>
      <c r="J440" s="5"/>
      <c r="K440" s="5"/>
      <c r="L440" s="5"/>
      <c r="M440" s="5"/>
      <c r="N440" s="11" t="s">
        <v>19</v>
      </c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6" t="s">
        <v>933</v>
      </c>
      <c r="B441" s="6" t="s">
        <v>934</v>
      </c>
      <c r="C441" s="5" t="s">
        <v>18</v>
      </c>
      <c r="D441" s="7">
        <f>IFERROR(__xludf.DUMMYFUNCTION("GOOGLEFINANCE(""ASX:CAZ"", ""price"")"),0.03)</f>
        <v>0.03</v>
      </c>
      <c r="E441" s="8">
        <f>IFERROR(__xludf.DUMMYFUNCTION("GOOGLEFINANCE(""ASX:CAZ"", ""closeyest"")"),0.03)</f>
        <v>0.03</v>
      </c>
      <c r="F441" s="5" t="str">
        <f>IFERROR(__xludf.DUMMYFUNCTION("GOOGLEFINANCE(""ASX:CAZ"", ""pe"")"),"#N/A")</f>
        <v>#N/A</v>
      </c>
      <c r="G441" s="9">
        <f>IFERROR(__xludf.DUMMYFUNCTION("GOOGLEFINANCE(""ASX:CAZ"", ""high52"")"),0.05)</f>
        <v>0.05</v>
      </c>
      <c r="H441" s="9">
        <f>IFERROR(__xludf.DUMMYFUNCTION("GOOGLEFINANCE(""ASX:CAZ"", ""low52"")"),0.01)</f>
        <v>0.01</v>
      </c>
      <c r="I441" s="9">
        <f>IFERROR(__xludf.DUMMYFUNCTION("GOOGLEFINANCE(""ASX:CAZ"", ""marketcap"")"),1.916301E7)</f>
        <v>19163010</v>
      </c>
      <c r="J441" s="5"/>
      <c r="K441" s="5"/>
      <c r="L441" s="5"/>
      <c r="M441" s="5"/>
      <c r="N441" s="11" t="s">
        <v>19</v>
      </c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6" t="s">
        <v>935</v>
      </c>
      <c r="B442" s="6" t="s">
        <v>936</v>
      </c>
      <c r="C442" s="5" t="s">
        <v>413</v>
      </c>
      <c r="D442" s="7">
        <f>IFERROR(__xludf.DUMMYFUNCTION("GOOGLEFINANCE(""ASX:CBA"", ""price"")"),153.23)</f>
        <v>153.23</v>
      </c>
      <c r="E442" s="8">
        <f>IFERROR(__xludf.DUMMYFUNCTION("GOOGLEFINANCE(""ASX:CBA"", ""closeyest"")"),155.85)</f>
        <v>155.85</v>
      </c>
      <c r="F442" s="9">
        <f>IFERROR(__xludf.DUMMYFUNCTION("GOOGLEFINANCE(""ASX:CBA"", ""pe"")"),25.33)</f>
        <v>25.33</v>
      </c>
      <c r="G442" s="9">
        <f>IFERROR(__xludf.DUMMYFUNCTION("GOOGLEFINANCE(""ASX:CBA"", ""high52"")"),192.0)</f>
        <v>192</v>
      </c>
      <c r="H442" s="9">
        <f>IFERROR(__xludf.DUMMYFUNCTION("GOOGLEFINANCE(""ASX:CBA"", ""low52"")"),140.21)</f>
        <v>140.21</v>
      </c>
      <c r="I442" s="9">
        <f>IFERROR(__xludf.DUMMYFUNCTION("GOOGLEFINANCE(""ASX:CBA"", ""marketcap"")"),2.5642457511E11)</f>
        <v>256424575110</v>
      </c>
      <c r="J442" s="5"/>
      <c r="K442" s="5"/>
      <c r="L442" s="5"/>
      <c r="M442" s="5"/>
      <c r="N442" s="10">
        <v>26.63</v>
      </c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6" t="s">
        <v>937</v>
      </c>
      <c r="B443" s="6" t="s">
        <v>938</v>
      </c>
      <c r="C443" s="5" t="s">
        <v>18</v>
      </c>
      <c r="D443" s="7">
        <f>IFERROR(__xludf.DUMMYFUNCTION("GOOGLEFINANCE(""ASX:CBE"", ""price"")"),0.11)</f>
        <v>0.11</v>
      </c>
      <c r="E443" s="8">
        <f>IFERROR(__xludf.DUMMYFUNCTION("GOOGLEFINANCE(""ASX:CBE"", ""closeyest"")"),0.11)</f>
        <v>0.11</v>
      </c>
      <c r="F443" s="5" t="str">
        <f>IFERROR(__xludf.DUMMYFUNCTION("GOOGLEFINANCE(""ASX:CBE"", ""pe"")"),"#N/A")</f>
        <v>#N/A</v>
      </c>
      <c r="G443" s="9">
        <f>IFERROR(__xludf.DUMMYFUNCTION("GOOGLEFINANCE(""ASX:CBE"", ""high52"")"),0.17)</f>
        <v>0.17</v>
      </c>
      <c r="H443" s="9">
        <f>IFERROR(__xludf.DUMMYFUNCTION("GOOGLEFINANCE(""ASX:CBE"", ""low52"")"),0.04)</f>
        <v>0.04</v>
      </c>
      <c r="I443" s="9">
        <f>IFERROR(__xludf.DUMMYFUNCTION("GOOGLEFINANCE(""ASX:CBE"", ""marketcap"")"),5.7344594E7)</f>
        <v>57344594</v>
      </c>
      <c r="J443" s="5"/>
      <c r="K443" s="5"/>
      <c r="L443" s="5"/>
      <c r="M443" s="5"/>
      <c r="N443" s="11" t="s">
        <v>19</v>
      </c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6" t="s">
        <v>939</v>
      </c>
      <c r="B444" s="6" t="s">
        <v>940</v>
      </c>
      <c r="C444" s="5" t="s">
        <v>62</v>
      </c>
      <c r="D444" s="7">
        <f>IFERROR(__xludf.DUMMYFUNCTION("GOOGLEFINANCE(""ASX:CBL"", ""price"")"),0.06)</f>
        <v>0.06</v>
      </c>
      <c r="E444" s="8">
        <f>IFERROR(__xludf.DUMMYFUNCTION("GOOGLEFINANCE(""ASX:CBL"", ""closeyest"")"),0.06)</f>
        <v>0.06</v>
      </c>
      <c r="F444" s="5" t="str">
        <f>IFERROR(__xludf.DUMMYFUNCTION("GOOGLEFINANCE(""ASX:CBL"", ""pe"")"),"#N/A")</f>
        <v>#N/A</v>
      </c>
      <c r="G444" s="9">
        <f>IFERROR(__xludf.DUMMYFUNCTION("GOOGLEFINANCE(""ASX:CBL"", ""high52"")"),0.09)</f>
        <v>0.09</v>
      </c>
      <c r="H444" s="9">
        <f>IFERROR(__xludf.DUMMYFUNCTION("GOOGLEFINANCE(""ASX:CBL"", ""low52"")"),0.03)</f>
        <v>0.03</v>
      </c>
      <c r="I444" s="9">
        <f>IFERROR(__xludf.DUMMYFUNCTION("GOOGLEFINANCE(""ASX:CBL"", ""marketcap"")"),2.5967334E7)</f>
        <v>25967334</v>
      </c>
      <c r="J444" s="5"/>
      <c r="K444" s="5"/>
      <c r="L444" s="5"/>
      <c r="M444" s="5"/>
      <c r="N444" s="11" t="s">
        <v>19</v>
      </c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6" t="s">
        <v>941</v>
      </c>
      <c r="B445" s="6" t="s">
        <v>942</v>
      </c>
      <c r="C445" s="5" t="s">
        <v>98</v>
      </c>
      <c r="D445" s="7">
        <f>IFERROR(__xludf.DUMMYFUNCTION("GOOGLEFINANCE(""ASX:CBO"", ""price"")"),3.85)</f>
        <v>3.85</v>
      </c>
      <c r="E445" s="8">
        <f>IFERROR(__xludf.DUMMYFUNCTION("GOOGLEFINANCE(""ASX:CBO"", ""closeyest"")"),3.88)</f>
        <v>3.88</v>
      </c>
      <c r="F445" s="9">
        <f>IFERROR(__xludf.DUMMYFUNCTION("GOOGLEFINANCE(""ASX:CBO"", ""pe"")"),33.9)</f>
        <v>33.9</v>
      </c>
      <c r="G445" s="9">
        <f>IFERROR(__xludf.DUMMYFUNCTION("GOOGLEFINANCE(""ASX:CBO"", ""high52"")"),4.11)</f>
        <v>4.11</v>
      </c>
      <c r="H445" s="9">
        <f>IFERROR(__xludf.DUMMYFUNCTION("GOOGLEFINANCE(""ASX:CBO"", ""low52"")"),1.69)</f>
        <v>1.69</v>
      </c>
      <c r="I445" s="9">
        <f>IFERROR(__xludf.DUMMYFUNCTION("GOOGLEFINANCE(""ASX:CBO"", ""marketcap"")"),1.838032304E9)</f>
        <v>1838032304</v>
      </c>
      <c r="J445" s="5"/>
      <c r="K445" s="5"/>
      <c r="L445" s="5"/>
      <c r="M445" s="5"/>
      <c r="N445" s="10">
        <v>35.58</v>
      </c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6" t="s">
        <v>943</v>
      </c>
      <c r="B446" s="6" t="s">
        <v>944</v>
      </c>
      <c r="C446" s="5" t="s">
        <v>39</v>
      </c>
      <c r="D446" s="7">
        <f>IFERROR(__xludf.DUMMYFUNCTION("GOOGLEFINANCE(""ASX:CBY"", ""price"")"),0.03)</f>
        <v>0.03</v>
      </c>
      <c r="E446" s="8">
        <f>IFERROR(__xludf.DUMMYFUNCTION("GOOGLEFINANCE(""ASX:CBY"", ""closeyest"")"),0.03)</f>
        <v>0.03</v>
      </c>
      <c r="F446" s="5" t="str">
        <f>IFERROR(__xludf.DUMMYFUNCTION("GOOGLEFINANCE(""ASX:CBY"", ""pe"")"),"#N/A")</f>
        <v>#N/A</v>
      </c>
      <c r="G446" s="9">
        <f>IFERROR(__xludf.DUMMYFUNCTION("GOOGLEFINANCE(""ASX:CBY"", ""high52"")"),0.04)</f>
        <v>0.04</v>
      </c>
      <c r="H446" s="9">
        <f>IFERROR(__xludf.DUMMYFUNCTION("GOOGLEFINANCE(""ASX:CBY"", ""low52"")"),0.02)</f>
        <v>0.02</v>
      </c>
      <c r="I446" s="9">
        <f>IFERROR(__xludf.DUMMYFUNCTION("GOOGLEFINANCE(""ASX:CBY"", ""marketcap"")"),6076631.0)</f>
        <v>6076631</v>
      </c>
      <c r="J446" s="5"/>
      <c r="K446" s="5"/>
      <c r="L446" s="5"/>
      <c r="M446" s="5"/>
      <c r="N446" s="11" t="s">
        <v>19</v>
      </c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6" t="s">
        <v>945</v>
      </c>
      <c r="B447" s="6" t="s">
        <v>946</v>
      </c>
      <c r="C447" s="5" t="s">
        <v>25</v>
      </c>
      <c r="D447" s="7">
        <f>IFERROR(__xludf.DUMMYFUNCTION("GOOGLEFINANCE(""ASX:CC5"", ""price"")"),0.03)</f>
        <v>0.03</v>
      </c>
      <c r="E447" s="8">
        <f>IFERROR(__xludf.DUMMYFUNCTION("GOOGLEFINANCE(""ASX:CC5"", ""closeyest"")"),0.03)</f>
        <v>0.03</v>
      </c>
      <c r="F447" s="9">
        <f>IFERROR(__xludf.DUMMYFUNCTION("GOOGLEFINANCE(""ASX:CC5"", ""pe"")"),35.44)</f>
        <v>35.44</v>
      </c>
      <c r="G447" s="9">
        <f>IFERROR(__xludf.DUMMYFUNCTION("GOOGLEFINANCE(""ASX:CC5"", ""high52"")"),0.04)</f>
        <v>0.04</v>
      </c>
      <c r="H447" s="9">
        <f>IFERROR(__xludf.DUMMYFUNCTION("GOOGLEFINANCE(""ASX:CC5"", ""low52"")"),0.01)</f>
        <v>0.01</v>
      </c>
      <c r="I447" s="9">
        <f>IFERROR(__xludf.DUMMYFUNCTION("GOOGLEFINANCE(""ASX:CC5"", ""marketcap"")"),6.0841817E7)</f>
        <v>60841817</v>
      </c>
      <c r="J447" s="5"/>
      <c r="K447" s="5"/>
      <c r="L447" s="5"/>
      <c r="M447" s="5"/>
      <c r="N447" s="10">
        <v>36.71</v>
      </c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6" t="s">
        <v>947</v>
      </c>
      <c r="B448" s="6" t="s">
        <v>948</v>
      </c>
      <c r="C448" s="5" t="s">
        <v>39</v>
      </c>
      <c r="D448" s="7">
        <f>IFERROR(__xludf.DUMMYFUNCTION("GOOGLEFINANCE(""ASX:CC9"", ""price"")"),0.18)</f>
        <v>0.18</v>
      </c>
      <c r="E448" s="8">
        <f>IFERROR(__xludf.DUMMYFUNCTION("GOOGLEFINANCE(""ASX:CC9"", ""closeyest"")"),0.17)</f>
        <v>0.17</v>
      </c>
      <c r="F448" s="5" t="str">
        <f>IFERROR(__xludf.DUMMYFUNCTION("GOOGLEFINANCE(""ASX:CC9"", ""pe"")"),"#N/A")</f>
        <v>#N/A</v>
      </c>
      <c r="G448" s="9">
        <f>IFERROR(__xludf.DUMMYFUNCTION("GOOGLEFINANCE(""ASX:CC9"", ""high52"")"),0.33)</f>
        <v>0.33</v>
      </c>
      <c r="H448" s="9">
        <f>IFERROR(__xludf.DUMMYFUNCTION("GOOGLEFINANCE(""ASX:CC9"", ""low52"")"),0.04)</f>
        <v>0.04</v>
      </c>
      <c r="I448" s="9">
        <f>IFERROR(__xludf.DUMMYFUNCTION("GOOGLEFINANCE(""ASX:CC9"", ""marketcap"")"),3.6013564E7)</f>
        <v>36013564</v>
      </c>
      <c r="J448" s="5"/>
      <c r="K448" s="5"/>
      <c r="L448" s="5"/>
      <c r="M448" s="5"/>
      <c r="N448" s="11" t="s">
        <v>19</v>
      </c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6" t="s">
        <v>949</v>
      </c>
      <c r="B449" s="6" t="s">
        <v>950</v>
      </c>
      <c r="C449" s="5" t="s">
        <v>951</v>
      </c>
      <c r="D449" s="7">
        <f>IFERROR(__xludf.DUMMYFUNCTION("GOOGLEFINANCE(""ASX:CCA"", ""price"")"),0.07)</f>
        <v>0.07</v>
      </c>
      <c r="E449" s="8">
        <f>IFERROR(__xludf.DUMMYFUNCTION("GOOGLEFINANCE(""ASX:CCA"", ""closeyest"")"),0.07)</f>
        <v>0.07</v>
      </c>
      <c r="F449" s="5" t="str">
        <f>IFERROR(__xludf.DUMMYFUNCTION("GOOGLEFINANCE(""ASX:CCA"", ""pe"")"),"#N/A")</f>
        <v>#N/A</v>
      </c>
      <c r="G449" s="9">
        <f>IFERROR(__xludf.DUMMYFUNCTION("GOOGLEFINANCE(""ASX:CCA"", ""high52"")"),0.1)</f>
        <v>0.1</v>
      </c>
      <c r="H449" s="9">
        <f>IFERROR(__xludf.DUMMYFUNCTION("GOOGLEFINANCE(""ASX:CCA"", ""low52"")"),0.05)</f>
        <v>0.05</v>
      </c>
      <c r="I449" s="9">
        <f>IFERROR(__xludf.DUMMYFUNCTION("GOOGLEFINANCE(""ASX:CCA"", ""marketcap"")"),4.660558E7)</f>
        <v>46605580</v>
      </c>
      <c r="J449" s="5"/>
      <c r="K449" s="5"/>
      <c r="L449" s="5"/>
      <c r="M449" s="5"/>
      <c r="N449" s="11" t="s">
        <v>19</v>
      </c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6" t="s">
        <v>952</v>
      </c>
      <c r="B450" s="6" t="s">
        <v>953</v>
      </c>
      <c r="C450" s="5" t="s">
        <v>954</v>
      </c>
      <c r="D450" s="7">
        <f>IFERROR(__xludf.DUMMYFUNCTION("GOOGLEFINANCE(""ASX:CCE"", ""price"")"),0.08)</f>
        <v>0.08</v>
      </c>
      <c r="E450" s="8">
        <f>IFERROR(__xludf.DUMMYFUNCTION("GOOGLEFINANCE(""ASX:CCE"", ""closeyest"")"),0.09)</f>
        <v>0.09</v>
      </c>
      <c r="F450" s="5" t="str">
        <f>IFERROR(__xludf.DUMMYFUNCTION("GOOGLEFINANCE(""ASX:CCE"", ""pe"")"),"#N/A")</f>
        <v>#N/A</v>
      </c>
      <c r="G450" s="9">
        <f>IFERROR(__xludf.DUMMYFUNCTION("GOOGLEFINANCE(""ASX:CCE"", ""high52"")"),0.19)</f>
        <v>0.19</v>
      </c>
      <c r="H450" s="9">
        <f>IFERROR(__xludf.DUMMYFUNCTION("GOOGLEFINANCE(""ASX:CCE"", ""low52"")"),0.03)</f>
        <v>0.03</v>
      </c>
      <c r="I450" s="9">
        <f>IFERROR(__xludf.DUMMYFUNCTION("GOOGLEFINANCE(""ASX:CCE"", ""marketcap"")"),3.2210473E7)</f>
        <v>32210473</v>
      </c>
      <c r="J450" s="5"/>
      <c r="K450" s="5"/>
      <c r="L450" s="5"/>
      <c r="M450" s="5"/>
      <c r="N450" s="11" t="s">
        <v>19</v>
      </c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6" t="s">
        <v>955</v>
      </c>
      <c r="B451" s="6" t="s">
        <v>956</v>
      </c>
      <c r="C451" s="5" t="s">
        <v>184</v>
      </c>
      <c r="D451" s="7">
        <f>IFERROR(__xludf.DUMMYFUNCTION("GOOGLEFINANCE(""ASX:CCG"", ""price"")"),0.07)</f>
        <v>0.07</v>
      </c>
      <c r="E451" s="8">
        <f>IFERROR(__xludf.DUMMYFUNCTION("GOOGLEFINANCE(""ASX:CCG"", ""closeyest"")"),0.07)</f>
        <v>0.07</v>
      </c>
      <c r="F451" s="5" t="str">
        <f>IFERROR(__xludf.DUMMYFUNCTION("GOOGLEFINANCE(""ASX:CCG"", ""pe"")"),"#N/A")</f>
        <v>#N/A</v>
      </c>
      <c r="G451" s="9">
        <f>IFERROR(__xludf.DUMMYFUNCTION("GOOGLEFINANCE(""ASX:CCG"", ""high52"")"),0.08)</f>
        <v>0.08</v>
      </c>
      <c r="H451" s="9">
        <f>IFERROR(__xludf.DUMMYFUNCTION("GOOGLEFINANCE(""ASX:CCG"", ""low52"")"),0.04)</f>
        <v>0.04</v>
      </c>
      <c r="I451" s="9">
        <f>IFERROR(__xludf.DUMMYFUNCTION("GOOGLEFINANCE(""ASX:CCG"", ""marketcap"")"),3.6588884E7)</f>
        <v>36588884</v>
      </c>
      <c r="J451" s="5"/>
      <c r="K451" s="5"/>
      <c r="L451" s="5"/>
      <c r="M451" s="5"/>
      <c r="N451" s="11" t="s">
        <v>19</v>
      </c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6" t="s">
        <v>957</v>
      </c>
      <c r="B452" s="6" t="s">
        <v>958</v>
      </c>
      <c r="C452" s="5" t="s">
        <v>161</v>
      </c>
      <c r="D452" s="7">
        <f>IFERROR(__xludf.DUMMYFUNCTION("GOOGLEFINANCE(""ASX:CCL"", ""price"")"),4.32)</f>
        <v>4.32</v>
      </c>
      <c r="E452" s="8">
        <f>IFERROR(__xludf.DUMMYFUNCTION("GOOGLEFINANCE(""ASX:CCL"", ""closeyest"")"),4.3)</f>
        <v>4.3</v>
      </c>
      <c r="F452" s="9">
        <f>IFERROR(__xludf.DUMMYFUNCTION("GOOGLEFINANCE(""ASX:CCL"", ""pe"")"),27.98)</f>
        <v>27.98</v>
      </c>
      <c r="G452" s="9">
        <f>IFERROR(__xludf.DUMMYFUNCTION("GOOGLEFINANCE(""ASX:CCL"", ""high52"")"),4.55)</f>
        <v>4.55</v>
      </c>
      <c r="H452" s="9">
        <f>IFERROR(__xludf.DUMMYFUNCTION("GOOGLEFINANCE(""ASX:CCL"", ""low52"")"),2.2)</f>
        <v>2.2</v>
      </c>
      <c r="I452" s="9">
        <f>IFERROR(__xludf.DUMMYFUNCTION("GOOGLEFINANCE(""ASX:CCL"", ""marketcap"")"),8.27548736E8)</f>
        <v>827548736</v>
      </c>
      <c r="J452" s="5"/>
      <c r="K452" s="5"/>
      <c r="L452" s="5"/>
      <c r="M452" s="5"/>
      <c r="N452" s="10">
        <v>28.7</v>
      </c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6" t="s">
        <v>959</v>
      </c>
      <c r="B453" s="6" t="s">
        <v>960</v>
      </c>
      <c r="C453" s="5" t="s">
        <v>961</v>
      </c>
      <c r="D453" s="7">
        <f>IFERROR(__xludf.DUMMYFUNCTION("GOOGLEFINANCE(""ASX:CCM"", ""price"")"),0.05)</f>
        <v>0.05</v>
      </c>
      <c r="E453" s="8">
        <f>IFERROR(__xludf.DUMMYFUNCTION("GOOGLEFINANCE(""ASX:CCM"", ""closeyest"")"),0.05)</f>
        <v>0.05</v>
      </c>
      <c r="F453" s="5" t="str">
        <f>IFERROR(__xludf.DUMMYFUNCTION("GOOGLEFINANCE(""ASX:CCM"", ""pe"")"),"#N/A")</f>
        <v>#N/A</v>
      </c>
      <c r="G453" s="9">
        <f>IFERROR(__xludf.DUMMYFUNCTION("GOOGLEFINANCE(""ASX:CCM"", ""high52"")"),0.06)</f>
        <v>0.06</v>
      </c>
      <c r="H453" s="9">
        <f>IFERROR(__xludf.DUMMYFUNCTION("GOOGLEFINANCE(""ASX:CCM"", ""low52"")"),0.03)</f>
        <v>0.03</v>
      </c>
      <c r="I453" s="9">
        <f>IFERROR(__xludf.DUMMYFUNCTION("GOOGLEFINANCE(""ASX:CCM"", ""marketcap"")"),1.5355989E7)</f>
        <v>15355989</v>
      </c>
      <c r="J453" s="5"/>
      <c r="K453" s="5"/>
      <c r="L453" s="5"/>
      <c r="M453" s="5"/>
      <c r="N453" s="11" t="s">
        <v>19</v>
      </c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6" t="s">
        <v>962</v>
      </c>
      <c r="B454" s="6" t="s">
        <v>963</v>
      </c>
      <c r="C454" s="5" t="s">
        <v>174</v>
      </c>
      <c r="D454" s="7">
        <f>IFERROR(__xludf.DUMMYFUNCTION("GOOGLEFINANCE(""ASX:CCO"", ""price"")"),0.0)</f>
        <v>0</v>
      </c>
      <c r="E454" s="8">
        <f>IFERROR(__xludf.DUMMYFUNCTION("GOOGLEFINANCE(""ASX:CCO"", ""closeyest"")"),0.0)</f>
        <v>0</v>
      </c>
      <c r="F454" s="5" t="str">
        <f>IFERROR(__xludf.DUMMYFUNCTION("GOOGLEFINANCE(""ASX:CCO"", ""pe"")"),"#N/A")</f>
        <v>#N/A</v>
      </c>
      <c r="G454" s="9">
        <f>IFERROR(__xludf.DUMMYFUNCTION("GOOGLEFINANCE(""ASX:CCO"", ""high52"")"),0.01)</f>
        <v>0.01</v>
      </c>
      <c r="H454" s="9">
        <f>IFERROR(__xludf.DUMMYFUNCTION("GOOGLEFINANCE(""ASX:CCO"", ""low52"")"),0.0)</f>
        <v>0</v>
      </c>
      <c r="I454" s="9">
        <f>IFERROR(__xludf.DUMMYFUNCTION("GOOGLEFINANCE(""ASX:CCO"", ""marketcap"")"),5108634.0)</f>
        <v>5108634</v>
      </c>
      <c r="J454" s="12">
        <v>0.003</v>
      </c>
      <c r="K454" s="12">
        <v>0.0035</v>
      </c>
      <c r="L454" s="12">
        <v>0.007</v>
      </c>
      <c r="M454" s="12">
        <v>0.002</v>
      </c>
      <c r="N454" s="11" t="s">
        <v>19</v>
      </c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6" t="s">
        <v>964</v>
      </c>
      <c r="B455" s="6" t="s">
        <v>965</v>
      </c>
      <c r="C455" s="5" t="s">
        <v>873</v>
      </c>
      <c r="D455" s="7">
        <f>IFERROR(__xludf.DUMMYFUNCTION("GOOGLEFINANCE(""ASX:CCP"", ""price"")"),14.1)</f>
        <v>14.1</v>
      </c>
      <c r="E455" s="8">
        <f>IFERROR(__xludf.DUMMYFUNCTION("GOOGLEFINANCE(""ASX:CCP"", ""closeyest"")"),14.03)</f>
        <v>14.03</v>
      </c>
      <c r="F455" s="9">
        <f>IFERROR(__xludf.DUMMYFUNCTION("GOOGLEFINANCE(""ASX:CCP"", ""pe"")"),10.32)</f>
        <v>10.32</v>
      </c>
      <c r="G455" s="9">
        <f>IFERROR(__xludf.DUMMYFUNCTION("GOOGLEFINANCE(""ASX:CCP"", ""high52"")"),18.48)</f>
        <v>18.48</v>
      </c>
      <c r="H455" s="9">
        <f>IFERROR(__xludf.DUMMYFUNCTION("GOOGLEFINANCE(""ASX:CCP"", ""low52"")"),11.28)</f>
        <v>11.28</v>
      </c>
      <c r="I455" s="9">
        <f>IFERROR(__xludf.DUMMYFUNCTION("GOOGLEFINANCE(""ASX:CCP"", ""marketcap"")"),9.59742751E8)</f>
        <v>959742751</v>
      </c>
      <c r="J455" s="5"/>
      <c r="K455" s="5"/>
      <c r="L455" s="5"/>
      <c r="M455" s="5"/>
      <c r="N455" s="10">
        <v>10.37</v>
      </c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6" t="s">
        <v>966</v>
      </c>
      <c r="B456" s="6" t="s">
        <v>967</v>
      </c>
      <c r="C456" s="5" t="s">
        <v>33</v>
      </c>
      <c r="D456" s="7">
        <f>IFERROR(__xludf.DUMMYFUNCTION("GOOGLEFINANCE(""ASX:CCR"", ""price"")"),0.27)</f>
        <v>0.27</v>
      </c>
      <c r="E456" s="8">
        <f>IFERROR(__xludf.DUMMYFUNCTION("GOOGLEFINANCE(""ASX:CCR"", ""closeyest"")"),0.27)</f>
        <v>0.27</v>
      </c>
      <c r="F456" s="9">
        <f>IFERROR(__xludf.DUMMYFUNCTION("GOOGLEFINANCE(""ASX:CCR"", ""pe"")"),35.95)</f>
        <v>35.95</v>
      </c>
      <c r="G456" s="9">
        <f>IFERROR(__xludf.DUMMYFUNCTION("GOOGLEFINANCE(""ASX:CCR"", ""high52"")"),0.34)</f>
        <v>0.34</v>
      </c>
      <c r="H456" s="9">
        <f>IFERROR(__xludf.DUMMYFUNCTION("GOOGLEFINANCE(""ASX:CCR"", ""low52"")"),0.19)</f>
        <v>0.19</v>
      </c>
      <c r="I456" s="9">
        <f>IFERROR(__xludf.DUMMYFUNCTION("GOOGLEFINANCE(""ASX:CCR"", ""marketcap"")"),1.29237719E8)</f>
        <v>129237719</v>
      </c>
      <c r="J456" s="5"/>
      <c r="K456" s="5"/>
      <c r="L456" s="5"/>
      <c r="M456" s="5"/>
      <c r="N456" s="10">
        <v>36.88</v>
      </c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6" t="s">
        <v>968</v>
      </c>
      <c r="B457" s="6" t="s">
        <v>969</v>
      </c>
      <c r="C457" s="5" t="s">
        <v>399</v>
      </c>
      <c r="D457" s="7">
        <f>IFERROR(__xludf.DUMMYFUNCTION("GOOGLEFINANCE(""ASX:CCV"", ""price"")"),0.34)</f>
        <v>0.34</v>
      </c>
      <c r="E457" s="8">
        <f>IFERROR(__xludf.DUMMYFUNCTION("GOOGLEFINANCE(""ASX:CCV"", ""closeyest"")"),0.35)</f>
        <v>0.35</v>
      </c>
      <c r="F457" s="9">
        <f>IFERROR(__xludf.DUMMYFUNCTION("GOOGLEFINANCE(""ASX:CCV"", ""pe"")"),9.32)</f>
        <v>9.32</v>
      </c>
      <c r="G457" s="9">
        <f>IFERROR(__xludf.DUMMYFUNCTION("GOOGLEFINANCE(""ASX:CCV"", ""high52"")"),0.37)</f>
        <v>0.37</v>
      </c>
      <c r="H457" s="9">
        <f>IFERROR(__xludf.DUMMYFUNCTION("GOOGLEFINANCE(""ASX:CCV"", ""low52"")"),0.22)</f>
        <v>0.22</v>
      </c>
      <c r="I457" s="9">
        <f>IFERROR(__xludf.DUMMYFUNCTION("GOOGLEFINANCE(""ASX:CCV"", ""marketcap"")"),2.41233572E8)</f>
        <v>241233572</v>
      </c>
      <c r="J457" s="5"/>
      <c r="K457" s="5"/>
      <c r="L457" s="5"/>
      <c r="M457" s="5"/>
      <c r="N457" s="10">
        <v>9.18</v>
      </c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6" t="s">
        <v>970</v>
      </c>
      <c r="B458" s="6" t="s">
        <v>971</v>
      </c>
      <c r="C458" s="5" t="s">
        <v>620</v>
      </c>
      <c r="D458" s="7">
        <f>IFERROR(__xludf.DUMMYFUNCTION("GOOGLEFINANCE(""ASX:CCX"", ""price"")"),0.12)</f>
        <v>0.12</v>
      </c>
      <c r="E458" s="8">
        <f>IFERROR(__xludf.DUMMYFUNCTION("GOOGLEFINANCE(""ASX:CCX"", ""closeyest"")"),0.12)</f>
        <v>0.12</v>
      </c>
      <c r="F458" s="5" t="str">
        <f>IFERROR(__xludf.DUMMYFUNCTION("GOOGLEFINANCE(""ASX:CCX"", ""pe"")"),"#N/A")</f>
        <v>#N/A</v>
      </c>
      <c r="G458" s="9">
        <f>IFERROR(__xludf.DUMMYFUNCTION("GOOGLEFINANCE(""ASX:CCX"", ""high52"")"),0.17)</f>
        <v>0.17</v>
      </c>
      <c r="H458" s="9">
        <f>IFERROR(__xludf.DUMMYFUNCTION("GOOGLEFINANCE(""ASX:CCX"", ""low52"")"),0.07)</f>
        <v>0.07</v>
      </c>
      <c r="I458" s="9">
        <f>IFERROR(__xludf.DUMMYFUNCTION("GOOGLEFINANCE(""ASX:CCX"", ""marketcap"")"),4.6218934E7)</f>
        <v>46218934</v>
      </c>
      <c r="J458" s="5"/>
      <c r="K458" s="5"/>
      <c r="L458" s="5"/>
      <c r="M458" s="5"/>
      <c r="N458" s="11" t="s">
        <v>19</v>
      </c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6" t="s">
        <v>972</v>
      </c>
      <c r="B459" s="6" t="s">
        <v>973</v>
      </c>
      <c r="C459" s="5" t="s">
        <v>171</v>
      </c>
      <c r="D459" s="7">
        <f>IFERROR(__xludf.DUMMYFUNCTION("GOOGLEFINANCE(""ASX:CD1"", ""price"")"),0.47)</f>
        <v>0.47</v>
      </c>
      <c r="E459" s="8">
        <f>IFERROR(__xludf.DUMMYFUNCTION("GOOGLEFINANCE(""ASX:CD1"", ""closeyest"")"),0.46)</f>
        <v>0.46</v>
      </c>
      <c r="F459" s="9">
        <f>IFERROR(__xludf.DUMMYFUNCTION("GOOGLEFINANCE(""ASX:CD1"", ""pe"")"),23.51)</f>
        <v>23.51</v>
      </c>
      <c r="G459" s="9">
        <f>IFERROR(__xludf.DUMMYFUNCTION("GOOGLEFINANCE(""ASX:CD1"", ""high52"")"),0.79)</f>
        <v>0.79</v>
      </c>
      <c r="H459" s="9">
        <f>IFERROR(__xludf.DUMMYFUNCTION("GOOGLEFINANCE(""ASX:CD1"", ""low52"")"),0.45)</f>
        <v>0.45</v>
      </c>
      <c r="I459" s="9">
        <f>IFERROR(__xludf.DUMMYFUNCTION("GOOGLEFINANCE(""ASX:CD1"", ""marketcap"")"),1.7179049E7)</f>
        <v>17179049</v>
      </c>
      <c r="J459" s="9">
        <v>0.002</v>
      </c>
      <c r="K459" s="9">
        <v>0.002</v>
      </c>
      <c r="L459" s="9">
        <v>0.002</v>
      </c>
      <c r="M459" s="9">
        <v>0.001</v>
      </c>
      <c r="N459" s="10">
        <v>23.01</v>
      </c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6" t="s">
        <v>974</v>
      </c>
      <c r="B460" s="6" t="s">
        <v>975</v>
      </c>
      <c r="C460" s="5" t="s">
        <v>171</v>
      </c>
      <c r="D460" s="7">
        <f>IFERROR(__xludf.DUMMYFUNCTION("GOOGLEFINANCE(""ASX:CD2"", ""price"")"),0.69)</f>
        <v>0.69</v>
      </c>
      <c r="E460" s="8">
        <f>IFERROR(__xludf.DUMMYFUNCTION("GOOGLEFINANCE(""ASX:CD2"", ""closeyest"")"),0.69)</f>
        <v>0.69</v>
      </c>
      <c r="F460" s="9">
        <f>IFERROR(__xludf.DUMMYFUNCTION("GOOGLEFINANCE(""ASX:CD2"", ""pe"")"),174.24)</f>
        <v>174.24</v>
      </c>
      <c r="G460" s="9">
        <f>IFERROR(__xludf.DUMMYFUNCTION("GOOGLEFINANCE(""ASX:CD2"", ""high52"")"),0.97)</f>
        <v>0.97</v>
      </c>
      <c r="H460" s="9">
        <f>IFERROR(__xludf.DUMMYFUNCTION("GOOGLEFINANCE(""ASX:CD2"", ""low52"")"),0.67)</f>
        <v>0.67</v>
      </c>
      <c r="I460" s="9">
        <f>IFERROR(__xludf.DUMMYFUNCTION("GOOGLEFINANCE(""ASX:CD2"", ""marketcap"")"),3.6210565E7)</f>
        <v>36210565</v>
      </c>
      <c r="J460" s="5"/>
      <c r="K460" s="5"/>
      <c r="L460" s="5"/>
      <c r="M460" s="5"/>
      <c r="N460" s="10">
        <v>174.24</v>
      </c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6" t="s">
        <v>976</v>
      </c>
      <c r="B461" s="6" t="s">
        <v>977</v>
      </c>
      <c r="C461" s="5" t="s">
        <v>171</v>
      </c>
      <c r="D461" s="7">
        <f>IFERROR(__xludf.DUMMYFUNCTION("GOOGLEFINANCE(""ASX:CD3"", ""price"")"),1.09)</f>
        <v>1.09</v>
      </c>
      <c r="E461" s="8">
        <f>IFERROR(__xludf.DUMMYFUNCTION("GOOGLEFINANCE(""ASX:CD3"", ""closeyest"")"),1.14)</f>
        <v>1.14</v>
      </c>
      <c r="F461" s="9">
        <f>IFERROR(__xludf.DUMMYFUNCTION("GOOGLEFINANCE(""ASX:CD3"", ""pe"")"),4.23)</f>
        <v>4.23</v>
      </c>
      <c r="G461" s="9">
        <f>IFERROR(__xludf.DUMMYFUNCTION("GOOGLEFINANCE(""ASX:CD3"", ""high52"")"),1.42)</f>
        <v>1.42</v>
      </c>
      <c r="H461" s="9">
        <f>IFERROR(__xludf.DUMMYFUNCTION("GOOGLEFINANCE(""ASX:CD3"", ""low52"")"),1.08)</f>
        <v>1.08</v>
      </c>
      <c r="I461" s="9">
        <f>IFERROR(__xludf.DUMMYFUNCTION("GOOGLEFINANCE(""ASX:CD3"", ""marketcap"")"),7.851098E7)</f>
        <v>78510980</v>
      </c>
      <c r="J461" s="5"/>
      <c r="K461" s="5"/>
      <c r="L461" s="5"/>
      <c r="M461" s="5"/>
      <c r="N461" s="10">
        <v>4.23</v>
      </c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6" t="s">
        <v>978</v>
      </c>
      <c r="B462" s="6" t="s">
        <v>979</v>
      </c>
      <c r="C462" s="5" t="s">
        <v>103</v>
      </c>
      <c r="D462" s="7">
        <f>IFERROR(__xludf.DUMMYFUNCTION("GOOGLEFINANCE(""ASX:CDA"", ""price"")"),30.14)</f>
        <v>30.14</v>
      </c>
      <c r="E462" s="8">
        <f>IFERROR(__xludf.DUMMYFUNCTION("GOOGLEFINANCE(""ASX:CDA"", ""closeyest"")"),29.39)</f>
        <v>29.39</v>
      </c>
      <c r="F462" s="9">
        <f>IFERROR(__xludf.DUMMYFUNCTION("GOOGLEFINANCE(""ASX:CDA"", ""pe"")"),53.07)</f>
        <v>53.07</v>
      </c>
      <c r="G462" s="9">
        <f>IFERROR(__xludf.DUMMYFUNCTION("GOOGLEFINANCE(""ASX:CDA"", ""high52"")"),36.92)</f>
        <v>36.92</v>
      </c>
      <c r="H462" s="9">
        <f>IFERROR(__xludf.DUMMYFUNCTION("GOOGLEFINANCE(""ASX:CDA"", ""low52"")"),13.2)</f>
        <v>13.2</v>
      </c>
      <c r="I462" s="9">
        <f>IFERROR(__xludf.DUMMYFUNCTION("GOOGLEFINANCE(""ASX:CDA"", ""marketcap"")"),5.48152552E9)</f>
        <v>5481525520</v>
      </c>
      <c r="J462" s="5"/>
      <c r="K462" s="5"/>
      <c r="L462" s="5"/>
      <c r="M462" s="5"/>
      <c r="N462" s="10">
        <v>51.1</v>
      </c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6" t="s">
        <v>980</v>
      </c>
      <c r="B463" s="6" t="s">
        <v>981</v>
      </c>
      <c r="C463" s="5" t="s">
        <v>184</v>
      </c>
      <c r="D463" s="7">
        <f>IFERROR(__xludf.DUMMYFUNCTION("GOOGLEFINANCE(""ASX:CDE"", ""price"")"),0.01)</f>
        <v>0.01</v>
      </c>
      <c r="E463" s="8">
        <f>IFERROR(__xludf.DUMMYFUNCTION("GOOGLEFINANCE(""ASX:CDE"", ""closeyest"")"),0.01)</f>
        <v>0.01</v>
      </c>
      <c r="F463" s="5" t="str">
        <f>IFERROR(__xludf.DUMMYFUNCTION("GOOGLEFINANCE(""ASX:CDE"", ""pe"")"),"#N/A")</f>
        <v>#N/A</v>
      </c>
      <c r="G463" s="9">
        <f>IFERROR(__xludf.DUMMYFUNCTION("GOOGLEFINANCE(""ASX:CDE"", ""high52"")"),0.09)</f>
        <v>0.09</v>
      </c>
      <c r="H463" s="9">
        <f>IFERROR(__xludf.DUMMYFUNCTION("GOOGLEFINANCE(""ASX:CDE"", ""low52"")"),0.01)</f>
        <v>0.01</v>
      </c>
      <c r="I463" s="9">
        <f>IFERROR(__xludf.DUMMYFUNCTION("GOOGLEFINANCE(""ASX:CDE"", ""marketcap"")"),5631209.0)</f>
        <v>5631209</v>
      </c>
      <c r="J463" s="9">
        <v>0.002</v>
      </c>
      <c r="K463" s="9">
        <v>0.002</v>
      </c>
      <c r="L463" s="9">
        <v>0.138</v>
      </c>
      <c r="M463" s="9">
        <v>0.002</v>
      </c>
      <c r="N463" s="11" t="s">
        <v>19</v>
      </c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6" t="s">
        <v>982</v>
      </c>
      <c r="B464" s="6" t="s">
        <v>983</v>
      </c>
      <c r="C464" s="5" t="s">
        <v>171</v>
      </c>
      <c r="D464" s="7">
        <f>IFERROR(__xludf.DUMMYFUNCTION("GOOGLEFINANCE(""ASX:CDM"", ""price"")"),0.73)</f>
        <v>0.73</v>
      </c>
      <c r="E464" s="8">
        <f>IFERROR(__xludf.DUMMYFUNCTION("GOOGLEFINANCE(""ASX:CDM"", ""closeyest"")"),0.73)</f>
        <v>0.73</v>
      </c>
      <c r="F464" s="9">
        <f>IFERROR(__xludf.DUMMYFUNCTION("GOOGLEFINANCE(""ASX:CDM"", ""pe"")"),34.81)</f>
        <v>34.81</v>
      </c>
      <c r="G464" s="9">
        <f>IFERROR(__xludf.DUMMYFUNCTION("GOOGLEFINANCE(""ASX:CDM"", ""high52"")"),0.76)</f>
        <v>0.76</v>
      </c>
      <c r="H464" s="9">
        <f>IFERROR(__xludf.DUMMYFUNCTION("GOOGLEFINANCE(""ASX:CDM"", ""low52"")"),0.6)</f>
        <v>0.6</v>
      </c>
      <c r="I464" s="9">
        <f>IFERROR(__xludf.DUMMYFUNCTION("GOOGLEFINANCE(""ASX:CDM"", ""marketcap"")"),2.17954645E8)</f>
        <v>217954645</v>
      </c>
      <c r="J464" s="5"/>
      <c r="K464" s="5"/>
      <c r="L464" s="5"/>
      <c r="M464" s="5"/>
      <c r="N464" s="10">
        <v>33.86</v>
      </c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6" t="s">
        <v>984</v>
      </c>
      <c r="B465" s="6" t="s">
        <v>985</v>
      </c>
      <c r="C465" s="5" t="s">
        <v>171</v>
      </c>
      <c r="D465" s="7">
        <f>IFERROR(__xludf.DUMMYFUNCTION("GOOGLEFINANCE(""ASX:CDO"", ""price"")"),1.93)</f>
        <v>1.93</v>
      </c>
      <c r="E465" s="8">
        <f>IFERROR(__xludf.DUMMYFUNCTION("GOOGLEFINANCE(""ASX:CDO"", ""closeyest"")"),1.92)</f>
        <v>1.92</v>
      </c>
      <c r="F465" s="9">
        <f>IFERROR(__xludf.DUMMYFUNCTION("GOOGLEFINANCE(""ASX:CDO"", ""pe"")"),20.42)</f>
        <v>20.42</v>
      </c>
      <c r="G465" s="9">
        <f>IFERROR(__xludf.DUMMYFUNCTION("GOOGLEFINANCE(""ASX:CDO"", ""high52"")"),2.1)</f>
        <v>2.1</v>
      </c>
      <c r="H465" s="9">
        <f>IFERROR(__xludf.DUMMYFUNCTION("GOOGLEFINANCE(""ASX:CDO"", ""low52"")"),1.5)</f>
        <v>1.5</v>
      </c>
      <c r="I465" s="9">
        <f>IFERROR(__xludf.DUMMYFUNCTION("GOOGLEFINANCE(""ASX:CDO"", ""marketcap"")"),3.0170183E7)</f>
        <v>30170183</v>
      </c>
      <c r="J465" s="5"/>
      <c r="K465" s="5"/>
      <c r="L465" s="5"/>
      <c r="M465" s="5"/>
      <c r="N465" s="10">
        <v>20.21</v>
      </c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6" t="s">
        <v>986</v>
      </c>
      <c r="B466" s="6" t="s">
        <v>987</v>
      </c>
      <c r="C466" s="5" t="s">
        <v>418</v>
      </c>
      <c r="D466" s="7">
        <f>IFERROR(__xludf.DUMMYFUNCTION("GOOGLEFINANCE(""ASX:CDP"", ""price"")"),5.5)</f>
        <v>5.5</v>
      </c>
      <c r="E466" s="8">
        <f>IFERROR(__xludf.DUMMYFUNCTION("GOOGLEFINANCE(""ASX:CDP"", ""closeyest"")"),5.64)</f>
        <v>5.64</v>
      </c>
      <c r="F466" s="9">
        <f>IFERROR(__xludf.DUMMYFUNCTION("GOOGLEFINANCE(""ASX:CDP"", ""pe"")"),11.41)</f>
        <v>11.41</v>
      </c>
      <c r="G466" s="9">
        <f>IFERROR(__xludf.DUMMYFUNCTION("GOOGLEFINANCE(""ASX:CDP"", ""high52"")"),5.88)</f>
        <v>5.88</v>
      </c>
      <c r="H466" s="9">
        <f>IFERROR(__xludf.DUMMYFUNCTION("GOOGLEFINANCE(""ASX:CDP"", ""low52"")"),4.35)</f>
        <v>4.35</v>
      </c>
      <c r="I466" s="9">
        <f>IFERROR(__xludf.DUMMYFUNCTION("GOOGLEFINANCE(""ASX:CDP"", ""marketcap"")"),4.550546E8)</f>
        <v>455054600</v>
      </c>
      <c r="J466" s="5"/>
      <c r="K466" s="5"/>
      <c r="L466" s="5"/>
      <c r="M466" s="5"/>
      <c r="N466" s="10">
        <v>11.73</v>
      </c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6" t="s">
        <v>988</v>
      </c>
      <c r="B467" s="6" t="s">
        <v>989</v>
      </c>
      <c r="C467" s="5" t="s">
        <v>88</v>
      </c>
      <c r="D467" s="7">
        <f>IFERROR(__xludf.DUMMYFUNCTION("GOOGLEFINANCE(""ASX:CDR"", ""price"")"),0.02)</f>
        <v>0.02</v>
      </c>
      <c r="E467" s="8">
        <f>IFERROR(__xludf.DUMMYFUNCTION("GOOGLEFINANCE(""ASX:CDR"", ""closeyest"")"),0.02)</f>
        <v>0.02</v>
      </c>
      <c r="F467" s="5" t="str">
        <f>IFERROR(__xludf.DUMMYFUNCTION("GOOGLEFINANCE(""ASX:CDR"", ""pe"")"),"#N/A")</f>
        <v>#N/A</v>
      </c>
      <c r="G467" s="9">
        <f>IFERROR(__xludf.DUMMYFUNCTION("GOOGLEFINANCE(""ASX:CDR"", ""high52"")"),0.05)</f>
        <v>0.05</v>
      </c>
      <c r="H467" s="9">
        <f>IFERROR(__xludf.DUMMYFUNCTION("GOOGLEFINANCE(""ASX:CDR"", ""low52"")"),0.01)</f>
        <v>0.01</v>
      </c>
      <c r="I467" s="9">
        <f>IFERROR(__xludf.DUMMYFUNCTION("GOOGLEFINANCE(""ASX:CDR"", ""marketcap"")"),2987308.0)</f>
        <v>2987308</v>
      </c>
      <c r="J467" s="5"/>
      <c r="K467" s="5"/>
      <c r="L467" s="5"/>
      <c r="M467" s="5"/>
      <c r="N467" s="11" t="s">
        <v>19</v>
      </c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6" t="s">
        <v>990</v>
      </c>
      <c r="B468" s="6" t="s">
        <v>991</v>
      </c>
      <c r="C468" s="5" t="s">
        <v>88</v>
      </c>
      <c r="D468" s="7">
        <f>IFERROR(__xludf.DUMMYFUNCTION("GOOGLEFINANCE(""ASX:CDT"", ""price"")"),0.06)</f>
        <v>0.06</v>
      </c>
      <c r="E468" s="8">
        <f>IFERROR(__xludf.DUMMYFUNCTION("GOOGLEFINANCE(""ASX:CDT"", ""closeyest"")"),0.06)</f>
        <v>0.06</v>
      </c>
      <c r="F468" s="5" t="str">
        <f>IFERROR(__xludf.DUMMYFUNCTION("GOOGLEFINANCE(""ASX:CDT"", ""pe"")"),"#N/A")</f>
        <v>#N/A</v>
      </c>
      <c r="G468" s="9">
        <f>IFERROR(__xludf.DUMMYFUNCTION("GOOGLEFINANCE(""ASX:CDT"", ""high52"")"),0.12)</f>
        <v>0.12</v>
      </c>
      <c r="H468" s="9">
        <f>IFERROR(__xludf.DUMMYFUNCTION("GOOGLEFINANCE(""ASX:CDT"", ""low52"")"),0.03)</f>
        <v>0.03</v>
      </c>
      <c r="I468" s="9">
        <f>IFERROR(__xludf.DUMMYFUNCTION("GOOGLEFINANCE(""ASX:CDT"", ""marketcap"")"),1.0392167E7)</f>
        <v>10392167</v>
      </c>
      <c r="J468" s="5"/>
      <c r="K468" s="5"/>
      <c r="L468" s="5"/>
      <c r="M468" s="5"/>
      <c r="N468" s="11" t="s">
        <v>19</v>
      </c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6" t="s">
        <v>992</v>
      </c>
      <c r="B469" s="6" t="s">
        <v>993</v>
      </c>
      <c r="C469" s="5" t="s">
        <v>670</v>
      </c>
      <c r="D469" s="7">
        <f>IFERROR(__xludf.DUMMYFUNCTION("GOOGLEFINANCE(""ASX:CEH"", ""price"")"),0.52)</f>
        <v>0.52</v>
      </c>
      <c r="E469" s="8">
        <f>IFERROR(__xludf.DUMMYFUNCTION("GOOGLEFINANCE(""ASX:CEH"", ""closeyest"")"),0.55)</f>
        <v>0.55</v>
      </c>
      <c r="F469" s="5" t="str">
        <f>IFERROR(__xludf.DUMMYFUNCTION("GOOGLEFINANCE(""ASX:CEH"", ""pe"")"),"#N/A")</f>
        <v>#N/A</v>
      </c>
      <c r="G469" s="9">
        <f>IFERROR(__xludf.DUMMYFUNCTION("GOOGLEFINANCE(""ASX:CEH"", ""high52"")"),0.6)</f>
        <v>0.6</v>
      </c>
      <c r="H469" s="9">
        <f>IFERROR(__xludf.DUMMYFUNCTION("GOOGLEFINANCE(""ASX:CEH"", ""low52"")"),0.32)</f>
        <v>0.32</v>
      </c>
      <c r="I469" s="9">
        <f>IFERROR(__xludf.DUMMYFUNCTION("GOOGLEFINANCE(""ASX:CEH"", ""marketcap"")"),2.0021528E8)</f>
        <v>200215280</v>
      </c>
      <c r="J469" s="5"/>
      <c r="K469" s="5"/>
      <c r="L469" s="5"/>
      <c r="M469" s="5"/>
      <c r="N469" s="11" t="s">
        <v>19</v>
      </c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6" t="s">
        <v>994</v>
      </c>
      <c r="B470" s="6" t="s">
        <v>995</v>
      </c>
      <c r="C470" s="5" t="s">
        <v>18</v>
      </c>
      <c r="D470" s="7">
        <f>IFERROR(__xludf.DUMMYFUNCTION("GOOGLEFINANCE(""ASX:CEL"", ""price"")"),0.17)</f>
        <v>0.17</v>
      </c>
      <c r="E470" s="8">
        <f>IFERROR(__xludf.DUMMYFUNCTION("GOOGLEFINANCE(""ASX:CEL"", ""closeyest"")"),0.17)</f>
        <v>0.17</v>
      </c>
      <c r="F470" s="9">
        <f>IFERROR(__xludf.DUMMYFUNCTION("GOOGLEFINANCE(""ASX:CEL"", ""pe"")"),9.0)</f>
        <v>9</v>
      </c>
      <c r="G470" s="9">
        <f>IFERROR(__xludf.DUMMYFUNCTION("GOOGLEFINANCE(""ASX:CEL"", ""high52"")"),0.18)</f>
        <v>0.18</v>
      </c>
      <c r="H470" s="9">
        <f>IFERROR(__xludf.DUMMYFUNCTION("GOOGLEFINANCE(""ASX:CEL"", ""low52"")"),0.04)</f>
        <v>0.04</v>
      </c>
      <c r="I470" s="9">
        <f>IFERROR(__xludf.DUMMYFUNCTION("GOOGLEFINANCE(""ASX:CEL"", ""marketcap"")"),3.9931965E8)</f>
        <v>399319650</v>
      </c>
      <c r="J470" s="5"/>
      <c r="K470" s="5"/>
      <c r="L470" s="5"/>
      <c r="M470" s="5"/>
      <c r="N470" s="10">
        <v>8.72</v>
      </c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6" t="s">
        <v>996</v>
      </c>
      <c r="B471" s="6" t="s">
        <v>997</v>
      </c>
      <c r="C471" s="5" t="s">
        <v>954</v>
      </c>
      <c r="D471" s="7">
        <f>IFERROR(__xludf.DUMMYFUNCTION("GOOGLEFINANCE(""ASX:CEN"", ""price"")"),7.93)</f>
        <v>7.93</v>
      </c>
      <c r="E471" s="8">
        <f>IFERROR(__xludf.DUMMYFUNCTION("GOOGLEFINANCE(""ASX:CEN"", ""closeyest"")"),8.09)</f>
        <v>8.09</v>
      </c>
      <c r="F471" s="5" t="str">
        <f>IFERROR(__xludf.DUMMYFUNCTION("GOOGLEFINANCE(""ASX:CEN"", ""pe"")"),"#N/A")</f>
        <v>#N/A</v>
      </c>
      <c r="G471" s="9">
        <f>IFERROR(__xludf.DUMMYFUNCTION("GOOGLEFINANCE(""ASX:CEN"", ""high52"")"),8.88)</f>
        <v>8.88</v>
      </c>
      <c r="H471" s="9">
        <f>IFERROR(__xludf.DUMMYFUNCTION("GOOGLEFINANCE(""ASX:CEN"", ""low52"")"),7.63)</f>
        <v>7.63</v>
      </c>
      <c r="I471" s="9">
        <f>IFERROR(__xludf.DUMMYFUNCTION("GOOGLEFINANCE(""ASX:CEN"", ""marketcap"")"),9.231869E9)</f>
        <v>9231869000</v>
      </c>
      <c r="J471" s="5"/>
      <c r="K471" s="5"/>
      <c r="L471" s="5"/>
      <c r="M471" s="5"/>
      <c r="N471" s="11" t="s">
        <v>19</v>
      </c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6" t="s">
        <v>998</v>
      </c>
      <c r="B472" s="6" t="s">
        <v>999</v>
      </c>
      <c r="C472" s="5" t="s">
        <v>36</v>
      </c>
      <c r="D472" s="7">
        <f>IFERROR(__xludf.DUMMYFUNCTION("GOOGLEFINANCE(""ASX:CETF"", ""price"")"),66.3)</f>
        <v>66.3</v>
      </c>
      <c r="E472" s="8">
        <f>IFERROR(__xludf.DUMMYFUNCTION("GOOGLEFINANCE(""ASX:CETF"", ""closeyest"")"),66.65)</f>
        <v>66.65</v>
      </c>
      <c r="F472" s="5" t="str">
        <f>IFERROR(__xludf.DUMMYFUNCTION("GOOGLEFINANCE(""ASX:CETF"", ""pe"")"),"#N/A")</f>
        <v>#N/A</v>
      </c>
      <c r="G472" s="9">
        <f>IFERROR(__xludf.DUMMYFUNCTION("GOOGLEFINANCE(""ASX:CETF"", ""high52"")"),67.46)</f>
        <v>67.46</v>
      </c>
      <c r="H472" s="9">
        <f>IFERROR(__xludf.DUMMYFUNCTION("GOOGLEFINANCE(""ASX:CETF"", ""low52"")"),55.15)</f>
        <v>55.15</v>
      </c>
      <c r="I472" s="9" t="str">
        <f>IFERROR(__xludf.DUMMYFUNCTION("GOOGLEFINANCE(""ASX:CETF"", ""marketcap"")"),"#N/A")</f>
        <v>#N/A</v>
      </c>
      <c r="J472" s="5"/>
      <c r="K472" s="5"/>
      <c r="L472" s="5"/>
      <c r="M472" s="5"/>
      <c r="N472" s="11" t="s">
        <v>19</v>
      </c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6" t="s">
        <v>1000</v>
      </c>
      <c r="B473" s="6" t="s">
        <v>1001</v>
      </c>
      <c r="C473" s="5" t="s">
        <v>33</v>
      </c>
      <c r="D473" s="7">
        <f>IFERROR(__xludf.DUMMYFUNCTION("GOOGLEFINANCE(""ASX:CF1"", ""price"")"),0.02)</f>
        <v>0.02</v>
      </c>
      <c r="E473" s="8">
        <f>IFERROR(__xludf.DUMMYFUNCTION("GOOGLEFINANCE(""ASX:CF1"", ""closeyest"")"),0.02)</f>
        <v>0.02</v>
      </c>
      <c r="F473" s="5" t="str">
        <f>IFERROR(__xludf.DUMMYFUNCTION("GOOGLEFINANCE(""ASX:CF1"", ""pe"")"),"#N/A")</f>
        <v>#N/A</v>
      </c>
      <c r="G473" s="9">
        <f>IFERROR(__xludf.DUMMYFUNCTION("GOOGLEFINANCE(""ASX:CF1"", ""high52"")"),0.03)</f>
        <v>0.03</v>
      </c>
      <c r="H473" s="9">
        <f>IFERROR(__xludf.DUMMYFUNCTION("GOOGLEFINANCE(""ASX:CF1"", ""low52"")"),0.02)</f>
        <v>0.02</v>
      </c>
      <c r="I473" s="9">
        <f>IFERROR(__xludf.DUMMYFUNCTION("GOOGLEFINANCE(""ASX:CF1"", ""marketcap"")"),1.5069013E7)</f>
        <v>15069013</v>
      </c>
      <c r="J473" s="5"/>
      <c r="K473" s="5"/>
      <c r="L473" s="5"/>
      <c r="M473" s="5"/>
      <c r="N473" s="11" t="s">
        <v>19</v>
      </c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6" t="s">
        <v>1002</v>
      </c>
      <c r="B474" s="6" t="s">
        <v>1003</v>
      </c>
      <c r="C474" s="5" t="s">
        <v>36</v>
      </c>
      <c r="D474" s="7">
        <f>IFERROR(__xludf.DUMMYFUNCTION("GOOGLEFINANCE(""ASX:CFLO"", ""price"")"),19.24)</f>
        <v>19.24</v>
      </c>
      <c r="E474" s="8">
        <f>IFERROR(__xludf.DUMMYFUNCTION("GOOGLEFINANCE(""ASX:CFLO"", ""closeyest"")"),19.25)</f>
        <v>19.25</v>
      </c>
      <c r="F474" s="5" t="str">
        <f>IFERROR(__xludf.DUMMYFUNCTION("GOOGLEFINANCE(""ASX:CFLO"", ""pe"")"),"#N/A")</f>
        <v>#N/A</v>
      </c>
      <c r="G474" s="9">
        <f>IFERROR(__xludf.DUMMYFUNCTION("GOOGLEFINANCE(""ASX:CFLO"", ""high52"")"),20.0)</f>
        <v>20</v>
      </c>
      <c r="H474" s="9">
        <f>IFERROR(__xludf.DUMMYFUNCTION("GOOGLEFINANCE(""ASX:CFLO"", ""low52"")"),16.22)</f>
        <v>16.22</v>
      </c>
      <c r="I474" s="9" t="str">
        <f>IFERROR(__xludf.DUMMYFUNCTION("GOOGLEFINANCE(""ASX:CFLO"", ""marketcap"")"),"#N/A")</f>
        <v>#N/A</v>
      </c>
      <c r="J474" s="5"/>
      <c r="K474" s="5"/>
      <c r="L474" s="5"/>
      <c r="M474" s="5"/>
      <c r="N474" s="11" t="s">
        <v>19</v>
      </c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6" t="s">
        <v>1004</v>
      </c>
      <c r="B475" s="6" t="s">
        <v>1005</v>
      </c>
      <c r="C475" s="5" t="s">
        <v>106</v>
      </c>
      <c r="D475" s="7">
        <f>IFERROR(__xludf.DUMMYFUNCTION("GOOGLEFINANCE(""ASX:CG1"", ""price"")"),0.09)</f>
        <v>0.09</v>
      </c>
      <c r="E475" s="8">
        <f>IFERROR(__xludf.DUMMYFUNCTION("GOOGLEFINANCE(""ASX:CG1"", ""closeyest"")"),0.09)</f>
        <v>0.09</v>
      </c>
      <c r="F475" s="5" t="str">
        <f>IFERROR(__xludf.DUMMYFUNCTION("GOOGLEFINANCE(""ASX:CG1"", ""pe"")"),"#N/A")</f>
        <v>#N/A</v>
      </c>
      <c r="G475" s="9">
        <f>IFERROR(__xludf.DUMMYFUNCTION("GOOGLEFINANCE(""ASX:CG1"", ""high52"")"),0.12)</f>
        <v>0.12</v>
      </c>
      <c r="H475" s="9">
        <f>IFERROR(__xludf.DUMMYFUNCTION("GOOGLEFINANCE(""ASX:CG1"", ""low52"")"),0.04)</f>
        <v>0.04</v>
      </c>
      <c r="I475" s="9">
        <f>IFERROR(__xludf.DUMMYFUNCTION("GOOGLEFINANCE(""ASX:CG1"", ""marketcap"")"),4.1443265E7)</f>
        <v>41443265</v>
      </c>
      <c r="J475" s="5"/>
      <c r="K475" s="5"/>
      <c r="L475" s="5"/>
      <c r="M475" s="5"/>
      <c r="N475" s="11" t="s">
        <v>19</v>
      </c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6" t="s">
        <v>1006</v>
      </c>
      <c r="B476" s="6" t="s">
        <v>1007</v>
      </c>
      <c r="C476" s="5" t="s">
        <v>1008</v>
      </c>
      <c r="D476" s="7">
        <f>IFERROR(__xludf.DUMMYFUNCTION("GOOGLEFINANCE(""ASX:CGF"", ""price"")"),9.41)</f>
        <v>9.41</v>
      </c>
      <c r="E476" s="8">
        <f>IFERROR(__xludf.DUMMYFUNCTION("GOOGLEFINANCE(""ASX:CGF"", ""closeyest"")"),9.33)</f>
        <v>9.33</v>
      </c>
      <c r="F476" s="9">
        <f>IFERROR(__xludf.DUMMYFUNCTION("GOOGLEFINANCE(""ASX:CGF"", ""pe"")"),34.11)</f>
        <v>34.11</v>
      </c>
      <c r="G476" s="9">
        <f>IFERROR(__xludf.DUMMYFUNCTION("GOOGLEFINANCE(""ASX:CGF"", ""high52"")"),9.6)</f>
        <v>9.6</v>
      </c>
      <c r="H476" s="9">
        <f>IFERROR(__xludf.DUMMYFUNCTION("GOOGLEFINANCE(""ASX:CGF"", ""low52"")"),5.22)</f>
        <v>5.22</v>
      </c>
      <c r="I476" s="9">
        <f>IFERROR(__xludf.DUMMYFUNCTION("GOOGLEFINANCE(""ASX:CGF"", ""marketcap"")"),6.508533668E9)</f>
        <v>6508533668</v>
      </c>
      <c r="J476" s="5"/>
      <c r="K476" s="5"/>
      <c r="L476" s="5"/>
      <c r="M476" s="5"/>
      <c r="N476" s="10">
        <v>34.36</v>
      </c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6" t="s">
        <v>1009</v>
      </c>
      <c r="B477" s="6" t="s">
        <v>1010</v>
      </c>
      <c r="C477" s="5" t="s">
        <v>36</v>
      </c>
      <c r="D477" s="7" t="str">
        <f>IFERROR(__xludf.DUMMYFUNCTION("GOOGLEFINANCE(""ASX:CGHE"", ""price"")"),"#N/A")</f>
        <v>#N/A</v>
      </c>
      <c r="E477" s="8" t="str">
        <f>IFERROR(__xludf.DUMMYFUNCTION("GOOGLEFINANCE(""ASX:CGHE"", ""closeyest"")"),"#N/A")</f>
        <v>#N/A</v>
      </c>
      <c r="F477" s="5" t="str">
        <f>IFERROR(__xludf.DUMMYFUNCTION("GOOGLEFINANCE(""ASX:CGHE"", ""pe"")"),"#N/A")</f>
        <v>#N/A</v>
      </c>
      <c r="G477" s="5" t="str">
        <f>IFERROR(__xludf.DUMMYFUNCTION("GOOGLEFINANCE(""ASX:CGHE"", ""high52"")"),"#N/A")</f>
        <v>#N/A</v>
      </c>
      <c r="H477" s="5" t="str">
        <f>IFERROR(__xludf.DUMMYFUNCTION("GOOGLEFINANCE(""ASX:CGHE"", ""low52"")"),"#N/A")</f>
        <v>#N/A</v>
      </c>
      <c r="I477" s="9" t="str">
        <f>IFERROR(__xludf.DUMMYFUNCTION("GOOGLEFINANCE(""ASX:CGHE"", ""marketcap"")"),"#N/A")</f>
        <v>#N/A</v>
      </c>
      <c r="J477" s="12">
        <v>1.75</v>
      </c>
      <c r="K477" s="12">
        <v>1.725</v>
      </c>
      <c r="L477" s="12">
        <v>1.83</v>
      </c>
      <c r="M477" s="12">
        <v>1.515</v>
      </c>
      <c r="N477" s="11" t="s">
        <v>19</v>
      </c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6" t="s">
        <v>1011</v>
      </c>
      <c r="B478" s="6" t="s">
        <v>1012</v>
      </c>
      <c r="C478" s="5" t="s">
        <v>184</v>
      </c>
      <c r="D478" s="7">
        <f>IFERROR(__xludf.DUMMYFUNCTION("GOOGLEFINANCE(""ASX:CGO"", ""price"")"),0.08)</f>
        <v>0.08</v>
      </c>
      <c r="E478" s="8">
        <f>IFERROR(__xludf.DUMMYFUNCTION("GOOGLEFINANCE(""ASX:CGO"", ""closeyest"")"),0.08)</f>
        <v>0.08</v>
      </c>
      <c r="F478" s="5" t="str">
        <f>IFERROR(__xludf.DUMMYFUNCTION("GOOGLEFINANCE(""ASX:CGO"", ""pe"")"),"#N/A")</f>
        <v>#N/A</v>
      </c>
      <c r="G478" s="9">
        <f>IFERROR(__xludf.DUMMYFUNCTION("GOOGLEFINANCE(""ASX:CGO"", ""high52"")"),0.1)</f>
        <v>0.1</v>
      </c>
      <c r="H478" s="9">
        <f>IFERROR(__xludf.DUMMYFUNCTION("GOOGLEFINANCE(""ASX:CGO"", ""low52"")"),0.05)</f>
        <v>0.05</v>
      </c>
      <c r="I478" s="9">
        <f>IFERROR(__xludf.DUMMYFUNCTION("GOOGLEFINANCE(""ASX:CGO"", ""marketcap"")"),3184200.0)</f>
        <v>3184200</v>
      </c>
      <c r="J478" s="5"/>
      <c r="K478" s="5"/>
      <c r="L478" s="5"/>
      <c r="M478" s="5"/>
      <c r="N478" s="11" t="s">
        <v>19</v>
      </c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6" t="s">
        <v>1013</v>
      </c>
      <c r="B479" s="6" t="s">
        <v>1014</v>
      </c>
      <c r="C479" s="5" t="s">
        <v>18</v>
      </c>
      <c r="D479" s="7">
        <f>IFERROR(__xludf.DUMMYFUNCTION("GOOGLEFINANCE(""ASX:CGR"", ""price"")"),0.08)</f>
        <v>0.08</v>
      </c>
      <c r="E479" s="8">
        <f>IFERROR(__xludf.DUMMYFUNCTION("GOOGLEFINANCE(""ASX:CGR"", ""closeyest"")"),0.08)</f>
        <v>0.08</v>
      </c>
      <c r="F479" s="5" t="str">
        <f>IFERROR(__xludf.DUMMYFUNCTION("GOOGLEFINANCE(""ASX:CGR"", ""pe"")"),"#N/A")</f>
        <v>#N/A</v>
      </c>
      <c r="G479" s="9">
        <f>IFERROR(__xludf.DUMMYFUNCTION("GOOGLEFINANCE(""ASX:CGR"", ""high52"")"),0.14)</f>
        <v>0.14</v>
      </c>
      <c r="H479" s="9">
        <f>IFERROR(__xludf.DUMMYFUNCTION("GOOGLEFINANCE(""ASX:CGR"", ""low52"")"),0.04)</f>
        <v>0.04</v>
      </c>
      <c r="I479" s="9">
        <f>IFERROR(__xludf.DUMMYFUNCTION("GOOGLEFINANCE(""ASX:CGR"", ""marketcap"")"),8001013.0)</f>
        <v>8001013</v>
      </c>
      <c r="J479" s="5"/>
      <c r="K479" s="5"/>
      <c r="L479" s="5"/>
      <c r="M479" s="5"/>
      <c r="N479" s="11" t="s">
        <v>19</v>
      </c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6" t="s">
        <v>1015</v>
      </c>
      <c r="B480" s="6" t="s">
        <v>1016</v>
      </c>
      <c r="C480" s="5" t="s">
        <v>25</v>
      </c>
      <c r="D480" s="7">
        <f>IFERROR(__xludf.DUMMYFUNCTION("GOOGLEFINANCE(""ASX:CGS"", ""price"")"),2.18)</f>
        <v>2.18</v>
      </c>
      <c r="E480" s="8">
        <f>IFERROR(__xludf.DUMMYFUNCTION("GOOGLEFINANCE(""ASX:CGS"", ""closeyest"")"),2.26)</f>
        <v>2.26</v>
      </c>
      <c r="F480" s="9">
        <f>IFERROR(__xludf.DUMMYFUNCTION("GOOGLEFINANCE(""ASX:CGS"", ""pe"")"),25.03)</f>
        <v>25.03</v>
      </c>
      <c r="G480" s="9">
        <f>IFERROR(__xludf.DUMMYFUNCTION("GOOGLEFINANCE(""ASX:CGS"", ""high52"")"),2.97)</f>
        <v>2.97</v>
      </c>
      <c r="H480" s="9">
        <f>IFERROR(__xludf.DUMMYFUNCTION("GOOGLEFINANCE(""ASX:CGS"", ""low52"")"),1.03)</f>
        <v>1.03</v>
      </c>
      <c r="I480" s="9">
        <f>IFERROR(__xludf.DUMMYFUNCTION("GOOGLEFINANCE(""ASX:CGS"", ""marketcap"")"),3.74381003E8)</f>
        <v>374381003</v>
      </c>
      <c r="J480" s="5"/>
      <c r="K480" s="5"/>
      <c r="L480" s="5"/>
      <c r="M480" s="5"/>
      <c r="N480" s="10">
        <v>26.29</v>
      </c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6" t="s">
        <v>1017</v>
      </c>
      <c r="B481" s="6" t="s">
        <v>1018</v>
      </c>
      <c r="C481" s="5" t="s">
        <v>36</v>
      </c>
      <c r="D481" s="7" t="str">
        <f>IFERROR(__xludf.DUMMYFUNCTION("GOOGLEFINANCE(""ASX:CGUN"", ""price"")"),"#N/A")</f>
        <v>#N/A</v>
      </c>
      <c r="E481" s="8" t="str">
        <f>IFERROR(__xludf.DUMMYFUNCTION("GOOGLEFINANCE(""ASX:CGUN"", ""closeyest"")"),"#N/A")</f>
        <v>#N/A</v>
      </c>
      <c r="F481" s="5" t="str">
        <f>IFERROR(__xludf.DUMMYFUNCTION("GOOGLEFINANCE(""ASX:CGUN"", ""pe"")"),"#N/A")</f>
        <v>#N/A</v>
      </c>
      <c r="G481" s="5" t="str">
        <f>IFERROR(__xludf.DUMMYFUNCTION("GOOGLEFINANCE(""ASX:CGUN"", ""high52"")"),"#N/A")</f>
        <v>#N/A</v>
      </c>
      <c r="H481" s="5" t="str">
        <f>IFERROR(__xludf.DUMMYFUNCTION("GOOGLEFINANCE(""ASX:CGUN"", ""low52"")"),"#N/A")</f>
        <v>#N/A</v>
      </c>
      <c r="I481" s="9" t="str">
        <f>IFERROR(__xludf.DUMMYFUNCTION("GOOGLEFINANCE(""ASX:CGUN"", ""marketcap"")"),"#N/A")</f>
        <v>#N/A</v>
      </c>
      <c r="J481" s="12">
        <v>1.595</v>
      </c>
      <c r="K481" s="12">
        <v>1.595</v>
      </c>
      <c r="L481" s="12">
        <v>1.905</v>
      </c>
      <c r="M481" s="12">
        <v>1.56</v>
      </c>
      <c r="N481" s="11" t="s">
        <v>19</v>
      </c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6" t="s">
        <v>1019</v>
      </c>
      <c r="B482" s="6" t="s">
        <v>1020</v>
      </c>
      <c r="C482" s="5" t="s">
        <v>143</v>
      </c>
      <c r="D482" s="7">
        <f>IFERROR(__xludf.DUMMYFUNCTION("GOOGLEFINANCE(""ASX:CHC"", ""price"")"),24.07)</f>
        <v>24.07</v>
      </c>
      <c r="E482" s="8">
        <f>IFERROR(__xludf.DUMMYFUNCTION("GOOGLEFINANCE(""ASX:CHC"", ""closeyest"")"),23.88)</f>
        <v>23.88</v>
      </c>
      <c r="F482" s="9">
        <f>IFERROR(__xludf.DUMMYFUNCTION("GOOGLEFINANCE(""ASX:CHC"", ""pe"")"),51.41)</f>
        <v>51.41</v>
      </c>
      <c r="G482" s="9">
        <f>IFERROR(__xludf.DUMMYFUNCTION("GOOGLEFINANCE(""ASX:CHC"", ""high52"")"),25.95)</f>
        <v>25.95</v>
      </c>
      <c r="H482" s="9">
        <f>IFERROR(__xludf.DUMMYFUNCTION("GOOGLEFINANCE(""ASX:CHC"", ""low52"")"),14.16)</f>
        <v>14.16</v>
      </c>
      <c r="I482" s="9">
        <f>IFERROR(__xludf.DUMMYFUNCTION("GOOGLEFINANCE(""ASX:CHC"", ""marketcap"")"),1.1385040052E10)</f>
        <v>11385040052</v>
      </c>
      <c r="J482" s="5"/>
      <c r="K482" s="5"/>
      <c r="L482" s="5"/>
      <c r="M482" s="5"/>
      <c r="N482" s="10">
        <v>52.2</v>
      </c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6" t="s">
        <v>1021</v>
      </c>
      <c r="B483" s="6" t="s">
        <v>1022</v>
      </c>
      <c r="C483" s="5" t="s">
        <v>70</v>
      </c>
      <c r="D483" s="7">
        <f>IFERROR(__xludf.DUMMYFUNCTION("GOOGLEFINANCE(""ASX:CHL"", ""price"")"),0.34)</f>
        <v>0.34</v>
      </c>
      <c r="E483" s="8">
        <f>IFERROR(__xludf.DUMMYFUNCTION("GOOGLEFINANCE(""ASX:CHL"", ""closeyest"")"),0.35)</f>
        <v>0.35</v>
      </c>
      <c r="F483" s="5" t="str">
        <f>IFERROR(__xludf.DUMMYFUNCTION("GOOGLEFINANCE(""ASX:CHL"", ""pe"")"),"#N/A")</f>
        <v>#N/A</v>
      </c>
      <c r="G483" s="9">
        <f>IFERROR(__xludf.DUMMYFUNCTION("GOOGLEFINANCE(""ASX:CHL"", ""high52"")"),0.9)</f>
        <v>0.9</v>
      </c>
      <c r="H483" s="9">
        <f>IFERROR(__xludf.DUMMYFUNCTION("GOOGLEFINANCE(""ASX:CHL"", ""low52"")"),0.3)</f>
        <v>0.3</v>
      </c>
      <c r="I483" s="9">
        <f>IFERROR(__xludf.DUMMYFUNCTION("GOOGLEFINANCE(""ASX:CHL"", ""marketcap"")"),2.7140427E7)</f>
        <v>27140427</v>
      </c>
      <c r="J483" s="5"/>
      <c r="K483" s="5"/>
      <c r="L483" s="5"/>
      <c r="M483" s="5"/>
      <c r="N483" s="11" t="s">
        <v>19</v>
      </c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6" t="s">
        <v>1023</v>
      </c>
      <c r="B484" s="6" t="s">
        <v>1024</v>
      </c>
      <c r="C484" s="5" t="s">
        <v>25</v>
      </c>
      <c r="D484" s="7">
        <f>IFERROR(__xludf.DUMMYFUNCTION("GOOGLEFINANCE(""ASX:CHM"", ""price"")"),0.0)</f>
        <v>0</v>
      </c>
      <c r="E484" s="8">
        <f>IFERROR(__xludf.DUMMYFUNCTION("GOOGLEFINANCE(""ASX:CHM"", ""closeyest"")"),0.0)</f>
        <v>0</v>
      </c>
      <c r="F484" s="5" t="str">
        <f>IFERROR(__xludf.DUMMYFUNCTION("GOOGLEFINANCE(""ASX:CHM"", ""pe"")"),"#N/A")</f>
        <v>#N/A</v>
      </c>
      <c r="G484" s="9">
        <f>IFERROR(__xludf.DUMMYFUNCTION("GOOGLEFINANCE(""ASX:CHM"", ""high52"")"),0.01)</f>
        <v>0.01</v>
      </c>
      <c r="H484" s="9">
        <f>IFERROR(__xludf.DUMMYFUNCTION("GOOGLEFINANCE(""ASX:CHM"", ""low52"")"),0.0)</f>
        <v>0</v>
      </c>
      <c r="I484" s="9">
        <f>IFERROR(__xludf.DUMMYFUNCTION("GOOGLEFINANCE(""ASX:CHM"", ""marketcap"")"),2015194.0)</f>
        <v>2015194</v>
      </c>
      <c r="J484" s="12">
        <v>0.002</v>
      </c>
      <c r="K484" s="12">
        <v>0.0025</v>
      </c>
      <c r="L484" s="12">
        <v>0.009</v>
      </c>
      <c r="M484" s="12">
        <v>0.002</v>
      </c>
      <c r="N484" s="11" t="s">
        <v>19</v>
      </c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6" t="s">
        <v>1025</v>
      </c>
      <c r="B485" s="6" t="s">
        <v>1026</v>
      </c>
      <c r="C485" s="5" t="s">
        <v>18</v>
      </c>
      <c r="D485" s="7">
        <f>IFERROR(__xludf.DUMMYFUNCTION("GOOGLEFINANCE(""ASX:CHN"", ""price"")"),2.39)</f>
        <v>2.39</v>
      </c>
      <c r="E485" s="8">
        <f>IFERROR(__xludf.DUMMYFUNCTION("GOOGLEFINANCE(""ASX:CHN"", ""closeyest"")"),2.39)</f>
        <v>2.39</v>
      </c>
      <c r="F485" s="5" t="str">
        <f>IFERROR(__xludf.DUMMYFUNCTION("GOOGLEFINANCE(""ASX:CHN"", ""pe"")"),"#N/A")</f>
        <v>#N/A</v>
      </c>
      <c r="G485" s="9">
        <f>IFERROR(__xludf.DUMMYFUNCTION("GOOGLEFINANCE(""ASX:CHN"", ""high52"")"),2.75)</f>
        <v>2.75</v>
      </c>
      <c r="H485" s="9">
        <f>IFERROR(__xludf.DUMMYFUNCTION("GOOGLEFINANCE(""ASX:CHN"", ""low52"")"),0.83)</f>
        <v>0.83</v>
      </c>
      <c r="I485" s="9">
        <f>IFERROR(__xludf.DUMMYFUNCTION("GOOGLEFINANCE(""ASX:CHN"", ""marketcap"")"),9.29962185E8)</f>
        <v>929962185</v>
      </c>
      <c r="J485" s="5"/>
      <c r="K485" s="5"/>
      <c r="L485" s="5"/>
      <c r="M485" s="5"/>
      <c r="N485" s="11" t="s">
        <v>19</v>
      </c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6" t="s">
        <v>1027</v>
      </c>
      <c r="B486" s="6" t="s">
        <v>1028</v>
      </c>
      <c r="C486" s="5" t="s">
        <v>18</v>
      </c>
      <c r="D486" s="7">
        <f>IFERROR(__xludf.DUMMYFUNCTION("GOOGLEFINANCE(""ASX:CHR"", ""price"")"),0.15)</f>
        <v>0.15</v>
      </c>
      <c r="E486" s="8">
        <f>IFERROR(__xludf.DUMMYFUNCTION("GOOGLEFINANCE(""ASX:CHR"", ""closeyest"")"),0.14)</f>
        <v>0.14</v>
      </c>
      <c r="F486" s="5" t="str">
        <f>IFERROR(__xludf.DUMMYFUNCTION("GOOGLEFINANCE(""ASX:CHR"", ""pe"")"),"#N/A")</f>
        <v>#N/A</v>
      </c>
      <c r="G486" s="9">
        <f>IFERROR(__xludf.DUMMYFUNCTION("GOOGLEFINANCE(""ASX:CHR"", ""high52"")"),0.16)</f>
        <v>0.16</v>
      </c>
      <c r="H486" s="9">
        <f>IFERROR(__xludf.DUMMYFUNCTION("GOOGLEFINANCE(""ASX:CHR"", ""low52"")"),0.04)</f>
        <v>0.04</v>
      </c>
      <c r="I486" s="9">
        <f>IFERROR(__xludf.DUMMYFUNCTION("GOOGLEFINANCE(""ASX:CHR"", ""marketcap"")"),1.1613039E7)</f>
        <v>11613039</v>
      </c>
      <c r="J486" s="5"/>
      <c r="K486" s="5"/>
      <c r="L486" s="5"/>
      <c r="M486" s="5"/>
      <c r="N486" s="11" t="s">
        <v>19</v>
      </c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6" t="s">
        <v>1029</v>
      </c>
      <c r="B487" s="6" t="s">
        <v>1030</v>
      </c>
      <c r="C487" s="5" t="s">
        <v>396</v>
      </c>
      <c r="D487" s="7">
        <f>IFERROR(__xludf.DUMMYFUNCTION("GOOGLEFINANCE(""ASX:CHW"", ""price"")"),0.82)</f>
        <v>0.82</v>
      </c>
      <c r="E487" s="8">
        <f>IFERROR(__xludf.DUMMYFUNCTION("GOOGLEFINANCE(""ASX:CHW"", ""closeyest"")"),0.76)</f>
        <v>0.76</v>
      </c>
      <c r="F487" s="5" t="str">
        <f>IFERROR(__xludf.DUMMYFUNCTION("GOOGLEFINANCE(""ASX:CHW"", ""pe"")"),"#N/A")</f>
        <v>#N/A</v>
      </c>
      <c r="G487" s="9">
        <f>IFERROR(__xludf.DUMMYFUNCTION("GOOGLEFINANCE(""ASX:CHW"", ""high52"")"),1.5)</f>
        <v>1.5</v>
      </c>
      <c r="H487" s="9">
        <f>IFERROR(__xludf.DUMMYFUNCTION("GOOGLEFINANCE(""ASX:CHW"", ""low52"")"),0.58)</f>
        <v>0.58</v>
      </c>
      <c r="I487" s="9">
        <f>IFERROR(__xludf.DUMMYFUNCTION("GOOGLEFINANCE(""ASX:CHW"", ""marketcap"")"),7.88245E7)</f>
        <v>78824500</v>
      </c>
      <c r="J487" s="5"/>
      <c r="K487" s="5"/>
      <c r="L487" s="5"/>
      <c r="M487" s="5"/>
      <c r="N487" s="11" t="s">
        <v>19</v>
      </c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6" t="s">
        <v>1031</v>
      </c>
      <c r="B488" s="6" t="s">
        <v>1032</v>
      </c>
      <c r="C488" s="5" t="s">
        <v>873</v>
      </c>
      <c r="D488" s="7">
        <f>IFERROR(__xludf.DUMMYFUNCTION("GOOGLEFINANCE(""ASX:CI1"", ""price"")"),0.11)</f>
        <v>0.11</v>
      </c>
      <c r="E488" s="8">
        <f>IFERROR(__xludf.DUMMYFUNCTION("GOOGLEFINANCE(""ASX:CI1"", ""closeyest"")"),0.11)</f>
        <v>0.11</v>
      </c>
      <c r="F488" s="5" t="str">
        <f>IFERROR(__xludf.DUMMYFUNCTION("GOOGLEFINANCE(""ASX:CI1"", ""pe"")"),"#N/A")</f>
        <v>#N/A</v>
      </c>
      <c r="G488" s="9">
        <f>IFERROR(__xludf.DUMMYFUNCTION("GOOGLEFINANCE(""ASX:CI1"", ""high52"")"),0.11)</f>
        <v>0.11</v>
      </c>
      <c r="H488" s="9">
        <f>IFERROR(__xludf.DUMMYFUNCTION("GOOGLEFINANCE(""ASX:CI1"", ""low52"")"),0.1)</f>
        <v>0.1</v>
      </c>
      <c r="I488" s="9">
        <f>IFERROR(__xludf.DUMMYFUNCTION("GOOGLEFINANCE(""ASX:CI1"", ""marketcap"")"),9281432.0)</f>
        <v>9281432</v>
      </c>
      <c r="J488" s="5"/>
      <c r="K488" s="5"/>
      <c r="L488" s="5"/>
      <c r="M488" s="5"/>
      <c r="N488" s="11" t="s">
        <v>19</v>
      </c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6" t="s">
        <v>1033</v>
      </c>
      <c r="B489" s="6" t="s">
        <v>1034</v>
      </c>
      <c r="C489" s="5" t="s">
        <v>212</v>
      </c>
      <c r="D489" s="7">
        <f>IFERROR(__xludf.DUMMYFUNCTION("GOOGLEFINANCE(""ASX:CIA"", ""price"")"),6.6)</f>
        <v>6.6</v>
      </c>
      <c r="E489" s="8">
        <f>IFERROR(__xludf.DUMMYFUNCTION("GOOGLEFINANCE(""ASX:CIA"", ""closeyest"")"),6.53)</f>
        <v>6.53</v>
      </c>
      <c r="F489" s="9">
        <f>IFERROR(__xludf.DUMMYFUNCTION("GOOGLEFINANCE(""ASX:CIA"", ""pe"")"),26.49)</f>
        <v>26.49</v>
      </c>
      <c r="G489" s="9">
        <f>IFERROR(__xludf.DUMMYFUNCTION("GOOGLEFINANCE(""ASX:CIA"", ""high52"")"),6.65)</f>
        <v>6.65</v>
      </c>
      <c r="H489" s="9">
        <f>IFERROR(__xludf.DUMMYFUNCTION("GOOGLEFINANCE(""ASX:CIA"", ""low52"")"),3.9)</f>
        <v>3.9</v>
      </c>
      <c r="I489" s="9">
        <f>IFERROR(__xludf.DUMMYFUNCTION("GOOGLEFINANCE(""ASX:CIA"", ""marketcap"")"),3.519455889E9)</f>
        <v>3519455889</v>
      </c>
      <c r="J489" s="5"/>
      <c r="K489" s="5"/>
      <c r="L489" s="5"/>
      <c r="M489" s="5"/>
      <c r="N489" s="10">
        <v>24.56</v>
      </c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6" t="s">
        <v>1033</v>
      </c>
      <c r="B490" s="6" t="s">
        <v>1034</v>
      </c>
      <c r="C490" s="5" t="s">
        <v>212</v>
      </c>
      <c r="D490" s="7">
        <f>IFERROR(__xludf.DUMMYFUNCTION("GOOGLEFINANCE(""ASX:CIA"", ""price"")"),6.6)</f>
        <v>6.6</v>
      </c>
      <c r="E490" s="8">
        <f>IFERROR(__xludf.DUMMYFUNCTION("GOOGLEFINANCE(""ASX:CIA"", ""closeyest"")"),6.53)</f>
        <v>6.53</v>
      </c>
      <c r="F490" s="9">
        <f>IFERROR(__xludf.DUMMYFUNCTION("GOOGLEFINANCE(""ASX:CIA"", ""pe"")"),26.49)</f>
        <v>26.49</v>
      </c>
      <c r="G490" s="9">
        <f>IFERROR(__xludf.DUMMYFUNCTION("GOOGLEFINANCE(""ASX:CIA"", ""high52"")"),6.65)</f>
        <v>6.65</v>
      </c>
      <c r="H490" s="9">
        <f>IFERROR(__xludf.DUMMYFUNCTION("GOOGLEFINANCE(""ASX:CIA"", ""low52"")"),3.9)</f>
        <v>3.9</v>
      </c>
      <c r="I490" s="9">
        <f>IFERROR(__xludf.DUMMYFUNCTION("GOOGLEFINANCE(""ASX:CIA"", ""marketcap"")"),3.519455889E9)</f>
        <v>3519455889</v>
      </c>
      <c r="J490" s="5"/>
      <c r="K490" s="5"/>
      <c r="L490" s="5"/>
      <c r="M490" s="5"/>
      <c r="N490" s="10">
        <v>24.56</v>
      </c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6" t="s">
        <v>1035</v>
      </c>
      <c r="B491" s="6" t="s">
        <v>1036</v>
      </c>
      <c r="C491" s="5" t="s">
        <v>36</v>
      </c>
      <c r="D491" s="7">
        <f>IFERROR(__xludf.DUMMYFUNCTION("GOOGLEFINANCE(""ASX:CIIH"", ""price"")"),1.57)</f>
        <v>1.57</v>
      </c>
      <c r="E491" s="8">
        <f>IFERROR(__xludf.DUMMYFUNCTION("GOOGLEFINANCE(""ASX:CIIH"", ""closeyest"")"),1.57)</f>
        <v>1.57</v>
      </c>
      <c r="F491" s="5" t="str">
        <f>IFERROR(__xludf.DUMMYFUNCTION("GOOGLEFINANCE(""ASX:CIIH"", ""pe"")"),"#N/A")</f>
        <v>#N/A</v>
      </c>
      <c r="G491" s="9">
        <f>IFERROR(__xludf.DUMMYFUNCTION("GOOGLEFINANCE(""ASX:CIIH"", ""high52"")"),1.59)</f>
        <v>1.59</v>
      </c>
      <c r="H491" s="9">
        <f>IFERROR(__xludf.DUMMYFUNCTION("GOOGLEFINANCE(""ASX:CIIH"", ""low52"")"),1.44)</f>
        <v>1.44</v>
      </c>
      <c r="I491" s="9" t="str">
        <f>IFERROR(__xludf.DUMMYFUNCTION("GOOGLEFINANCE(""ASX:CIIH"", ""marketcap"")"),"#N/A")</f>
        <v>#N/A</v>
      </c>
      <c r="J491" s="5"/>
      <c r="K491" s="5"/>
      <c r="L491" s="5"/>
      <c r="M491" s="5"/>
      <c r="N491" s="11" t="s">
        <v>19</v>
      </c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6" t="s">
        <v>1037</v>
      </c>
      <c r="B492" s="6" t="s">
        <v>1038</v>
      </c>
      <c r="C492" s="5" t="s">
        <v>171</v>
      </c>
      <c r="D492" s="7">
        <f>IFERROR(__xludf.DUMMYFUNCTION("GOOGLEFINANCE(""ASX:CIN"", ""price"")"),34.59)</f>
        <v>34.59</v>
      </c>
      <c r="E492" s="8">
        <f>IFERROR(__xludf.DUMMYFUNCTION("GOOGLEFINANCE(""ASX:CIN"", ""closeyest"")"),34.31)</f>
        <v>34.31</v>
      </c>
      <c r="F492" s="9">
        <f>IFERROR(__xludf.DUMMYFUNCTION("GOOGLEFINANCE(""ASX:CIN"", ""pe"")"),23.55)</f>
        <v>23.55</v>
      </c>
      <c r="G492" s="9">
        <f>IFERROR(__xludf.DUMMYFUNCTION("GOOGLEFINANCE(""ASX:CIN"", ""high52"")"),38.55)</f>
        <v>38.55</v>
      </c>
      <c r="H492" s="9">
        <f>IFERROR(__xludf.DUMMYFUNCTION("GOOGLEFINANCE(""ASX:CIN"", ""low52"")"),29.75)</f>
        <v>29.75</v>
      </c>
      <c r="I492" s="9">
        <f>IFERROR(__xludf.DUMMYFUNCTION("GOOGLEFINANCE(""ASX:CIN"", ""marketcap"")"),9.12487663E8)</f>
        <v>912487663</v>
      </c>
      <c r="J492" s="9">
        <v>0.62</v>
      </c>
      <c r="K492" s="9">
        <v>0.6</v>
      </c>
      <c r="L492" s="9">
        <v>1.2</v>
      </c>
      <c r="M492" s="9">
        <v>0.538</v>
      </c>
      <c r="N492" s="10">
        <v>23.56</v>
      </c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6" t="s">
        <v>1039</v>
      </c>
      <c r="B493" s="6" t="s">
        <v>1040</v>
      </c>
      <c r="C493" s="5" t="s">
        <v>418</v>
      </c>
      <c r="D493" s="7">
        <f>IFERROR(__xludf.DUMMYFUNCTION("GOOGLEFINANCE(""ASX:CIP"", ""price"")"),3.33)</f>
        <v>3.33</v>
      </c>
      <c r="E493" s="8">
        <f>IFERROR(__xludf.DUMMYFUNCTION("GOOGLEFINANCE(""ASX:CIP"", ""closeyest"")"),3.28)</f>
        <v>3.28</v>
      </c>
      <c r="F493" s="9">
        <f>IFERROR(__xludf.DUMMYFUNCTION("GOOGLEFINANCE(""ASX:CIP"", ""pe"")"),15.89)</f>
        <v>15.89</v>
      </c>
      <c r="G493" s="9">
        <f>IFERROR(__xludf.DUMMYFUNCTION("GOOGLEFINANCE(""ASX:CIP"", ""high52"")"),3.59)</f>
        <v>3.59</v>
      </c>
      <c r="H493" s="9">
        <f>IFERROR(__xludf.DUMMYFUNCTION("GOOGLEFINANCE(""ASX:CIP"", ""low52"")"),2.78)</f>
        <v>2.78</v>
      </c>
      <c r="I493" s="9">
        <f>IFERROR(__xludf.DUMMYFUNCTION("GOOGLEFINANCE(""ASX:CIP"", ""marketcap"")"),2.079212658E9)</f>
        <v>2079212658</v>
      </c>
      <c r="J493" s="5"/>
      <c r="K493" s="5"/>
      <c r="L493" s="5"/>
      <c r="M493" s="5"/>
      <c r="N493" s="10">
        <v>15.75</v>
      </c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6" t="s">
        <v>1041</v>
      </c>
      <c r="B494" s="6" t="s">
        <v>1042</v>
      </c>
      <c r="C494" s="5" t="s">
        <v>36</v>
      </c>
      <c r="D494" s="7">
        <f>IFERROR(__xludf.DUMMYFUNCTION("GOOGLEFINANCE(""ASX:CIVH"", ""price"")"),1.2)</f>
        <v>1.2</v>
      </c>
      <c r="E494" s="8">
        <f>IFERROR(__xludf.DUMMYFUNCTION("GOOGLEFINANCE(""ASX:CIVH"", ""closeyest"")"),1.2)</f>
        <v>1.2</v>
      </c>
      <c r="F494" s="5" t="str">
        <f>IFERROR(__xludf.DUMMYFUNCTION("GOOGLEFINANCE(""ASX:CIVH"", ""pe"")"),"#N/A")</f>
        <v>#N/A</v>
      </c>
      <c r="G494" s="9">
        <f>IFERROR(__xludf.DUMMYFUNCTION("GOOGLEFINANCE(""ASX:CIVH"", ""high52"")"),1.24)</f>
        <v>1.24</v>
      </c>
      <c r="H494" s="9">
        <f>IFERROR(__xludf.DUMMYFUNCTION("GOOGLEFINANCE(""ASX:CIVH"", ""low52"")"),1.1)</f>
        <v>1.1</v>
      </c>
      <c r="I494" s="9" t="str">
        <f>IFERROR(__xludf.DUMMYFUNCTION("GOOGLEFINANCE(""ASX:CIVH"", ""marketcap"")"),"#N/A")</f>
        <v>#N/A</v>
      </c>
      <c r="J494" s="5"/>
      <c r="K494" s="5"/>
      <c r="L494" s="5"/>
      <c r="M494" s="5"/>
      <c r="N494" s="11" t="s">
        <v>19</v>
      </c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6" t="s">
        <v>1043</v>
      </c>
      <c r="B495" s="6" t="s">
        <v>1044</v>
      </c>
      <c r="C495" s="5" t="s">
        <v>171</v>
      </c>
      <c r="D495" s="7">
        <f>IFERROR(__xludf.DUMMYFUNCTION("GOOGLEFINANCE(""ASX:CIW"", ""price"")"),0.38)</f>
        <v>0.38</v>
      </c>
      <c r="E495" s="8">
        <f>IFERROR(__xludf.DUMMYFUNCTION("GOOGLEFINANCE(""ASX:CIW"", ""closeyest"")"),0.38)</f>
        <v>0.38</v>
      </c>
      <c r="F495" s="9">
        <f>IFERROR(__xludf.DUMMYFUNCTION("GOOGLEFINANCE(""ASX:CIW"", ""pe"")"),56.72)</f>
        <v>56.72</v>
      </c>
      <c r="G495" s="9">
        <f>IFERROR(__xludf.DUMMYFUNCTION("GOOGLEFINANCE(""ASX:CIW"", ""high52"")"),0.44)</f>
        <v>0.44</v>
      </c>
      <c r="H495" s="9">
        <f>IFERROR(__xludf.DUMMYFUNCTION("GOOGLEFINANCE(""ASX:CIW"", ""low52"")"),0.33)</f>
        <v>0.33</v>
      </c>
      <c r="I495" s="9">
        <f>IFERROR(__xludf.DUMMYFUNCTION("GOOGLEFINANCE(""ASX:CIW"", ""marketcap"")"),3.0941438E7)</f>
        <v>30941438</v>
      </c>
      <c r="J495" s="9">
        <v>0.004</v>
      </c>
      <c r="K495" s="9">
        <v>0.004</v>
      </c>
      <c r="L495" s="9">
        <v>0.009</v>
      </c>
      <c r="M495" s="9">
        <v>0.002</v>
      </c>
      <c r="N495" s="10">
        <v>55.97</v>
      </c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6" t="s">
        <v>1045</v>
      </c>
      <c r="B496" s="6" t="s">
        <v>1046</v>
      </c>
      <c r="C496" s="5" t="s">
        <v>212</v>
      </c>
      <c r="D496" s="7">
        <f>IFERROR(__xludf.DUMMYFUNCTION("GOOGLEFINANCE(""ASX:CKA"", ""price"")"),0.07)</f>
        <v>0.07</v>
      </c>
      <c r="E496" s="8">
        <f>IFERROR(__xludf.DUMMYFUNCTION("GOOGLEFINANCE(""ASX:CKA"", ""closeyest"")"),0.07)</f>
        <v>0.07</v>
      </c>
      <c r="F496" s="5" t="str">
        <f>IFERROR(__xludf.DUMMYFUNCTION("GOOGLEFINANCE(""ASX:CKA"", ""pe"")"),"#N/A")</f>
        <v>#N/A</v>
      </c>
      <c r="G496" s="9">
        <f>IFERROR(__xludf.DUMMYFUNCTION("GOOGLEFINANCE(""ASX:CKA"", ""high52"")"),0.08)</f>
        <v>0.08</v>
      </c>
      <c r="H496" s="9">
        <f>IFERROR(__xludf.DUMMYFUNCTION("GOOGLEFINANCE(""ASX:CKA"", ""low52"")"),0.02)</f>
        <v>0.02</v>
      </c>
      <c r="I496" s="9">
        <f>IFERROR(__xludf.DUMMYFUNCTION("GOOGLEFINANCE(""ASX:CKA"", ""marketcap"")"),7.0224147E7)</f>
        <v>70224147</v>
      </c>
      <c r="J496" s="5"/>
      <c r="K496" s="5"/>
      <c r="L496" s="5"/>
      <c r="M496" s="5"/>
      <c r="N496" s="11" t="s">
        <v>19</v>
      </c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6" t="s">
        <v>1045</v>
      </c>
      <c r="B497" s="6" t="s">
        <v>1046</v>
      </c>
      <c r="C497" s="5" t="s">
        <v>212</v>
      </c>
      <c r="D497" s="7">
        <f>IFERROR(__xludf.DUMMYFUNCTION("GOOGLEFINANCE(""ASX:CKA"", ""price"")"),0.07)</f>
        <v>0.07</v>
      </c>
      <c r="E497" s="8">
        <f>IFERROR(__xludf.DUMMYFUNCTION("GOOGLEFINANCE(""ASX:CKA"", ""closeyest"")"),0.07)</f>
        <v>0.07</v>
      </c>
      <c r="F497" s="5" t="str">
        <f>IFERROR(__xludf.DUMMYFUNCTION("GOOGLEFINANCE(""ASX:CKA"", ""pe"")"),"#N/A")</f>
        <v>#N/A</v>
      </c>
      <c r="G497" s="9">
        <f>IFERROR(__xludf.DUMMYFUNCTION("GOOGLEFINANCE(""ASX:CKA"", ""high52"")"),0.08)</f>
        <v>0.08</v>
      </c>
      <c r="H497" s="9">
        <f>IFERROR(__xludf.DUMMYFUNCTION("GOOGLEFINANCE(""ASX:CKA"", ""low52"")"),0.02)</f>
        <v>0.02</v>
      </c>
      <c r="I497" s="9">
        <f>IFERROR(__xludf.DUMMYFUNCTION("GOOGLEFINANCE(""ASX:CKA"", ""marketcap"")"),7.0224147E7)</f>
        <v>70224147</v>
      </c>
      <c r="J497" s="5"/>
      <c r="K497" s="5"/>
      <c r="L497" s="5"/>
      <c r="M497" s="5"/>
      <c r="N497" s="11" t="s">
        <v>19</v>
      </c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6" t="s">
        <v>1047</v>
      </c>
      <c r="B498" s="6" t="s">
        <v>1048</v>
      </c>
      <c r="C498" s="5" t="s">
        <v>1049</v>
      </c>
      <c r="D498" s="7">
        <f>IFERROR(__xludf.DUMMYFUNCTION("GOOGLEFINANCE(""ASX:CKF"", ""price"")"),10.53)</f>
        <v>10.53</v>
      </c>
      <c r="E498" s="8">
        <f>IFERROR(__xludf.DUMMYFUNCTION("GOOGLEFINANCE(""ASX:CKF"", ""closeyest"")"),10.46)</f>
        <v>10.46</v>
      </c>
      <c r="F498" s="9">
        <f>IFERROR(__xludf.DUMMYFUNCTION("GOOGLEFINANCE(""ASX:CKF"", ""pe"")"),106.1)</f>
        <v>106.1</v>
      </c>
      <c r="G498" s="9">
        <f>IFERROR(__xludf.DUMMYFUNCTION("GOOGLEFINANCE(""ASX:CKF"", ""high52"")"),12.73)</f>
        <v>12.73</v>
      </c>
      <c r="H498" s="9">
        <f>IFERROR(__xludf.DUMMYFUNCTION("GOOGLEFINANCE(""ASX:CKF"", ""low52"")"),7.04)</f>
        <v>7.04</v>
      </c>
      <c r="I498" s="9">
        <f>IFERROR(__xludf.DUMMYFUNCTION("GOOGLEFINANCE(""ASX:CKF"", ""marketcap"")"),1.242742144E9)</f>
        <v>1242742144</v>
      </c>
      <c r="J498" s="9">
        <v>1.53</v>
      </c>
      <c r="K498" s="9">
        <v>1.53</v>
      </c>
      <c r="L498" s="9">
        <v>1.59</v>
      </c>
      <c r="M498" s="9">
        <v>1.285</v>
      </c>
      <c r="N498" s="10">
        <v>105.19</v>
      </c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6" t="s">
        <v>1050</v>
      </c>
      <c r="B499" s="6" t="s">
        <v>1051</v>
      </c>
      <c r="C499" s="5" t="s">
        <v>1052</v>
      </c>
      <c r="D499" s="7">
        <f>IFERROR(__xludf.DUMMYFUNCTION("GOOGLEFINANCE(""ASX:CL8"", ""price"")"),0.01)</f>
        <v>0.01</v>
      </c>
      <c r="E499" s="8">
        <f>IFERROR(__xludf.DUMMYFUNCTION("GOOGLEFINANCE(""ASX:CL8"", ""closeyest"")"),0.01)</f>
        <v>0.01</v>
      </c>
      <c r="F499" s="5" t="str">
        <f>IFERROR(__xludf.DUMMYFUNCTION("GOOGLEFINANCE(""ASX:CL8"", ""pe"")"),"#N/A")</f>
        <v>#N/A</v>
      </c>
      <c r="G499" s="9">
        <f>IFERROR(__xludf.DUMMYFUNCTION("GOOGLEFINANCE(""ASX:CL8"", ""high52"")"),0.01)</f>
        <v>0.01</v>
      </c>
      <c r="H499" s="9">
        <f>IFERROR(__xludf.DUMMYFUNCTION("GOOGLEFINANCE(""ASX:CL8"", ""low52"")"),0.01)</f>
        <v>0.01</v>
      </c>
      <c r="I499" s="9">
        <f>IFERROR(__xludf.DUMMYFUNCTION("GOOGLEFINANCE(""ASX:CL8"", ""marketcap"")"),3837691.0)</f>
        <v>3837691</v>
      </c>
      <c r="J499" s="5"/>
      <c r="K499" s="5"/>
      <c r="L499" s="5"/>
      <c r="M499" s="5"/>
      <c r="N499" s="11" t="s">
        <v>19</v>
      </c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6" t="s">
        <v>1053</v>
      </c>
      <c r="B500" s="6" t="s">
        <v>1054</v>
      </c>
      <c r="C500" s="5" t="s">
        <v>39</v>
      </c>
      <c r="D500" s="7">
        <f>IFERROR(__xludf.DUMMYFUNCTION("GOOGLEFINANCE(""ASX:CLA"", ""price"")"),0.02)</f>
        <v>0.02</v>
      </c>
      <c r="E500" s="8">
        <f>IFERROR(__xludf.DUMMYFUNCTION("GOOGLEFINANCE(""ASX:CLA"", ""closeyest"")"),0.02)</f>
        <v>0.02</v>
      </c>
      <c r="F500" s="5" t="str">
        <f>IFERROR(__xludf.DUMMYFUNCTION("GOOGLEFINANCE(""ASX:CLA"", ""pe"")"),"#N/A")</f>
        <v>#N/A</v>
      </c>
      <c r="G500" s="9">
        <f>IFERROR(__xludf.DUMMYFUNCTION("GOOGLEFINANCE(""ASX:CLA"", ""high52"")"),0.02)</f>
        <v>0.02</v>
      </c>
      <c r="H500" s="9">
        <f>IFERROR(__xludf.DUMMYFUNCTION("GOOGLEFINANCE(""ASX:CLA"", ""low52"")"),0.01)</f>
        <v>0.01</v>
      </c>
      <c r="I500" s="9">
        <f>IFERROR(__xludf.DUMMYFUNCTION("GOOGLEFINANCE(""ASX:CLA"", ""marketcap"")"),3.8897864E7)</f>
        <v>38897864</v>
      </c>
      <c r="J500" s="9">
        <v>18.49</v>
      </c>
      <c r="K500" s="9">
        <v>18.51</v>
      </c>
      <c r="L500" s="9">
        <v>19.0</v>
      </c>
      <c r="M500" s="9">
        <v>14.51</v>
      </c>
      <c r="N500" s="11" t="s">
        <v>19</v>
      </c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6" t="s">
        <v>1055</v>
      </c>
      <c r="B501" s="6" t="s">
        <v>1056</v>
      </c>
      <c r="C501" s="5" t="s">
        <v>36</v>
      </c>
      <c r="D501" s="7">
        <f>IFERROR(__xludf.DUMMYFUNCTION("GOOGLEFINANCE(""ASX:CLDD"", ""price"")"),13.11)</f>
        <v>13.11</v>
      </c>
      <c r="E501" s="8">
        <f>IFERROR(__xludf.DUMMYFUNCTION("GOOGLEFINANCE(""ASX:CLDD"", ""closeyest"")"),12.93)</f>
        <v>12.93</v>
      </c>
      <c r="F501" s="5" t="str">
        <f>IFERROR(__xludf.DUMMYFUNCTION("GOOGLEFINANCE(""ASX:CLDD"", ""pe"")"),"#N/A")</f>
        <v>#N/A</v>
      </c>
      <c r="G501" s="9">
        <f>IFERROR(__xludf.DUMMYFUNCTION("GOOGLEFINANCE(""ASX:CLDD"", ""high52"")"),16.48)</f>
        <v>16.48</v>
      </c>
      <c r="H501" s="9">
        <f>IFERROR(__xludf.DUMMYFUNCTION("GOOGLEFINANCE(""ASX:CLDD"", ""low52"")"),11.54)</f>
        <v>11.54</v>
      </c>
      <c r="I501" s="9" t="str">
        <f>IFERROR(__xludf.DUMMYFUNCTION("GOOGLEFINANCE(""ASX:CLDD"", ""marketcap"")"),"#N/A")</f>
        <v>#N/A</v>
      </c>
      <c r="J501" s="5"/>
      <c r="K501" s="5"/>
      <c r="L501" s="5"/>
      <c r="M501" s="5"/>
      <c r="N501" s="11" t="s">
        <v>19</v>
      </c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6" t="s">
        <v>1057</v>
      </c>
      <c r="B502" s="6" t="s">
        <v>1058</v>
      </c>
      <c r="C502" s="5" t="s">
        <v>18</v>
      </c>
      <c r="D502" s="7">
        <f>IFERROR(__xludf.DUMMYFUNCTION("GOOGLEFINANCE(""ASX:CLE"", ""price"")"),0.05)</f>
        <v>0.05</v>
      </c>
      <c r="E502" s="8">
        <f>IFERROR(__xludf.DUMMYFUNCTION("GOOGLEFINANCE(""ASX:CLE"", ""closeyest"")"),0.05)</f>
        <v>0.05</v>
      </c>
      <c r="F502" s="5" t="str">
        <f>IFERROR(__xludf.DUMMYFUNCTION("GOOGLEFINANCE(""ASX:CLE"", ""pe"")"),"#N/A")</f>
        <v>#N/A</v>
      </c>
      <c r="G502" s="9">
        <f>IFERROR(__xludf.DUMMYFUNCTION("GOOGLEFINANCE(""ASX:CLE"", ""high52"")"),0.08)</f>
        <v>0.08</v>
      </c>
      <c r="H502" s="9">
        <f>IFERROR(__xludf.DUMMYFUNCTION("GOOGLEFINANCE(""ASX:CLE"", ""low52"")"),0.04)</f>
        <v>0.04</v>
      </c>
      <c r="I502" s="9">
        <f>IFERROR(__xludf.DUMMYFUNCTION("GOOGLEFINANCE(""ASX:CLE"", ""marketcap"")"),6.0961057E7)</f>
        <v>60961057</v>
      </c>
      <c r="J502" s="5"/>
      <c r="K502" s="5"/>
      <c r="L502" s="5"/>
      <c r="M502" s="5"/>
      <c r="N502" s="11" t="s">
        <v>19</v>
      </c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6" t="s">
        <v>1059</v>
      </c>
      <c r="B503" s="6" t="s">
        <v>1060</v>
      </c>
      <c r="C503" s="5" t="s">
        <v>223</v>
      </c>
      <c r="D503" s="7">
        <f>IFERROR(__xludf.DUMMYFUNCTION("GOOGLEFINANCE(""ASX:CLG"", ""price"")"),0.04)</f>
        <v>0.04</v>
      </c>
      <c r="E503" s="8">
        <f>IFERROR(__xludf.DUMMYFUNCTION("GOOGLEFINANCE(""ASX:CLG"", ""closeyest"")"),0.04)</f>
        <v>0.04</v>
      </c>
      <c r="F503" s="5" t="str">
        <f>IFERROR(__xludf.DUMMYFUNCTION("GOOGLEFINANCE(""ASX:CLG"", ""pe"")"),"#N/A")</f>
        <v>#N/A</v>
      </c>
      <c r="G503" s="9">
        <f>IFERROR(__xludf.DUMMYFUNCTION("GOOGLEFINANCE(""ASX:CLG"", ""high52"")"),0.25)</f>
        <v>0.25</v>
      </c>
      <c r="H503" s="9">
        <f>IFERROR(__xludf.DUMMYFUNCTION("GOOGLEFINANCE(""ASX:CLG"", ""low52"")"),0.02)</f>
        <v>0.02</v>
      </c>
      <c r="I503" s="9">
        <f>IFERROR(__xludf.DUMMYFUNCTION("GOOGLEFINANCE(""ASX:CLG"", ""marketcap"")"),2.1273987E7)</f>
        <v>21273987</v>
      </c>
      <c r="J503" s="5"/>
      <c r="K503" s="5"/>
      <c r="L503" s="5"/>
      <c r="M503" s="5"/>
      <c r="N503" s="11" t="s">
        <v>19</v>
      </c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6" t="s">
        <v>1061</v>
      </c>
      <c r="B504" s="6" t="s">
        <v>1062</v>
      </c>
      <c r="C504" s="5" t="s">
        <v>36</v>
      </c>
      <c r="D504" s="7">
        <f>IFERROR(__xludf.DUMMYFUNCTION("GOOGLEFINANCE(""ASX:CLNE"", ""price"")"),8.15)</f>
        <v>8.15</v>
      </c>
      <c r="E504" s="8">
        <f>IFERROR(__xludf.DUMMYFUNCTION("GOOGLEFINANCE(""ASX:CLNE"", ""closeyest"")"),8.15)</f>
        <v>8.15</v>
      </c>
      <c r="F504" s="5" t="str">
        <f>IFERROR(__xludf.DUMMYFUNCTION("GOOGLEFINANCE(""ASX:CLNE"", ""pe"")"),"#N/A")</f>
        <v>#N/A</v>
      </c>
      <c r="G504" s="9">
        <f>IFERROR(__xludf.DUMMYFUNCTION("GOOGLEFINANCE(""ASX:CLNE"", ""high52"")"),8.55)</f>
        <v>8.55</v>
      </c>
      <c r="H504" s="9">
        <f>IFERROR(__xludf.DUMMYFUNCTION("GOOGLEFINANCE(""ASX:CLNE"", ""low52"")"),5.19)</f>
        <v>5.19</v>
      </c>
      <c r="I504" s="9" t="str">
        <f>IFERROR(__xludf.DUMMYFUNCTION("GOOGLEFINANCE(""ASX:CLNE"", ""marketcap"")"),"#N/A")</f>
        <v>#N/A</v>
      </c>
      <c r="J504" s="5"/>
      <c r="K504" s="5"/>
      <c r="L504" s="5"/>
      <c r="M504" s="5"/>
      <c r="N504" s="11" t="s">
        <v>19</v>
      </c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6" t="s">
        <v>1063</v>
      </c>
      <c r="B505" s="6" t="s">
        <v>1064</v>
      </c>
      <c r="C505" s="5" t="s">
        <v>70</v>
      </c>
      <c r="D505" s="7">
        <f>IFERROR(__xludf.DUMMYFUNCTION("GOOGLEFINANCE(""ASX:CLU"", ""price"")"),0.06)</f>
        <v>0.06</v>
      </c>
      <c r="E505" s="8">
        <f>IFERROR(__xludf.DUMMYFUNCTION("GOOGLEFINANCE(""ASX:CLU"", ""closeyest"")"),0.06)</f>
        <v>0.06</v>
      </c>
      <c r="F505" s="5" t="str">
        <f>IFERROR(__xludf.DUMMYFUNCTION("GOOGLEFINANCE(""ASX:CLU"", ""pe"")"),"#N/A")</f>
        <v>#N/A</v>
      </c>
      <c r="G505" s="9">
        <f>IFERROR(__xludf.DUMMYFUNCTION("GOOGLEFINANCE(""ASX:CLU"", ""high52"")"),0.12)</f>
        <v>0.12</v>
      </c>
      <c r="H505" s="9">
        <f>IFERROR(__xludf.DUMMYFUNCTION("GOOGLEFINANCE(""ASX:CLU"", ""low52"")"),0.04)</f>
        <v>0.04</v>
      </c>
      <c r="I505" s="9">
        <f>IFERROR(__xludf.DUMMYFUNCTION("GOOGLEFINANCE(""ASX:CLU"", ""marketcap"")"),2.8020611E7)</f>
        <v>28020611</v>
      </c>
      <c r="J505" s="5"/>
      <c r="K505" s="5"/>
      <c r="L505" s="5"/>
      <c r="M505" s="5"/>
      <c r="N505" s="11" t="s">
        <v>19</v>
      </c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6" t="s">
        <v>1065</v>
      </c>
      <c r="B506" s="6" t="s">
        <v>1066</v>
      </c>
      <c r="C506" s="5" t="s">
        <v>98</v>
      </c>
      <c r="D506" s="7">
        <f>IFERROR(__xludf.DUMMYFUNCTION("GOOGLEFINANCE(""ASX:CLV"", ""price"")"),0.8)</f>
        <v>0.8</v>
      </c>
      <c r="E506" s="8">
        <f>IFERROR(__xludf.DUMMYFUNCTION("GOOGLEFINANCE(""ASX:CLV"", ""closeyest"")"),0.8)</f>
        <v>0.8</v>
      </c>
      <c r="F506" s="9">
        <f>IFERROR(__xludf.DUMMYFUNCTION("GOOGLEFINANCE(""ASX:CLV"", ""pe"")"),19.04)</f>
        <v>19.04</v>
      </c>
      <c r="G506" s="9">
        <f>IFERROR(__xludf.DUMMYFUNCTION("GOOGLEFINANCE(""ASX:CLV"", ""high52"")"),0.87)</f>
        <v>0.87</v>
      </c>
      <c r="H506" s="9">
        <f>IFERROR(__xludf.DUMMYFUNCTION("GOOGLEFINANCE(""ASX:CLV"", ""low52"")"),0.34)</f>
        <v>0.34</v>
      </c>
      <c r="I506" s="9">
        <f>IFERROR(__xludf.DUMMYFUNCTION("GOOGLEFINANCE(""ASX:CLV"", ""marketcap"")"),1.32764481E8)</f>
        <v>132764481</v>
      </c>
      <c r="J506" s="5"/>
      <c r="K506" s="5"/>
      <c r="L506" s="5"/>
      <c r="M506" s="5"/>
      <c r="N506" s="10">
        <v>19.04</v>
      </c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6" t="s">
        <v>1067</v>
      </c>
      <c r="B507" s="6" t="s">
        <v>1068</v>
      </c>
      <c r="C507" s="5" t="s">
        <v>418</v>
      </c>
      <c r="D507" s="7">
        <f>IFERROR(__xludf.DUMMYFUNCTION("GOOGLEFINANCE(""ASX:CLW"", ""price"")"),4.05)</f>
        <v>4.05</v>
      </c>
      <c r="E507" s="8">
        <f>IFERROR(__xludf.DUMMYFUNCTION("GOOGLEFINANCE(""ASX:CLW"", ""closeyest"")"),4.01)</f>
        <v>4.01</v>
      </c>
      <c r="F507" s="9">
        <f>IFERROR(__xludf.DUMMYFUNCTION("GOOGLEFINANCE(""ASX:CLW"", ""pe"")"),24.46)</f>
        <v>24.46</v>
      </c>
      <c r="G507" s="9">
        <f>IFERROR(__xludf.DUMMYFUNCTION("GOOGLEFINANCE(""ASX:CLW"", ""high52"")"),4.66)</f>
        <v>4.66</v>
      </c>
      <c r="H507" s="9">
        <f>IFERROR(__xludf.DUMMYFUNCTION("GOOGLEFINANCE(""ASX:CLW"", ""low52"")"),3.49)</f>
        <v>3.49</v>
      </c>
      <c r="I507" s="9">
        <f>IFERROR(__xludf.DUMMYFUNCTION("GOOGLEFINANCE(""ASX:CLW"", ""marketcap"")"),1.1385040052E10)</f>
        <v>11385040052</v>
      </c>
      <c r="J507" s="5"/>
      <c r="K507" s="5"/>
      <c r="L507" s="5"/>
      <c r="M507" s="5"/>
      <c r="N507" s="10">
        <v>24.64</v>
      </c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6" t="s">
        <v>1069</v>
      </c>
      <c r="B508" s="6" t="s">
        <v>1070</v>
      </c>
      <c r="C508" s="5" t="s">
        <v>647</v>
      </c>
      <c r="D508" s="7">
        <f>IFERROR(__xludf.DUMMYFUNCTION("GOOGLEFINANCE(""ASX:CLX"", ""price"")"),2.34)</f>
        <v>2.34</v>
      </c>
      <c r="E508" s="8">
        <f>IFERROR(__xludf.DUMMYFUNCTION("GOOGLEFINANCE(""ASX:CLX"", ""closeyest"")"),2.4)</f>
        <v>2.4</v>
      </c>
      <c r="F508" s="9">
        <f>IFERROR(__xludf.DUMMYFUNCTION("GOOGLEFINANCE(""ASX:CLX"", ""pe"")"),12.96)</f>
        <v>12.96</v>
      </c>
      <c r="G508" s="9">
        <f>IFERROR(__xludf.DUMMYFUNCTION("GOOGLEFINANCE(""ASX:CLX"", ""high52"")"),2.4)</f>
        <v>2.4</v>
      </c>
      <c r="H508" s="9">
        <f>IFERROR(__xludf.DUMMYFUNCTION("GOOGLEFINANCE(""ASX:CLX"", ""low52"")"),1.47)</f>
        <v>1.47</v>
      </c>
      <c r="I508" s="9">
        <f>IFERROR(__xludf.DUMMYFUNCTION("GOOGLEFINANCE(""ASX:CLX"", ""marketcap"")"),1.88882476E8)</f>
        <v>188882476</v>
      </c>
      <c r="J508" s="5"/>
      <c r="K508" s="5"/>
      <c r="L508" s="5"/>
      <c r="M508" s="5"/>
      <c r="N508" s="10">
        <v>12.62</v>
      </c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6" t="s">
        <v>1071</v>
      </c>
      <c r="B509" s="6" t="s">
        <v>1072</v>
      </c>
      <c r="C509" s="5" t="s">
        <v>88</v>
      </c>
      <c r="D509" s="7">
        <f>IFERROR(__xludf.DUMMYFUNCTION("GOOGLEFINANCE(""ASX:CLZ"", ""price"")"),0.0)</f>
        <v>0</v>
      </c>
      <c r="E509" s="8">
        <f>IFERROR(__xludf.DUMMYFUNCTION("GOOGLEFINANCE(""ASX:CLZ"", ""closeyest"")"),0.0)</f>
        <v>0</v>
      </c>
      <c r="F509" s="5" t="str">
        <f>IFERROR(__xludf.DUMMYFUNCTION("GOOGLEFINANCE(""ASX:CLZ"", ""pe"")"),"#N/A")</f>
        <v>#N/A</v>
      </c>
      <c r="G509" s="9">
        <f>IFERROR(__xludf.DUMMYFUNCTION("GOOGLEFINANCE(""ASX:CLZ"", ""high52"")"),0.0)</f>
        <v>0</v>
      </c>
      <c r="H509" s="9">
        <f>IFERROR(__xludf.DUMMYFUNCTION("GOOGLEFINANCE(""ASX:CLZ"", ""low52"")"),0.0)</f>
        <v>0</v>
      </c>
      <c r="I509" s="9">
        <f>IFERROR(__xludf.DUMMYFUNCTION("GOOGLEFINANCE(""ASX:CLZ"", ""marketcap"")"),204292.0)</f>
        <v>204292</v>
      </c>
      <c r="J509" s="12">
        <v>0.001</v>
      </c>
      <c r="K509" s="12">
        <v>0.001</v>
      </c>
      <c r="L509" s="12">
        <v>0.002</v>
      </c>
      <c r="M509" s="12">
        <v>0.001</v>
      </c>
      <c r="N509" s="11" t="s">
        <v>19</v>
      </c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6" t="s">
        <v>1073</v>
      </c>
      <c r="B510" s="6" t="s">
        <v>1074</v>
      </c>
      <c r="C510" s="5" t="s">
        <v>435</v>
      </c>
      <c r="D510" s="7">
        <f>IFERROR(__xludf.DUMMYFUNCTION("GOOGLEFINANCE(""ASX:CMA"", ""price"")"),2.08)</f>
        <v>2.08</v>
      </c>
      <c r="E510" s="8">
        <f>IFERROR(__xludf.DUMMYFUNCTION("GOOGLEFINANCE(""ASX:CMA"", ""closeyest"")"),1.93)</f>
        <v>1.93</v>
      </c>
      <c r="F510" s="5" t="str">
        <f>IFERROR(__xludf.DUMMYFUNCTION("GOOGLEFINANCE(""ASX:CMA"", ""pe"")"),"#N/A")</f>
        <v>#N/A</v>
      </c>
      <c r="G510" s="9">
        <f>IFERROR(__xludf.DUMMYFUNCTION("GOOGLEFINANCE(""ASX:CMA"", ""high52"")"),2.63)</f>
        <v>2.63</v>
      </c>
      <c r="H510" s="9">
        <f>IFERROR(__xludf.DUMMYFUNCTION("GOOGLEFINANCE(""ASX:CMA"", ""low52"")"),1.51)</f>
        <v>1.51</v>
      </c>
      <c r="I510" s="9">
        <f>IFERROR(__xludf.DUMMYFUNCTION("GOOGLEFINANCE(""ASX:CMA"", ""marketcap"")"),2.84717253E8)</f>
        <v>284717253</v>
      </c>
      <c r="J510" s="5"/>
      <c r="K510" s="5"/>
      <c r="L510" s="5"/>
      <c r="M510" s="5"/>
      <c r="N510" s="11" t="s">
        <v>19</v>
      </c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6" t="s">
        <v>1075</v>
      </c>
      <c r="B511" s="6" t="s">
        <v>1076</v>
      </c>
      <c r="C511" s="5" t="s">
        <v>25</v>
      </c>
      <c r="D511" s="7">
        <f>IFERROR(__xludf.DUMMYFUNCTION("GOOGLEFINANCE(""ASX:CMB"", ""price"")"),0.46)</f>
        <v>0.46</v>
      </c>
      <c r="E511" s="8">
        <f>IFERROR(__xludf.DUMMYFUNCTION("GOOGLEFINANCE(""ASX:CMB"", ""closeyest"")"),0.46)</f>
        <v>0.46</v>
      </c>
      <c r="F511" s="5" t="str">
        <f>IFERROR(__xludf.DUMMYFUNCTION("GOOGLEFINANCE(""ASX:CMB"", ""pe"")"),"#N/A")</f>
        <v>#N/A</v>
      </c>
      <c r="G511" s="9">
        <f>IFERROR(__xludf.DUMMYFUNCTION("GOOGLEFINANCE(""ASX:CMB"", ""high52"")"),0.64)</f>
        <v>0.64</v>
      </c>
      <c r="H511" s="9">
        <f>IFERROR(__xludf.DUMMYFUNCTION("GOOGLEFINANCE(""ASX:CMB"", ""low52"")"),0.19)</f>
        <v>0.19</v>
      </c>
      <c r="I511" s="9">
        <f>IFERROR(__xludf.DUMMYFUNCTION("GOOGLEFINANCE(""ASX:CMB"", ""marketcap"")"),1.0453007E7)</f>
        <v>10453007</v>
      </c>
      <c r="J511" s="5"/>
      <c r="K511" s="5"/>
      <c r="L511" s="5"/>
      <c r="M511" s="5"/>
      <c r="N511" s="11" t="s">
        <v>19</v>
      </c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6" t="s">
        <v>1077</v>
      </c>
      <c r="B512" s="6" t="s">
        <v>1078</v>
      </c>
      <c r="C512" s="5" t="s">
        <v>18</v>
      </c>
      <c r="D512" s="7">
        <f>IFERROR(__xludf.DUMMYFUNCTION("GOOGLEFINANCE(""ASX:CMD"", ""price"")"),0.02)</f>
        <v>0.02</v>
      </c>
      <c r="E512" s="8">
        <f>IFERROR(__xludf.DUMMYFUNCTION("GOOGLEFINANCE(""ASX:CMD"", ""closeyest"")"),0.03)</f>
        <v>0.03</v>
      </c>
      <c r="F512" s="5" t="str">
        <f>IFERROR(__xludf.DUMMYFUNCTION("GOOGLEFINANCE(""ASX:CMD"", ""pe"")"),"#N/A")</f>
        <v>#N/A</v>
      </c>
      <c r="G512" s="9">
        <f>IFERROR(__xludf.DUMMYFUNCTION("GOOGLEFINANCE(""ASX:CMD"", ""high52"")"),0.04)</f>
        <v>0.04</v>
      </c>
      <c r="H512" s="9">
        <f>IFERROR(__xludf.DUMMYFUNCTION("GOOGLEFINANCE(""ASX:CMD"", ""low52"")"),0.01)</f>
        <v>0.01</v>
      </c>
      <c r="I512" s="9">
        <f>IFERROR(__xludf.DUMMYFUNCTION("GOOGLEFINANCE(""ASX:CMD"", ""marketcap"")"),1.7017279E7)</f>
        <v>17017279</v>
      </c>
      <c r="J512" s="5"/>
      <c r="K512" s="5"/>
      <c r="L512" s="5"/>
      <c r="M512" s="5"/>
      <c r="N512" s="11" t="s">
        <v>19</v>
      </c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6" t="s">
        <v>1079</v>
      </c>
      <c r="B513" s="6" t="s">
        <v>1080</v>
      </c>
      <c r="C513" s="5" t="s">
        <v>28</v>
      </c>
      <c r="D513" s="7">
        <f>IFERROR(__xludf.DUMMYFUNCTION("GOOGLEFINANCE(""ASX:CMG"", ""price"")"),0.1)</f>
        <v>0.1</v>
      </c>
      <c r="E513" s="8">
        <f>IFERROR(__xludf.DUMMYFUNCTION("GOOGLEFINANCE(""ASX:CMG"", ""closeyest"")"),0.1)</f>
        <v>0.1</v>
      </c>
      <c r="F513" s="5" t="str">
        <f>IFERROR(__xludf.DUMMYFUNCTION("GOOGLEFINANCE(""ASX:CMG"", ""pe"")"),"#N/A")</f>
        <v>#N/A</v>
      </c>
      <c r="G513" s="9">
        <f>IFERROR(__xludf.DUMMYFUNCTION("GOOGLEFINANCE(""ASX:CMG"", ""high52"")"),0.24)</f>
        <v>0.24</v>
      </c>
      <c r="H513" s="9">
        <f>IFERROR(__xludf.DUMMYFUNCTION("GOOGLEFINANCE(""ASX:CMG"", ""low52"")"),0.07)</f>
        <v>0.07</v>
      </c>
      <c r="I513" s="9">
        <f>IFERROR(__xludf.DUMMYFUNCTION("GOOGLEFINANCE(""ASX:CMG"", ""marketcap"")"),1.038777E7)</f>
        <v>10387770</v>
      </c>
      <c r="J513" s="5"/>
      <c r="K513" s="5"/>
      <c r="L513" s="5"/>
      <c r="M513" s="5"/>
      <c r="N513" s="11" t="s">
        <v>19</v>
      </c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6" t="s">
        <v>1079</v>
      </c>
      <c r="B514" s="6" t="s">
        <v>1080</v>
      </c>
      <c r="C514" s="5" t="s">
        <v>28</v>
      </c>
      <c r="D514" s="7">
        <f>IFERROR(__xludf.DUMMYFUNCTION("GOOGLEFINANCE(""ASX:CMG"", ""price"")"),0.1)</f>
        <v>0.1</v>
      </c>
      <c r="E514" s="8">
        <f>IFERROR(__xludf.DUMMYFUNCTION("GOOGLEFINANCE(""ASX:CMG"", ""closeyest"")"),0.1)</f>
        <v>0.1</v>
      </c>
      <c r="F514" s="5" t="str">
        <f>IFERROR(__xludf.DUMMYFUNCTION("GOOGLEFINANCE(""ASX:CMG"", ""pe"")"),"#N/A")</f>
        <v>#N/A</v>
      </c>
      <c r="G514" s="9">
        <f>IFERROR(__xludf.DUMMYFUNCTION("GOOGLEFINANCE(""ASX:CMG"", ""high52"")"),0.24)</f>
        <v>0.24</v>
      </c>
      <c r="H514" s="9">
        <f>IFERROR(__xludf.DUMMYFUNCTION("GOOGLEFINANCE(""ASX:CMG"", ""low52"")"),0.07)</f>
        <v>0.07</v>
      </c>
      <c r="I514" s="9">
        <f>IFERROR(__xludf.DUMMYFUNCTION("GOOGLEFINANCE(""ASX:CMG"", ""marketcap"")"),1.038777E7)</f>
        <v>10387770</v>
      </c>
      <c r="J514" s="5"/>
      <c r="K514" s="5"/>
      <c r="L514" s="5"/>
      <c r="M514" s="5"/>
      <c r="N514" s="11" t="s">
        <v>19</v>
      </c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13" t="s">
        <v>1079</v>
      </c>
      <c r="B515" s="13" t="s">
        <v>1080</v>
      </c>
      <c r="C515" s="14" t="s">
        <v>28</v>
      </c>
      <c r="D515" s="15">
        <f>IFERROR(__xludf.DUMMYFUNCTION("GOOGLEFINANCE(""ASX:CMG"", ""price"")"),0.1)</f>
        <v>0.1</v>
      </c>
      <c r="E515" s="8">
        <f>IFERROR(__xludf.DUMMYFUNCTION("GOOGLEFINANCE(""ASX:CMG"", ""closeyest"")"),0.1)</f>
        <v>0.1</v>
      </c>
      <c r="F515" s="5" t="str">
        <f>IFERROR(__xludf.DUMMYFUNCTION("GOOGLEFINANCE(""ASX:CMG"", ""pe"")"),"#N/A")</f>
        <v>#N/A</v>
      </c>
      <c r="G515" s="9">
        <f>IFERROR(__xludf.DUMMYFUNCTION("GOOGLEFINANCE(""ASX:CMG"", ""high52"")"),0.24)</f>
        <v>0.24</v>
      </c>
      <c r="H515" s="9">
        <f>IFERROR(__xludf.DUMMYFUNCTION("GOOGLEFINANCE(""ASX:CMG"", ""low52"")"),0.07)</f>
        <v>0.07</v>
      </c>
      <c r="I515" s="9">
        <f>IFERROR(__xludf.DUMMYFUNCTION("GOOGLEFINANCE(""ASX:CMG"", ""marketcap"")"),1.038777E7)</f>
        <v>10387770</v>
      </c>
      <c r="J515" s="5"/>
      <c r="K515" s="5"/>
      <c r="L515" s="5"/>
      <c r="M515" s="5"/>
      <c r="N515" s="11" t="s">
        <v>19</v>
      </c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6" t="s">
        <v>1081</v>
      </c>
      <c r="B516" s="6" t="s">
        <v>1082</v>
      </c>
      <c r="C516" s="5" t="s">
        <v>28</v>
      </c>
      <c r="D516" s="7">
        <f>IFERROR(__xludf.DUMMYFUNCTION("GOOGLEFINANCE(""ASX:CML"", ""price"")"),0.19)</f>
        <v>0.19</v>
      </c>
      <c r="E516" s="8">
        <f>IFERROR(__xludf.DUMMYFUNCTION("GOOGLEFINANCE(""ASX:CML"", ""closeyest"")"),0.19)</f>
        <v>0.19</v>
      </c>
      <c r="F516" s="5" t="str">
        <f>IFERROR(__xludf.DUMMYFUNCTION("GOOGLEFINANCE(""ASX:CML"", ""pe"")"),"#N/A")</f>
        <v>#N/A</v>
      </c>
      <c r="G516" s="9">
        <f>IFERROR(__xludf.DUMMYFUNCTION("GOOGLEFINANCE(""ASX:CML"", ""high52"")"),0.23)</f>
        <v>0.23</v>
      </c>
      <c r="H516" s="9">
        <f>IFERROR(__xludf.DUMMYFUNCTION("GOOGLEFINANCE(""ASX:CML"", ""low52"")"),0.1)</f>
        <v>0.1</v>
      </c>
      <c r="I516" s="9">
        <f>IFERROR(__xludf.DUMMYFUNCTION("GOOGLEFINANCE(""ASX:CML"", ""marketcap"")"),7651272.0)</f>
        <v>7651272</v>
      </c>
      <c r="J516" s="5"/>
      <c r="K516" s="5"/>
      <c r="L516" s="5"/>
      <c r="M516" s="5"/>
      <c r="N516" s="11" t="s">
        <v>19</v>
      </c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6" t="s">
        <v>1081</v>
      </c>
      <c r="B517" s="6" t="s">
        <v>1082</v>
      </c>
      <c r="C517" s="5" t="s">
        <v>28</v>
      </c>
      <c r="D517" s="7">
        <f>IFERROR(__xludf.DUMMYFUNCTION("GOOGLEFINANCE(""ASX:CML"", ""price"")"),0.19)</f>
        <v>0.19</v>
      </c>
      <c r="E517" s="8">
        <f>IFERROR(__xludf.DUMMYFUNCTION("GOOGLEFINANCE(""ASX:CML"", ""closeyest"")"),0.19)</f>
        <v>0.19</v>
      </c>
      <c r="F517" s="5" t="str">
        <f>IFERROR(__xludf.DUMMYFUNCTION("GOOGLEFINANCE(""ASX:CML"", ""pe"")"),"#N/A")</f>
        <v>#N/A</v>
      </c>
      <c r="G517" s="9">
        <f>IFERROR(__xludf.DUMMYFUNCTION("GOOGLEFINANCE(""ASX:CML"", ""high52"")"),0.23)</f>
        <v>0.23</v>
      </c>
      <c r="H517" s="9">
        <f>IFERROR(__xludf.DUMMYFUNCTION("GOOGLEFINANCE(""ASX:CML"", ""low52"")"),0.1)</f>
        <v>0.1</v>
      </c>
      <c r="I517" s="9">
        <f>IFERROR(__xludf.DUMMYFUNCTION("GOOGLEFINANCE(""ASX:CML"", ""marketcap"")"),7651272.0)</f>
        <v>7651272</v>
      </c>
      <c r="J517" s="5"/>
      <c r="K517" s="5"/>
      <c r="L517" s="5"/>
      <c r="M517" s="5"/>
      <c r="N517" s="11" t="s">
        <v>19</v>
      </c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13" t="s">
        <v>1081</v>
      </c>
      <c r="B518" s="13" t="s">
        <v>1082</v>
      </c>
      <c r="C518" s="14" t="s">
        <v>28</v>
      </c>
      <c r="D518" s="15">
        <f>IFERROR(__xludf.DUMMYFUNCTION("GOOGLEFINANCE(""ASX:CML"", ""price"")"),0.19)</f>
        <v>0.19</v>
      </c>
      <c r="E518" s="8">
        <f>IFERROR(__xludf.DUMMYFUNCTION("GOOGLEFINANCE(""ASX:CML"", ""closeyest"")"),0.19)</f>
        <v>0.19</v>
      </c>
      <c r="F518" s="5" t="str">
        <f>IFERROR(__xludf.DUMMYFUNCTION("GOOGLEFINANCE(""ASX:CML"", ""pe"")"),"#N/A")</f>
        <v>#N/A</v>
      </c>
      <c r="G518" s="9">
        <f>IFERROR(__xludf.DUMMYFUNCTION("GOOGLEFINANCE(""ASX:CML"", ""high52"")"),0.23)</f>
        <v>0.23</v>
      </c>
      <c r="H518" s="9">
        <f>IFERROR(__xludf.DUMMYFUNCTION("GOOGLEFINANCE(""ASX:CML"", ""low52"")"),0.1)</f>
        <v>0.1</v>
      </c>
      <c r="I518" s="9">
        <f>IFERROR(__xludf.DUMMYFUNCTION("GOOGLEFINANCE(""ASX:CML"", ""marketcap"")"),7651272.0)</f>
        <v>7651272</v>
      </c>
      <c r="J518" s="5"/>
      <c r="K518" s="5"/>
      <c r="L518" s="5"/>
      <c r="M518" s="5"/>
      <c r="N518" s="11" t="s">
        <v>19</v>
      </c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6" t="s">
        <v>1083</v>
      </c>
      <c r="B519" s="6" t="s">
        <v>1084</v>
      </c>
      <c r="C519" s="5" t="s">
        <v>88</v>
      </c>
      <c r="D519" s="7">
        <f>IFERROR(__xludf.DUMMYFUNCTION("GOOGLEFINANCE(""ASX:CMM"", ""price"")"),14.84)</f>
        <v>14.84</v>
      </c>
      <c r="E519" s="8">
        <f>IFERROR(__xludf.DUMMYFUNCTION("GOOGLEFINANCE(""ASX:CMM"", ""closeyest"")"),14.57)</f>
        <v>14.57</v>
      </c>
      <c r="F519" s="9">
        <f>IFERROR(__xludf.DUMMYFUNCTION("GOOGLEFINANCE(""ASX:CMM"", ""pe"")"),40.17)</f>
        <v>40.17</v>
      </c>
      <c r="G519" s="9">
        <f>IFERROR(__xludf.DUMMYFUNCTION("GOOGLEFINANCE(""ASX:CMM"", ""high52"")"),15.16)</f>
        <v>15.16</v>
      </c>
      <c r="H519" s="9">
        <f>IFERROR(__xludf.DUMMYFUNCTION("GOOGLEFINANCE(""ASX:CMM"", ""low52"")"),6.42)</f>
        <v>6.42</v>
      </c>
      <c r="I519" s="9">
        <f>IFERROR(__xludf.DUMMYFUNCTION("GOOGLEFINANCE(""ASX:CMM"", ""marketcap"")"),6.769530221E9)</f>
        <v>6769530221</v>
      </c>
      <c r="J519" s="5"/>
      <c r="K519" s="5"/>
      <c r="L519" s="5"/>
      <c r="M519" s="5"/>
      <c r="N519" s="10">
        <v>39.09</v>
      </c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6" t="s">
        <v>1085</v>
      </c>
      <c r="B520" s="6" t="s">
        <v>1086</v>
      </c>
      <c r="C520" s="5" t="s">
        <v>39</v>
      </c>
      <c r="D520" s="7">
        <f>IFERROR(__xludf.DUMMYFUNCTION("GOOGLEFINANCE(""ASX:CMO"", ""price"")"),0.01)</f>
        <v>0.01</v>
      </c>
      <c r="E520" s="8">
        <f>IFERROR(__xludf.DUMMYFUNCTION("GOOGLEFINANCE(""ASX:CMO"", ""closeyest"")"),0.01)</f>
        <v>0.01</v>
      </c>
      <c r="F520" s="5" t="str">
        <f>IFERROR(__xludf.DUMMYFUNCTION("GOOGLEFINANCE(""ASX:CMO"", ""pe"")"),"#N/A")</f>
        <v>#N/A</v>
      </c>
      <c r="G520" s="9">
        <f>IFERROR(__xludf.DUMMYFUNCTION("GOOGLEFINANCE(""ASX:CMO"", ""high52"")"),0.03)</f>
        <v>0.03</v>
      </c>
      <c r="H520" s="9">
        <f>IFERROR(__xludf.DUMMYFUNCTION("GOOGLEFINANCE(""ASX:CMO"", ""low52"")"),0.01)</f>
        <v>0.01</v>
      </c>
      <c r="I520" s="9">
        <f>IFERROR(__xludf.DUMMYFUNCTION("GOOGLEFINANCE(""ASX:CMO"", ""marketcap"")"),7903294.0)</f>
        <v>7903294</v>
      </c>
      <c r="J520" s="5"/>
      <c r="K520" s="5"/>
      <c r="L520" s="5"/>
      <c r="M520" s="5"/>
      <c r="N520" s="11" t="s">
        <v>19</v>
      </c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6" t="s">
        <v>1087</v>
      </c>
      <c r="B521" s="6" t="s">
        <v>1088</v>
      </c>
      <c r="C521" s="5" t="s">
        <v>62</v>
      </c>
      <c r="D521" s="7">
        <f>IFERROR(__xludf.DUMMYFUNCTION("GOOGLEFINANCE(""ASX:CMP"", ""price"")"),0.34)</f>
        <v>0.34</v>
      </c>
      <c r="E521" s="8">
        <f>IFERROR(__xludf.DUMMYFUNCTION("GOOGLEFINANCE(""ASX:CMP"", ""closeyest"")"),0.34)</f>
        <v>0.34</v>
      </c>
      <c r="F521" s="5" t="str">
        <f>IFERROR(__xludf.DUMMYFUNCTION("GOOGLEFINANCE(""ASX:CMP"", ""pe"")"),"#N/A")</f>
        <v>#N/A</v>
      </c>
      <c r="G521" s="9">
        <f>IFERROR(__xludf.DUMMYFUNCTION("GOOGLEFINANCE(""ASX:CMP"", ""high52"")"),0.42)</f>
        <v>0.42</v>
      </c>
      <c r="H521" s="9">
        <f>IFERROR(__xludf.DUMMYFUNCTION("GOOGLEFINANCE(""ASX:CMP"", ""low52"")"),0.24)</f>
        <v>0.24</v>
      </c>
      <c r="I521" s="9">
        <f>IFERROR(__xludf.DUMMYFUNCTION("GOOGLEFINANCE(""ASX:CMP"", ""marketcap"")"),6.7918978E7)</f>
        <v>67918978</v>
      </c>
      <c r="J521" s="5"/>
      <c r="K521" s="5"/>
      <c r="L521" s="5"/>
      <c r="M521" s="5"/>
      <c r="N521" s="11" t="s">
        <v>19</v>
      </c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6" t="s">
        <v>1089</v>
      </c>
      <c r="B522" s="6" t="s">
        <v>1090</v>
      </c>
      <c r="C522" s="5" t="s">
        <v>143</v>
      </c>
      <c r="D522" s="7">
        <f>IFERROR(__xludf.DUMMYFUNCTION("GOOGLEFINANCE(""ASX:CMW"", ""price"")"),0.46)</f>
        <v>0.46</v>
      </c>
      <c r="E522" s="8">
        <f>IFERROR(__xludf.DUMMYFUNCTION("GOOGLEFINANCE(""ASX:CMW"", ""closeyest"")"),0.46)</f>
        <v>0.46</v>
      </c>
      <c r="F522" s="5" t="str">
        <f>IFERROR(__xludf.DUMMYFUNCTION("GOOGLEFINANCE(""ASX:CMW"", ""pe"")"),"#N/A")</f>
        <v>#N/A</v>
      </c>
      <c r="G522" s="9">
        <f>IFERROR(__xludf.DUMMYFUNCTION("GOOGLEFINANCE(""ASX:CMW"", ""high52"")"),0.5)</f>
        <v>0.5</v>
      </c>
      <c r="H522" s="9">
        <f>IFERROR(__xludf.DUMMYFUNCTION("GOOGLEFINANCE(""ASX:CMW"", ""low52"")"),0.34)</f>
        <v>0.34</v>
      </c>
      <c r="I522" s="9">
        <f>IFERROR(__xludf.DUMMYFUNCTION("GOOGLEFINANCE(""ASX:CMW"", ""marketcap"")"),1.204677921E9)</f>
        <v>1204677921</v>
      </c>
      <c r="J522" s="5"/>
      <c r="K522" s="5"/>
      <c r="L522" s="5"/>
      <c r="M522" s="5"/>
      <c r="N522" s="11" t="s">
        <v>19</v>
      </c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6" t="s">
        <v>1091</v>
      </c>
      <c r="B523" s="6" t="s">
        <v>1092</v>
      </c>
      <c r="C523" s="5" t="s">
        <v>75</v>
      </c>
      <c r="D523" s="7">
        <f>IFERROR(__xludf.DUMMYFUNCTION("GOOGLEFINANCE(""ASX:CMX"", ""price"")"),0.03)</f>
        <v>0.03</v>
      </c>
      <c r="E523" s="8">
        <f>IFERROR(__xludf.DUMMYFUNCTION("GOOGLEFINANCE(""ASX:CMX"", ""closeyest"")"),0.03)</f>
        <v>0.03</v>
      </c>
      <c r="F523" s="5" t="str">
        <f>IFERROR(__xludf.DUMMYFUNCTION("GOOGLEFINANCE(""ASX:CMX"", ""pe"")"),"#N/A")</f>
        <v>#N/A</v>
      </c>
      <c r="G523" s="9">
        <f>IFERROR(__xludf.DUMMYFUNCTION("GOOGLEFINANCE(""ASX:CMX"", ""high52"")"),0.03)</f>
        <v>0.03</v>
      </c>
      <c r="H523" s="9">
        <f>IFERROR(__xludf.DUMMYFUNCTION("GOOGLEFINANCE(""ASX:CMX"", ""low52"")"),0.03)</f>
        <v>0.03</v>
      </c>
      <c r="I523" s="9">
        <f>IFERROR(__xludf.DUMMYFUNCTION("GOOGLEFINANCE(""ASX:CMX"", ""marketcap"")"),3.35458E7)</f>
        <v>33545800</v>
      </c>
      <c r="J523" s="5"/>
      <c r="K523" s="5"/>
      <c r="L523" s="5"/>
      <c r="M523" s="5"/>
      <c r="N523" s="11" t="s">
        <v>19</v>
      </c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6" t="s">
        <v>1093</v>
      </c>
      <c r="B524" s="6" t="s">
        <v>1094</v>
      </c>
      <c r="C524" s="5" t="s">
        <v>18</v>
      </c>
      <c r="D524" s="7">
        <f>IFERROR(__xludf.DUMMYFUNCTION("GOOGLEFINANCE(""ASX:CNB"", ""price"")"),0.55)</f>
        <v>0.55</v>
      </c>
      <c r="E524" s="8">
        <f>IFERROR(__xludf.DUMMYFUNCTION("GOOGLEFINANCE(""ASX:CNB"", ""closeyest"")"),0.56)</f>
        <v>0.56</v>
      </c>
      <c r="F524" s="5" t="str">
        <f>IFERROR(__xludf.DUMMYFUNCTION("GOOGLEFINANCE(""ASX:CNB"", ""pe"")"),"#N/A")</f>
        <v>#N/A</v>
      </c>
      <c r="G524" s="9">
        <f>IFERROR(__xludf.DUMMYFUNCTION("GOOGLEFINANCE(""ASX:CNB"", ""high52"")"),0.59)</f>
        <v>0.59</v>
      </c>
      <c r="H524" s="9">
        <f>IFERROR(__xludf.DUMMYFUNCTION("GOOGLEFINANCE(""ASX:CNB"", ""low52"")"),0.22)</f>
        <v>0.22</v>
      </c>
      <c r="I524" s="9">
        <f>IFERROR(__xludf.DUMMYFUNCTION("GOOGLEFINANCE(""ASX:CNB"", ""marketcap"")"),1.50316213E8)</f>
        <v>150316213</v>
      </c>
      <c r="J524" s="5"/>
      <c r="K524" s="5"/>
      <c r="L524" s="5"/>
      <c r="M524" s="5"/>
      <c r="N524" s="11" t="s">
        <v>19</v>
      </c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6" t="s">
        <v>1095</v>
      </c>
      <c r="B525" s="6" t="s">
        <v>1096</v>
      </c>
      <c r="C525" s="5" t="s">
        <v>78</v>
      </c>
      <c r="D525" s="7">
        <f>IFERROR(__xludf.DUMMYFUNCTION("GOOGLEFINANCE(""ASX:CND"", ""price"")"),0.02)</f>
        <v>0.02</v>
      </c>
      <c r="E525" s="8">
        <f>IFERROR(__xludf.DUMMYFUNCTION("GOOGLEFINANCE(""ASX:CND"", ""closeyest"")"),0.02)</f>
        <v>0.02</v>
      </c>
      <c r="F525" s="5" t="str">
        <f>IFERROR(__xludf.DUMMYFUNCTION("GOOGLEFINANCE(""ASX:CND"", ""pe"")"),"#N/A")</f>
        <v>#N/A</v>
      </c>
      <c r="G525" s="9">
        <f>IFERROR(__xludf.DUMMYFUNCTION("GOOGLEFINANCE(""ASX:CND"", ""high52"")"),0.04)</f>
        <v>0.04</v>
      </c>
      <c r="H525" s="9">
        <f>IFERROR(__xludf.DUMMYFUNCTION("GOOGLEFINANCE(""ASX:CND"", ""low52"")"),0.02)</f>
        <v>0.02</v>
      </c>
      <c r="I525" s="9">
        <f>IFERROR(__xludf.DUMMYFUNCTION("GOOGLEFINANCE(""ASX:CND"", ""marketcap"")"),1.5051079E7)</f>
        <v>15051079</v>
      </c>
      <c r="J525" s="5"/>
      <c r="K525" s="5"/>
      <c r="L525" s="5"/>
      <c r="M525" s="5"/>
      <c r="N525" s="11" t="s">
        <v>19</v>
      </c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6" t="s">
        <v>1097</v>
      </c>
      <c r="B526" s="6" t="s">
        <v>1098</v>
      </c>
      <c r="C526" s="5" t="s">
        <v>36</v>
      </c>
      <c r="D526" s="7">
        <f>IFERROR(__xludf.DUMMYFUNCTION("GOOGLEFINANCE(""ASX:CNEW"", ""price"")"),8.14)</f>
        <v>8.14</v>
      </c>
      <c r="E526" s="8">
        <f>IFERROR(__xludf.DUMMYFUNCTION("GOOGLEFINANCE(""ASX:CNEW"", ""closeyest"")"),8.2)</f>
        <v>8.2</v>
      </c>
      <c r="F526" s="5" t="str">
        <f>IFERROR(__xludf.DUMMYFUNCTION("GOOGLEFINANCE(""ASX:CNEW"", ""pe"")"),"#N/A")</f>
        <v>#N/A</v>
      </c>
      <c r="G526" s="9">
        <f>IFERROR(__xludf.DUMMYFUNCTION("GOOGLEFINANCE(""ASX:CNEW"", ""high52"")"),8.5)</f>
        <v>8.5</v>
      </c>
      <c r="H526" s="9">
        <f>IFERROR(__xludf.DUMMYFUNCTION("GOOGLEFINANCE(""ASX:CNEW"", ""low52"")"),6.26)</f>
        <v>6.26</v>
      </c>
      <c r="I526" s="9" t="str">
        <f>IFERROR(__xludf.DUMMYFUNCTION("GOOGLEFINANCE(""ASX:CNEW"", ""marketcap"")"),"#N/A")</f>
        <v>#N/A</v>
      </c>
      <c r="J526" s="5"/>
      <c r="K526" s="5"/>
      <c r="L526" s="5"/>
      <c r="M526" s="5"/>
      <c r="N526" s="11" t="s">
        <v>19</v>
      </c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6" t="s">
        <v>1099</v>
      </c>
      <c r="B527" s="6" t="s">
        <v>1100</v>
      </c>
      <c r="C527" s="5" t="s">
        <v>171</v>
      </c>
      <c r="D527" s="7">
        <f>IFERROR(__xludf.DUMMYFUNCTION("GOOGLEFINANCE(""ASX:CNI"", ""price"")"),1.98)</f>
        <v>1.98</v>
      </c>
      <c r="E527" s="8">
        <f>IFERROR(__xludf.DUMMYFUNCTION("GOOGLEFINANCE(""ASX:CNI"", ""closeyest"")"),1.98)</f>
        <v>1.98</v>
      </c>
      <c r="F527" s="9">
        <f>IFERROR(__xludf.DUMMYFUNCTION("GOOGLEFINANCE(""ASX:CNI"", ""pe"")"),20.15)</f>
        <v>20.15</v>
      </c>
      <c r="G527" s="9">
        <f>IFERROR(__xludf.DUMMYFUNCTION("GOOGLEFINANCE(""ASX:CNI"", ""high52"")"),2.48)</f>
        <v>2.48</v>
      </c>
      <c r="H527" s="9">
        <f>IFERROR(__xludf.DUMMYFUNCTION("GOOGLEFINANCE(""ASX:CNI"", ""low52"")"),1.46)</f>
        <v>1.46</v>
      </c>
      <c r="I527" s="9">
        <f>IFERROR(__xludf.DUMMYFUNCTION("GOOGLEFINANCE(""ASX:CNI"", ""marketcap"")"),1.639431719E9)</f>
        <v>1639431719</v>
      </c>
      <c r="J527" s="5"/>
      <c r="K527" s="5"/>
      <c r="L527" s="5"/>
      <c r="M527" s="5"/>
      <c r="N527" s="10">
        <v>20.71</v>
      </c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6" t="s">
        <v>1101</v>
      </c>
      <c r="B528" s="6" t="s">
        <v>1102</v>
      </c>
      <c r="C528" s="5" t="s">
        <v>18</v>
      </c>
      <c r="D528" s="7">
        <f>IFERROR(__xludf.DUMMYFUNCTION("GOOGLEFINANCE(""ASX:CNJ"", ""price"")"),0.01)</f>
        <v>0.01</v>
      </c>
      <c r="E528" s="8">
        <f>IFERROR(__xludf.DUMMYFUNCTION("GOOGLEFINANCE(""ASX:CNJ"", ""closeyest"")"),0.01)</f>
        <v>0.01</v>
      </c>
      <c r="F528" s="5" t="str">
        <f>IFERROR(__xludf.DUMMYFUNCTION("GOOGLEFINANCE(""ASX:CNJ"", ""pe"")"),"#N/A")</f>
        <v>#N/A</v>
      </c>
      <c r="G528" s="9">
        <f>IFERROR(__xludf.DUMMYFUNCTION("GOOGLEFINANCE(""ASX:CNJ"", ""high52"")"),0.06)</f>
        <v>0.06</v>
      </c>
      <c r="H528" s="9">
        <f>IFERROR(__xludf.DUMMYFUNCTION("GOOGLEFINANCE(""ASX:CNJ"", ""low52"")"),0.01)</f>
        <v>0.01</v>
      </c>
      <c r="I528" s="9">
        <f>IFERROR(__xludf.DUMMYFUNCTION("GOOGLEFINANCE(""ASX:CNJ"", ""marketcap"")"),6580609.0)</f>
        <v>6580609</v>
      </c>
      <c r="J528" s="9">
        <v>9.7</v>
      </c>
      <c r="K528" s="9">
        <v>9.7</v>
      </c>
      <c r="L528" s="9">
        <v>9.8</v>
      </c>
      <c r="M528" s="9">
        <v>9.4</v>
      </c>
      <c r="N528" s="11" t="s">
        <v>19</v>
      </c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6" t="s">
        <v>1103</v>
      </c>
      <c r="B529" s="6" t="s">
        <v>1104</v>
      </c>
      <c r="C529" s="5" t="s">
        <v>123</v>
      </c>
      <c r="D529" s="7">
        <f>IFERROR(__xludf.DUMMYFUNCTION("GOOGLEFINANCE(""ASX:CNQ"", ""price"")"),0.36)</f>
        <v>0.36</v>
      </c>
      <c r="E529" s="8">
        <f>IFERROR(__xludf.DUMMYFUNCTION("GOOGLEFINANCE(""ASX:CNQ"", ""closeyest"")"),0.36)</f>
        <v>0.36</v>
      </c>
      <c r="F529" s="5" t="str">
        <f>IFERROR(__xludf.DUMMYFUNCTION("GOOGLEFINANCE(""ASX:CNQ"", ""pe"")"),"#N/A")</f>
        <v>#N/A</v>
      </c>
      <c r="G529" s="9">
        <f>IFERROR(__xludf.DUMMYFUNCTION("GOOGLEFINANCE(""ASX:CNQ"", ""high52"")"),0.6)</f>
        <v>0.6</v>
      </c>
      <c r="H529" s="9">
        <f>IFERROR(__xludf.DUMMYFUNCTION("GOOGLEFINANCE(""ASX:CNQ"", ""low52"")"),0.15)</f>
        <v>0.15</v>
      </c>
      <c r="I529" s="9">
        <f>IFERROR(__xludf.DUMMYFUNCTION("GOOGLEFINANCE(""ASX:CNQ"", ""marketcap"")"),3.1350568E7)</f>
        <v>31350568</v>
      </c>
      <c r="J529" s="5"/>
      <c r="K529" s="5"/>
      <c r="L529" s="5"/>
      <c r="M529" s="5"/>
      <c r="N529" s="11" t="s">
        <v>19</v>
      </c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6" t="s">
        <v>1105</v>
      </c>
      <c r="B530" s="6" t="s">
        <v>1106</v>
      </c>
      <c r="C530" s="5" t="s">
        <v>137</v>
      </c>
      <c r="D530" s="7">
        <f>IFERROR(__xludf.DUMMYFUNCTION("GOOGLEFINANCE(""ASX:CNU"", ""price"")"),7.97)</f>
        <v>7.97</v>
      </c>
      <c r="E530" s="8">
        <f>IFERROR(__xludf.DUMMYFUNCTION("GOOGLEFINANCE(""ASX:CNU"", ""closeyest"")"),7.99)</f>
        <v>7.99</v>
      </c>
      <c r="F530" s="5" t="str">
        <f>IFERROR(__xludf.DUMMYFUNCTION("GOOGLEFINANCE(""ASX:CNU"", ""pe"")"),"#N/A")</f>
        <v>#N/A</v>
      </c>
      <c r="G530" s="9">
        <f>IFERROR(__xludf.DUMMYFUNCTION("GOOGLEFINANCE(""ASX:CNU"", ""high52"")"),8.96)</f>
        <v>8.96</v>
      </c>
      <c r="H530" s="9">
        <f>IFERROR(__xludf.DUMMYFUNCTION("GOOGLEFINANCE(""ASX:CNU"", ""low52"")"),6.9)</f>
        <v>6.9</v>
      </c>
      <c r="I530" s="9">
        <f>IFERROR(__xludf.DUMMYFUNCTION("GOOGLEFINANCE(""ASX:CNU"", ""marketcap"")"),4.069338E9)</f>
        <v>4069338000</v>
      </c>
      <c r="J530" s="9">
        <v>0.225</v>
      </c>
      <c r="K530" s="9">
        <v>0.22</v>
      </c>
      <c r="L530" s="9">
        <v>0.255</v>
      </c>
      <c r="M530" s="9">
        <v>0.145</v>
      </c>
      <c r="N530" s="11" t="s">
        <v>19</v>
      </c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6" t="s">
        <v>1107</v>
      </c>
      <c r="B531" s="6" t="s">
        <v>1108</v>
      </c>
      <c r="C531" s="5" t="s">
        <v>39</v>
      </c>
      <c r="D531" s="7">
        <f>IFERROR(__xludf.DUMMYFUNCTION("GOOGLEFINANCE(""ASX:COB"", ""price"")"),0.09)</f>
        <v>0.09</v>
      </c>
      <c r="E531" s="8">
        <f>IFERROR(__xludf.DUMMYFUNCTION("GOOGLEFINANCE(""ASX:COB"", ""closeyest"")"),0.09)</f>
        <v>0.09</v>
      </c>
      <c r="F531" s="5" t="str">
        <f>IFERROR(__xludf.DUMMYFUNCTION("GOOGLEFINANCE(""ASX:COB"", ""pe"")"),"#N/A")</f>
        <v>#N/A</v>
      </c>
      <c r="G531" s="9">
        <f>IFERROR(__xludf.DUMMYFUNCTION("GOOGLEFINANCE(""ASX:COB"", ""high52"")"),0.36)</f>
        <v>0.36</v>
      </c>
      <c r="H531" s="9">
        <f>IFERROR(__xludf.DUMMYFUNCTION("GOOGLEFINANCE(""ASX:COB"", ""low52"")"),0.05)</f>
        <v>0.05</v>
      </c>
      <c r="I531" s="9">
        <f>IFERROR(__xludf.DUMMYFUNCTION("GOOGLEFINANCE(""ASX:COB"", ""marketcap"")"),5.1068324E7)</f>
        <v>51068324</v>
      </c>
      <c r="J531" s="5"/>
      <c r="K531" s="5"/>
      <c r="L531" s="5"/>
      <c r="M531" s="5"/>
      <c r="N531" s="11" t="s">
        <v>19</v>
      </c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6" t="s">
        <v>1109</v>
      </c>
      <c r="B532" s="6" t="s">
        <v>1110</v>
      </c>
      <c r="C532" s="5" t="s">
        <v>18</v>
      </c>
      <c r="D532" s="7">
        <f>IFERROR(__xludf.DUMMYFUNCTION("GOOGLEFINANCE(""ASX:COD"", ""price"")"),0.18)</f>
        <v>0.18</v>
      </c>
      <c r="E532" s="8">
        <f>IFERROR(__xludf.DUMMYFUNCTION("GOOGLEFINANCE(""ASX:COD"", ""closeyest"")"),0.18)</f>
        <v>0.18</v>
      </c>
      <c r="F532" s="5" t="str">
        <f>IFERROR(__xludf.DUMMYFUNCTION("GOOGLEFINANCE(""ASX:COD"", ""pe"")"),"#N/A")</f>
        <v>#N/A</v>
      </c>
      <c r="G532" s="9">
        <f>IFERROR(__xludf.DUMMYFUNCTION("GOOGLEFINANCE(""ASX:COD"", ""high52"")"),0.2)</f>
        <v>0.2</v>
      </c>
      <c r="H532" s="9">
        <f>IFERROR(__xludf.DUMMYFUNCTION("GOOGLEFINANCE(""ASX:COD"", ""low52"")"),0.07)</f>
        <v>0.07</v>
      </c>
      <c r="I532" s="9">
        <f>IFERROR(__xludf.DUMMYFUNCTION("GOOGLEFINANCE(""ASX:COD"", ""marketcap"")"),6.6963332E7)</f>
        <v>66963332</v>
      </c>
      <c r="J532" s="5"/>
      <c r="K532" s="5"/>
      <c r="L532" s="5"/>
      <c r="M532" s="5"/>
      <c r="N532" s="11" t="s">
        <v>19</v>
      </c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6" t="s">
        <v>1111</v>
      </c>
      <c r="B533" s="6" t="s">
        <v>1112</v>
      </c>
      <c r="C533" s="5" t="s">
        <v>418</v>
      </c>
      <c r="D533" s="7">
        <f>IFERROR(__xludf.DUMMYFUNCTION("GOOGLEFINANCE(""ASX:COF"", ""price"")"),1.12)</f>
        <v>1.12</v>
      </c>
      <c r="E533" s="8">
        <f>IFERROR(__xludf.DUMMYFUNCTION("GOOGLEFINANCE(""ASX:COF"", ""closeyest"")"),1.11)</f>
        <v>1.11</v>
      </c>
      <c r="F533" s="5" t="str">
        <f>IFERROR(__xludf.DUMMYFUNCTION("GOOGLEFINANCE(""ASX:COF"", ""pe"")"),"#N/A")</f>
        <v>#N/A</v>
      </c>
      <c r="G533" s="9">
        <f>IFERROR(__xludf.DUMMYFUNCTION("GOOGLEFINANCE(""ASX:COF"", ""high52"")"),1.32)</f>
        <v>1.32</v>
      </c>
      <c r="H533" s="9">
        <f>IFERROR(__xludf.DUMMYFUNCTION("GOOGLEFINANCE(""ASX:COF"", ""low52"")"),1.1)</f>
        <v>1.1</v>
      </c>
      <c r="I533" s="9">
        <f>IFERROR(__xludf.DUMMYFUNCTION("GOOGLEFINANCE(""ASX:COF"", ""marketcap"")"),6.66057058E8)</f>
        <v>666057058</v>
      </c>
      <c r="J533" s="5"/>
      <c r="K533" s="5"/>
      <c r="L533" s="5"/>
      <c r="M533" s="5"/>
      <c r="N533" s="11" t="s">
        <v>19</v>
      </c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6" t="s">
        <v>1113</v>
      </c>
      <c r="B534" s="6" t="s">
        <v>1114</v>
      </c>
      <c r="C534" s="5" t="s">
        <v>241</v>
      </c>
      <c r="D534" s="7">
        <f>IFERROR(__xludf.DUMMYFUNCTION("GOOGLEFINANCE(""ASX:COG"", ""price"")"),2.03)</f>
        <v>2.03</v>
      </c>
      <c r="E534" s="8">
        <f>IFERROR(__xludf.DUMMYFUNCTION("GOOGLEFINANCE(""ASX:COG"", ""closeyest"")"),2.0)</f>
        <v>2</v>
      </c>
      <c r="F534" s="9">
        <f>IFERROR(__xludf.DUMMYFUNCTION("GOOGLEFINANCE(""ASX:COG"", ""pe"")"),21.59)</f>
        <v>21.59</v>
      </c>
      <c r="G534" s="9">
        <f>IFERROR(__xludf.DUMMYFUNCTION("GOOGLEFINANCE(""ASX:COG"", ""high52"")"),2.46)</f>
        <v>2.46</v>
      </c>
      <c r="H534" s="9">
        <f>IFERROR(__xludf.DUMMYFUNCTION("GOOGLEFINANCE(""ASX:COG"", ""low52"")"),0.87)</f>
        <v>0.87</v>
      </c>
      <c r="I534" s="9">
        <f>IFERROR(__xludf.DUMMYFUNCTION("GOOGLEFINANCE(""ASX:COG"", ""marketcap"")"),4.30071733E8)</f>
        <v>430071733</v>
      </c>
      <c r="J534" s="5"/>
      <c r="K534" s="5"/>
      <c r="L534" s="5"/>
      <c r="M534" s="5"/>
      <c r="N534" s="10">
        <v>22.01</v>
      </c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6" t="s">
        <v>1115</v>
      </c>
      <c r="B535" s="6" t="s">
        <v>1116</v>
      </c>
      <c r="C535" s="5" t="s">
        <v>276</v>
      </c>
      <c r="D535" s="7">
        <f>IFERROR(__xludf.DUMMYFUNCTION("GOOGLEFINANCE(""ASX:COH"", ""price"")"),262.61)</f>
        <v>262.61</v>
      </c>
      <c r="E535" s="8">
        <f>IFERROR(__xludf.DUMMYFUNCTION("GOOGLEFINANCE(""ASX:COH"", ""closeyest"")"),260.19)</f>
        <v>260.19</v>
      </c>
      <c r="F535" s="9">
        <f>IFERROR(__xludf.DUMMYFUNCTION("GOOGLEFINANCE(""ASX:COH"", ""pe"")"),44.3)</f>
        <v>44.3</v>
      </c>
      <c r="G535" s="9">
        <f>IFERROR(__xludf.DUMMYFUNCTION("GOOGLEFINANCE(""ASX:COH"", ""high52"")"),323.0)</f>
        <v>323</v>
      </c>
      <c r="H535" s="9">
        <f>IFERROR(__xludf.DUMMYFUNCTION("GOOGLEFINANCE(""ASX:COH"", ""low52"")"),246.14)</f>
        <v>246.14</v>
      </c>
      <c r="I535" s="9">
        <f>IFERROR(__xludf.DUMMYFUNCTION("GOOGLEFINANCE(""ASX:COH"", ""marketcap"")"),1.7174291248E10)</f>
        <v>17174291248</v>
      </c>
      <c r="J535" s="5"/>
      <c r="K535" s="5"/>
      <c r="L535" s="5"/>
      <c r="M535" s="5"/>
      <c r="N535" s="10">
        <v>44.03</v>
      </c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6" t="s">
        <v>1117</v>
      </c>
      <c r="B536" s="6" t="s">
        <v>1118</v>
      </c>
      <c r="C536" s="5" t="s">
        <v>78</v>
      </c>
      <c r="D536" s="7">
        <f>IFERROR(__xludf.DUMMYFUNCTION("GOOGLEFINANCE(""ASX:COI"", ""price"")"),0.13)</f>
        <v>0.13</v>
      </c>
      <c r="E536" s="8">
        <f>IFERROR(__xludf.DUMMYFUNCTION("GOOGLEFINANCE(""ASX:COI"", ""closeyest"")"),0.14)</f>
        <v>0.14</v>
      </c>
      <c r="F536" s="5" t="str">
        <f>IFERROR(__xludf.DUMMYFUNCTION("GOOGLEFINANCE(""ASX:COI"", ""pe"")"),"#N/A")</f>
        <v>#N/A</v>
      </c>
      <c r="G536" s="9">
        <f>IFERROR(__xludf.DUMMYFUNCTION("GOOGLEFINANCE(""ASX:COI"", ""high52"")"),0.17)</f>
        <v>0.17</v>
      </c>
      <c r="H536" s="9">
        <f>IFERROR(__xludf.DUMMYFUNCTION("GOOGLEFINANCE(""ASX:COI"", ""low52"")"),0.1)</f>
        <v>0.1</v>
      </c>
      <c r="I536" s="9">
        <f>IFERROR(__xludf.DUMMYFUNCTION("GOOGLEFINANCE(""ASX:COI"", ""marketcap"")"),1.442135E8)</f>
        <v>144213500</v>
      </c>
      <c r="J536" s="5"/>
      <c r="K536" s="5"/>
      <c r="L536" s="5"/>
      <c r="M536" s="5"/>
      <c r="N536" s="11" t="s">
        <v>19</v>
      </c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6" t="s">
        <v>1119</v>
      </c>
      <c r="B537" s="6" t="s">
        <v>1120</v>
      </c>
      <c r="C537" s="5" t="s">
        <v>580</v>
      </c>
      <c r="D537" s="7">
        <f>IFERROR(__xludf.DUMMYFUNCTION("GOOGLEFINANCE(""ASX:COL"", ""price"")"),20.77)</f>
        <v>20.77</v>
      </c>
      <c r="E537" s="8">
        <f>IFERROR(__xludf.DUMMYFUNCTION("GOOGLEFINANCE(""ASX:COL"", ""closeyest"")"),20.57)</f>
        <v>20.57</v>
      </c>
      <c r="F537" s="9">
        <f>IFERROR(__xludf.DUMMYFUNCTION("GOOGLEFINANCE(""ASX:COL"", ""pe"")"),25.79)</f>
        <v>25.79</v>
      </c>
      <c r="G537" s="9">
        <f>IFERROR(__xludf.DUMMYFUNCTION("GOOGLEFINANCE(""ASX:COL"", ""high52"")"),24.28)</f>
        <v>24.28</v>
      </c>
      <c r="H537" s="9">
        <f>IFERROR(__xludf.DUMMYFUNCTION("GOOGLEFINANCE(""ASX:COL"", ""low52"")"),18.33)</f>
        <v>18.33</v>
      </c>
      <c r="I537" s="9">
        <f>IFERROR(__xludf.DUMMYFUNCTION("GOOGLEFINANCE(""ASX:COL"", ""marketcap"")"),2.7876206874E10)</f>
        <v>27876206874</v>
      </c>
      <c r="J537" s="5"/>
      <c r="K537" s="5"/>
      <c r="L537" s="5"/>
      <c r="M537" s="5"/>
      <c r="N537" s="10">
        <v>26.5</v>
      </c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6" t="s">
        <v>1121</v>
      </c>
      <c r="B538" s="6" t="s">
        <v>1122</v>
      </c>
      <c r="C538" s="5" t="s">
        <v>36</v>
      </c>
      <c r="D538" s="7">
        <f>IFERROR(__xludf.DUMMYFUNCTION("GOOGLEFINANCE(""ASX:CORE"", ""price"")"),11.21)</f>
        <v>11.21</v>
      </c>
      <c r="E538" s="8">
        <f>IFERROR(__xludf.DUMMYFUNCTION("GOOGLEFINANCE(""ASX:CORE"", ""closeyest"")"),11.24)</f>
        <v>11.24</v>
      </c>
      <c r="F538" s="5" t="str">
        <f>IFERROR(__xludf.DUMMYFUNCTION("GOOGLEFINANCE(""ASX:CORE"", ""pe"")"),"#N/A")</f>
        <v>#N/A</v>
      </c>
      <c r="G538" s="9">
        <f>IFERROR(__xludf.DUMMYFUNCTION("GOOGLEFINANCE(""ASX:CORE"", ""high52"")"),11.47)</f>
        <v>11.47</v>
      </c>
      <c r="H538" s="9">
        <f>IFERROR(__xludf.DUMMYFUNCTION("GOOGLEFINANCE(""ASX:CORE"", ""low52"")"),9.98)</f>
        <v>9.98</v>
      </c>
      <c r="I538" s="9" t="str">
        <f>IFERROR(__xludf.DUMMYFUNCTION("GOOGLEFINANCE(""ASX:CORE"", ""marketcap"")"),"#N/A")</f>
        <v>#N/A</v>
      </c>
      <c r="J538" s="5"/>
      <c r="K538" s="5"/>
      <c r="L538" s="5"/>
      <c r="M538" s="5"/>
      <c r="N538" s="11" t="s">
        <v>19</v>
      </c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6" t="s">
        <v>1123</v>
      </c>
      <c r="B539" s="6" t="s">
        <v>1124</v>
      </c>
      <c r="C539" s="5" t="s">
        <v>1125</v>
      </c>
      <c r="D539" s="7">
        <f>IFERROR(__xludf.DUMMYFUNCTION("GOOGLEFINANCE(""ASX:COS"", ""price"")"),0.5)</f>
        <v>0.5</v>
      </c>
      <c r="E539" s="8">
        <f>IFERROR(__xludf.DUMMYFUNCTION("GOOGLEFINANCE(""ASX:COS"", ""closeyest"")"),0.49)</f>
        <v>0.49</v>
      </c>
      <c r="F539" s="9">
        <f>IFERROR(__xludf.DUMMYFUNCTION("GOOGLEFINANCE(""ASX:COS"", ""pe"")"),12.22)</f>
        <v>12.22</v>
      </c>
      <c r="G539" s="9">
        <f>IFERROR(__xludf.DUMMYFUNCTION("GOOGLEFINANCE(""ASX:COS"", ""high52"")"),1.02)</f>
        <v>1.02</v>
      </c>
      <c r="H539" s="9">
        <f>IFERROR(__xludf.DUMMYFUNCTION("GOOGLEFINANCE(""ASX:COS"", ""low52"")"),0.38)</f>
        <v>0.38</v>
      </c>
      <c r="I539" s="9">
        <f>IFERROR(__xludf.DUMMYFUNCTION("GOOGLEFINANCE(""ASX:COS"", ""marketcap"")"),9.099435E7)</f>
        <v>90994350</v>
      </c>
      <c r="J539" s="5"/>
      <c r="K539" s="5"/>
      <c r="L539" s="5"/>
      <c r="M539" s="5"/>
      <c r="N539" s="10">
        <v>12.22</v>
      </c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6" t="s">
        <v>1126</v>
      </c>
      <c r="B540" s="6" t="s">
        <v>1127</v>
      </c>
      <c r="C540" s="5" t="s">
        <v>164</v>
      </c>
      <c r="D540" s="7">
        <f>IFERROR(__xludf.DUMMYFUNCTION("GOOGLEFINANCE(""ASX:COV"", ""price"")"),0.6)</f>
        <v>0.6</v>
      </c>
      <c r="E540" s="8">
        <f>IFERROR(__xludf.DUMMYFUNCTION("GOOGLEFINANCE(""ASX:COV"", ""closeyest"")"),0.6)</f>
        <v>0.6</v>
      </c>
      <c r="F540" s="5" t="str">
        <f>IFERROR(__xludf.DUMMYFUNCTION("GOOGLEFINANCE(""ASX:COV"", ""pe"")"),"#N/A")</f>
        <v>#N/A</v>
      </c>
      <c r="G540" s="9">
        <f>IFERROR(__xludf.DUMMYFUNCTION("GOOGLEFINANCE(""ASX:COV"", ""high52"")"),0.75)</f>
        <v>0.75</v>
      </c>
      <c r="H540" s="9">
        <f>IFERROR(__xludf.DUMMYFUNCTION("GOOGLEFINANCE(""ASX:COV"", ""low52"")"),0.31)</f>
        <v>0.31</v>
      </c>
      <c r="I540" s="9">
        <f>IFERROR(__xludf.DUMMYFUNCTION("GOOGLEFINANCE(""ASX:COV"", ""marketcap"")"),8.2117203E7)</f>
        <v>82117203</v>
      </c>
      <c r="J540" s="5"/>
      <c r="K540" s="5"/>
      <c r="L540" s="5"/>
      <c r="M540" s="5"/>
      <c r="N540" s="11" t="s">
        <v>19</v>
      </c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6" t="s">
        <v>1128</v>
      </c>
      <c r="B541" s="6" t="s">
        <v>1129</v>
      </c>
      <c r="C541" s="5" t="s">
        <v>18</v>
      </c>
      <c r="D541" s="7">
        <f>IFERROR(__xludf.DUMMYFUNCTION("GOOGLEFINANCE(""ASX:COY"", ""price"")"),0.01)</f>
        <v>0.01</v>
      </c>
      <c r="E541" s="8">
        <f>IFERROR(__xludf.DUMMYFUNCTION("GOOGLEFINANCE(""ASX:COY"", ""closeyest"")"),0.01)</f>
        <v>0.01</v>
      </c>
      <c r="F541" s="5" t="str">
        <f>IFERROR(__xludf.DUMMYFUNCTION("GOOGLEFINANCE(""ASX:COY"", ""pe"")"),"#N/A")</f>
        <v>#N/A</v>
      </c>
      <c r="G541" s="9">
        <f>IFERROR(__xludf.DUMMYFUNCTION("GOOGLEFINANCE(""ASX:COY"", ""high52"")"),0.02)</f>
        <v>0.02</v>
      </c>
      <c r="H541" s="9">
        <f>IFERROR(__xludf.DUMMYFUNCTION("GOOGLEFINANCE(""ASX:COY"", ""low52"")"),0.01)</f>
        <v>0.01</v>
      </c>
      <c r="I541" s="9">
        <f>IFERROR(__xludf.DUMMYFUNCTION("GOOGLEFINANCE(""ASX:COY"", ""marketcap"")"),8826569.0)</f>
        <v>8826569</v>
      </c>
      <c r="J541" s="5"/>
      <c r="K541" s="5"/>
      <c r="L541" s="5"/>
      <c r="M541" s="5"/>
      <c r="N541" s="11" t="s">
        <v>19</v>
      </c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6" t="s">
        <v>1130</v>
      </c>
      <c r="B542" s="6" t="s">
        <v>1131</v>
      </c>
      <c r="C542" s="5" t="s">
        <v>267</v>
      </c>
      <c r="D542" s="7">
        <f>IFERROR(__xludf.DUMMYFUNCTION("GOOGLEFINANCE(""ASX:CP8"", ""price"")"),0.08)</f>
        <v>0.08</v>
      </c>
      <c r="E542" s="8">
        <f>IFERROR(__xludf.DUMMYFUNCTION("GOOGLEFINANCE(""ASX:CP8"", ""closeyest"")"),0.08)</f>
        <v>0.08</v>
      </c>
      <c r="F542" s="5" t="str">
        <f>IFERROR(__xludf.DUMMYFUNCTION("GOOGLEFINANCE(""ASX:CP8"", ""pe"")"),"#N/A")</f>
        <v>#N/A</v>
      </c>
      <c r="G542" s="9">
        <f>IFERROR(__xludf.DUMMYFUNCTION("GOOGLEFINANCE(""ASX:CP8"", ""high52"")"),0.08)</f>
        <v>0.08</v>
      </c>
      <c r="H542" s="9">
        <f>IFERROR(__xludf.DUMMYFUNCTION("GOOGLEFINANCE(""ASX:CP8"", ""low52"")"),0.02)</f>
        <v>0.02</v>
      </c>
      <c r="I542" s="9">
        <f>IFERROR(__xludf.DUMMYFUNCTION("GOOGLEFINANCE(""ASX:CP8"", ""marketcap"")"),2.8061593E7)</f>
        <v>28061593</v>
      </c>
      <c r="J542" s="5"/>
      <c r="K542" s="5"/>
      <c r="L542" s="5"/>
      <c r="M542" s="5"/>
      <c r="N542" s="11" t="s">
        <v>19</v>
      </c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6" t="s">
        <v>1132</v>
      </c>
      <c r="B543" s="6" t="s">
        <v>1133</v>
      </c>
      <c r="C543" s="5" t="s">
        <v>18</v>
      </c>
      <c r="D543" s="7">
        <f>IFERROR(__xludf.DUMMYFUNCTION("GOOGLEFINANCE(""ASX:CPM"", ""price"")"),0.06)</f>
        <v>0.06</v>
      </c>
      <c r="E543" s="8">
        <f>IFERROR(__xludf.DUMMYFUNCTION("GOOGLEFINANCE(""ASX:CPM"", ""closeyest"")"),0.05)</f>
        <v>0.05</v>
      </c>
      <c r="F543" s="5" t="str">
        <f>IFERROR(__xludf.DUMMYFUNCTION("GOOGLEFINANCE(""ASX:CPM"", ""pe"")"),"#N/A")</f>
        <v>#N/A</v>
      </c>
      <c r="G543" s="9">
        <f>IFERROR(__xludf.DUMMYFUNCTION("GOOGLEFINANCE(""ASX:CPM"", ""high52"")"),0.08)</f>
        <v>0.08</v>
      </c>
      <c r="H543" s="9">
        <f>IFERROR(__xludf.DUMMYFUNCTION("GOOGLEFINANCE(""ASX:CPM"", ""low52"")"),0.03)</f>
        <v>0.03</v>
      </c>
      <c r="I543" s="9">
        <f>IFERROR(__xludf.DUMMYFUNCTION("GOOGLEFINANCE(""ASX:CPM"", ""marketcap"")"),4817305.0)</f>
        <v>4817305</v>
      </c>
      <c r="J543" s="5"/>
      <c r="K543" s="5"/>
      <c r="L543" s="5"/>
      <c r="M543" s="5"/>
      <c r="N543" s="11" t="s">
        <v>19</v>
      </c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6" t="s">
        <v>1134</v>
      </c>
      <c r="B544" s="6" t="s">
        <v>1135</v>
      </c>
      <c r="C544" s="5" t="s">
        <v>18</v>
      </c>
      <c r="D544" s="7">
        <f>IFERROR(__xludf.DUMMYFUNCTION("GOOGLEFINANCE(""ASX:CPN"", ""price"")"),0.1)</f>
        <v>0.1</v>
      </c>
      <c r="E544" s="8">
        <f>IFERROR(__xludf.DUMMYFUNCTION("GOOGLEFINANCE(""ASX:CPN"", ""closeyest"")"),0.1)</f>
        <v>0.1</v>
      </c>
      <c r="F544" s="5" t="str">
        <f>IFERROR(__xludf.DUMMYFUNCTION("GOOGLEFINANCE(""ASX:CPN"", ""pe"")"),"#N/A")</f>
        <v>#N/A</v>
      </c>
      <c r="G544" s="9">
        <f>IFERROR(__xludf.DUMMYFUNCTION("GOOGLEFINANCE(""ASX:CPN"", ""high52"")"),0.18)</f>
        <v>0.18</v>
      </c>
      <c r="H544" s="9">
        <f>IFERROR(__xludf.DUMMYFUNCTION("GOOGLEFINANCE(""ASX:CPN"", ""low52"")"),0.05)</f>
        <v>0.05</v>
      </c>
      <c r="I544" s="9">
        <f>IFERROR(__xludf.DUMMYFUNCTION("GOOGLEFINANCE(""ASX:CPN"", ""marketcap"")"),2.495031E7)</f>
        <v>24950310</v>
      </c>
      <c r="J544" s="5"/>
      <c r="K544" s="5"/>
      <c r="L544" s="5"/>
      <c r="M544" s="5"/>
      <c r="N544" s="11" t="s">
        <v>19</v>
      </c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6" t="s">
        <v>1136</v>
      </c>
      <c r="B545" s="6" t="s">
        <v>1137</v>
      </c>
      <c r="C545" s="5" t="s">
        <v>39</v>
      </c>
      <c r="D545" s="7">
        <f>IFERROR(__xludf.DUMMYFUNCTION("GOOGLEFINANCE(""ASX:CPO"", ""price"")"),0.01)</f>
        <v>0.01</v>
      </c>
      <c r="E545" s="8">
        <f>IFERROR(__xludf.DUMMYFUNCTION("GOOGLEFINANCE(""ASX:CPO"", ""closeyest"")"),0.02)</f>
        <v>0.02</v>
      </c>
      <c r="F545" s="5" t="str">
        <f>IFERROR(__xludf.DUMMYFUNCTION("GOOGLEFINANCE(""ASX:CPO"", ""pe"")"),"#N/A")</f>
        <v>#N/A</v>
      </c>
      <c r="G545" s="9">
        <f>IFERROR(__xludf.DUMMYFUNCTION("GOOGLEFINANCE(""ASX:CPO"", ""high52"")"),0.02)</f>
        <v>0.02</v>
      </c>
      <c r="H545" s="9">
        <f>IFERROR(__xludf.DUMMYFUNCTION("GOOGLEFINANCE(""ASX:CPO"", ""low52"")"),0.01)</f>
        <v>0.01</v>
      </c>
      <c r="I545" s="9">
        <f>IFERROR(__xludf.DUMMYFUNCTION("GOOGLEFINANCE(""ASX:CPO"", ""marketcap"")"),1.1845064E7)</f>
        <v>11845064</v>
      </c>
      <c r="J545" s="5"/>
      <c r="K545" s="5"/>
      <c r="L545" s="5"/>
      <c r="M545" s="5"/>
      <c r="N545" s="11" t="s">
        <v>19</v>
      </c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6" t="s">
        <v>1138</v>
      </c>
      <c r="B546" s="6" t="s">
        <v>1139</v>
      </c>
      <c r="C546" s="5" t="s">
        <v>1125</v>
      </c>
      <c r="D546" s="7">
        <f>IFERROR(__xludf.DUMMYFUNCTION("GOOGLEFINANCE(""ASX:CPU"", ""price"")"),34.0)</f>
        <v>34</v>
      </c>
      <c r="E546" s="8">
        <f>IFERROR(__xludf.DUMMYFUNCTION("GOOGLEFINANCE(""ASX:CPU"", ""closeyest"")"),34.03)</f>
        <v>34.03</v>
      </c>
      <c r="F546" s="9">
        <f>IFERROR(__xludf.DUMMYFUNCTION("GOOGLEFINANCE(""ASX:CPU"", ""pe"")"),22.12)</f>
        <v>22.12</v>
      </c>
      <c r="G546" s="9">
        <f>IFERROR(__xludf.DUMMYFUNCTION("GOOGLEFINANCE(""ASX:CPU"", ""high52"")"),43.23)</f>
        <v>43.23</v>
      </c>
      <c r="H546" s="9">
        <f>IFERROR(__xludf.DUMMYFUNCTION("GOOGLEFINANCE(""ASX:CPU"", ""low52"")"),32.5)</f>
        <v>32.5</v>
      </c>
      <c r="I546" s="9">
        <f>IFERROR(__xludf.DUMMYFUNCTION("GOOGLEFINANCE(""ASX:CPU"", ""marketcap"")"),1.96651614E10)</f>
        <v>19665161400</v>
      </c>
      <c r="J546" s="5"/>
      <c r="K546" s="5"/>
      <c r="L546" s="5"/>
      <c r="M546" s="5"/>
      <c r="N546" s="10">
        <v>22.23</v>
      </c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6" t="s">
        <v>1140</v>
      </c>
      <c r="B547" s="6" t="s">
        <v>1141</v>
      </c>
      <c r="C547" s="5" t="s">
        <v>1142</v>
      </c>
      <c r="D547" s="7">
        <f>IFERROR(__xludf.DUMMYFUNCTION("GOOGLEFINANCE(""ASX:CPV"", ""price"")"),0.14)</f>
        <v>0.14</v>
      </c>
      <c r="E547" s="8">
        <f>IFERROR(__xludf.DUMMYFUNCTION("GOOGLEFINANCE(""ASX:CPV"", ""closeyest"")"),0.13)</f>
        <v>0.13</v>
      </c>
      <c r="F547" s="5" t="str">
        <f>IFERROR(__xludf.DUMMYFUNCTION("GOOGLEFINANCE(""ASX:CPV"", ""pe"")"),"#N/A")</f>
        <v>#N/A</v>
      </c>
      <c r="G547" s="9">
        <f>IFERROR(__xludf.DUMMYFUNCTION("GOOGLEFINANCE(""ASX:CPV"", ""high52"")"),0.3)</f>
        <v>0.3</v>
      </c>
      <c r="H547" s="9">
        <f>IFERROR(__xludf.DUMMYFUNCTION("GOOGLEFINANCE(""ASX:CPV"", ""low52"")"),0.12)</f>
        <v>0.12</v>
      </c>
      <c r="I547" s="9">
        <f>IFERROR(__xludf.DUMMYFUNCTION("GOOGLEFINANCE(""ASX:CPV"", ""marketcap"")"),4.124869E7)</f>
        <v>41248690</v>
      </c>
      <c r="J547" s="5"/>
      <c r="K547" s="5"/>
      <c r="L547" s="5"/>
      <c r="M547" s="5"/>
      <c r="N547" s="11" t="s">
        <v>19</v>
      </c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6" t="s">
        <v>1143</v>
      </c>
      <c r="B548" s="6" t="s">
        <v>1144</v>
      </c>
      <c r="C548" s="5" t="s">
        <v>475</v>
      </c>
      <c r="D548" s="7">
        <f>IFERROR(__xludf.DUMMYFUNCTION("GOOGLEFINANCE(""ASX:CQE"", ""price"")"),3.07)</f>
        <v>3.07</v>
      </c>
      <c r="E548" s="8">
        <f>IFERROR(__xludf.DUMMYFUNCTION("GOOGLEFINANCE(""ASX:CQE"", ""closeyest"")"),3.0)</f>
        <v>3</v>
      </c>
      <c r="F548" s="9">
        <f>IFERROR(__xludf.DUMMYFUNCTION("GOOGLEFINANCE(""ASX:CQE"", ""pe"")"),16.12)</f>
        <v>16.12</v>
      </c>
      <c r="G548" s="9">
        <f>IFERROR(__xludf.DUMMYFUNCTION("GOOGLEFINANCE(""ASX:CQE"", ""high52"")"),3.46)</f>
        <v>3.46</v>
      </c>
      <c r="H548" s="9">
        <f>IFERROR(__xludf.DUMMYFUNCTION("GOOGLEFINANCE(""ASX:CQE"", ""low52"")"),2.5)</f>
        <v>2.5</v>
      </c>
      <c r="I548" s="9">
        <f>IFERROR(__xludf.DUMMYFUNCTION("GOOGLEFINANCE(""ASX:CQE"", ""marketcap"")"),1.139303991E9)</f>
        <v>1139303991</v>
      </c>
      <c r="J548" s="5"/>
      <c r="K548" s="5"/>
      <c r="L548" s="5"/>
      <c r="M548" s="5"/>
      <c r="N548" s="10">
        <v>16.12</v>
      </c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6" t="s">
        <v>1145</v>
      </c>
      <c r="B549" s="6" t="s">
        <v>1146</v>
      </c>
      <c r="C549" s="5" t="s">
        <v>418</v>
      </c>
      <c r="D549" s="7">
        <f>IFERROR(__xludf.DUMMYFUNCTION("GOOGLEFINANCE(""ASX:CQR"", ""price"")"),4.05)</f>
        <v>4.05</v>
      </c>
      <c r="E549" s="8">
        <f>IFERROR(__xludf.DUMMYFUNCTION("GOOGLEFINANCE(""ASX:CQR"", ""closeyest"")"),4.02)</f>
        <v>4.02</v>
      </c>
      <c r="F549" s="9">
        <f>IFERROR(__xludf.DUMMYFUNCTION("GOOGLEFINANCE(""ASX:CQR"", ""pe"")"),11.01)</f>
        <v>11.01</v>
      </c>
      <c r="G549" s="9">
        <f>IFERROR(__xludf.DUMMYFUNCTION("GOOGLEFINANCE(""ASX:CQR"", ""high52"")"),4.31)</f>
        <v>4.31</v>
      </c>
      <c r="H549" s="9">
        <f>IFERROR(__xludf.DUMMYFUNCTION("GOOGLEFINANCE(""ASX:CQR"", ""low52"")"),3.08)</f>
        <v>3.08</v>
      </c>
      <c r="I549" s="9">
        <f>IFERROR(__xludf.DUMMYFUNCTION("GOOGLEFINANCE(""ASX:CQR"", ""marketcap"")"),2.35397918E9)</f>
        <v>2353979180</v>
      </c>
      <c r="J549" s="5"/>
      <c r="K549" s="5"/>
      <c r="L549" s="5"/>
      <c r="M549" s="5"/>
      <c r="N549" s="10">
        <v>11.12</v>
      </c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6" t="s">
        <v>1147</v>
      </c>
      <c r="B550" s="6" t="s">
        <v>1148</v>
      </c>
      <c r="C550" s="5" t="s">
        <v>62</v>
      </c>
      <c r="D550" s="7">
        <f>IFERROR(__xludf.DUMMYFUNCTION("GOOGLEFINANCE(""ASX:CQT"", ""price"")"),0.05)</f>
        <v>0.05</v>
      </c>
      <c r="E550" s="8">
        <f>IFERROR(__xludf.DUMMYFUNCTION("GOOGLEFINANCE(""ASX:CQT"", ""closeyest"")"),0.05)</f>
        <v>0.05</v>
      </c>
      <c r="F550" s="5" t="str">
        <f>IFERROR(__xludf.DUMMYFUNCTION("GOOGLEFINANCE(""ASX:CQT"", ""pe"")"),"#N/A")</f>
        <v>#N/A</v>
      </c>
      <c r="G550" s="9">
        <f>IFERROR(__xludf.DUMMYFUNCTION("GOOGLEFINANCE(""ASX:CQT"", ""high52"")"),0.06)</f>
        <v>0.06</v>
      </c>
      <c r="H550" s="9">
        <f>IFERROR(__xludf.DUMMYFUNCTION("GOOGLEFINANCE(""ASX:CQT"", ""low52"")"),0.03)</f>
        <v>0.03</v>
      </c>
      <c r="I550" s="9">
        <f>IFERROR(__xludf.DUMMYFUNCTION("GOOGLEFINANCE(""ASX:CQT"", ""marketcap"")"),3.061892E7)</f>
        <v>30618920</v>
      </c>
      <c r="J550" s="5"/>
      <c r="K550" s="5"/>
      <c r="L550" s="5"/>
      <c r="M550" s="5"/>
      <c r="N550" s="11" t="s">
        <v>19</v>
      </c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6" t="s">
        <v>1149</v>
      </c>
      <c r="B551" s="6" t="s">
        <v>1150</v>
      </c>
      <c r="C551" s="5" t="s">
        <v>18</v>
      </c>
      <c r="D551" s="7">
        <f>IFERROR(__xludf.DUMMYFUNCTION("GOOGLEFINANCE(""ASX:CR1"", ""price"")"),0.16)</f>
        <v>0.16</v>
      </c>
      <c r="E551" s="8">
        <f>IFERROR(__xludf.DUMMYFUNCTION("GOOGLEFINANCE(""ASX:CR1"", ""closeyest"")"),0.16)</f>
        <v>0.16</v>
      </c>
      <c r="F551" s="5" t="str">
        <f>IFERROR(__xludf.DUMMYFUNCTION("GOOGLEFINANCE(""ASX:CR1"", ""pe"")"),"#N/A")</f>
        <v>#N/A</v>
      </c>
      <c r="G551" s="9">
        <f>IFERROR(__xludf.DUMMYFUNCTION("GOOGLEFINANCE(""ASX:CR1"", ""high52"")"),0.27)</f>
        <v>0.27</v>
      </c>
      <c r="H551" s="9">
        <f>IFERROR(__xludf.DUMMYFUNCTION("GOOGLEFINANCE(""ASX:CR1"", ""low52"")"),0.11)</f>
        <v>0.11</v>
      </c>
      <c r="I551" s="9">
        <f>IFERROR(__xludf.DUMMYFUNCTION("GOOGLEFINANCE(""ASX:CR1"", ""marketcap"")"),1.286311E7)</f>
        <v>12863110</v>
      </c>
      <c r="J551" s="5"/>
      <c r="K551" s="5"/>
      <c r="L551" s="5"/>
      <c r="M551" s="5"/>
      <c r="N551" s="11" t="s">
        <v>19</v>
      </c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6" t="s">
        <v>1151</v>
      </c>
      <c r="B552" s="6" t="s">
        <v>1152</v>
      </c>
      <c r="C552" s="5" t="s">
        <v>18</v>
      </c>
      <c r="D552" s="7">
        <f>IFERROR(__xludf.DUMMYFUNCTION("GOOGLEFINANCE(""ASX:CR3"", ""price"")"),0.01)</f>
        <v>0.01</v>
      </c>
      <c r="E552" s="8">
        <f>IFERROR(__xludf.DUMMYFUNCTION("GOOGLEFINANCE(""ASX:CR3"", ""closeyest"")"),0.01)</f>
        <v>0.01</v>
      </c>
      <c r="F552" s="5" t="str">
        <f>IFERROR(__xludf.DUMMYFUNCTION("GOOGLEFINANCE(""ASX:CR3"", ""pe"")"),"#N/A")</f>
        <v>#N/A</v>
      </c>
      <c r="G552" s="9">
        <f>IFERROR(__xludf.DUMMYFUNCTION("GOOGLEFINANCE(""ASX:CR3"", ""high52"")"),0.03)</f>
        <v>0.03</v>
      </c>
      <c r="H552" s="9">
        <f>IFERROR(__xludf.DUMMYFUNCTION("GOOGLEFINANCE(""ASX:CR3"", ""low52"")"),0.01)</f>
        <v>0.01</v>
      </c>
      <c r="I552" s="9">
        <f>IFERROR(__xludf.DUMMYFUNCTION("GOOGLEFINANCE(""ASX:CR3"", ""marketcap"")"),4175171.0)</f>
        <v>4175171</v>
      </c>
      <c r="J552" s="5"/>
      <c r="K552" s="5"/>
      <c r="L552" s="5"/>
      <c r="M552" s="5"/>
      <c r="N552" s="11" t="s">
        <v>19</v>
      </c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6" t="s">
        <v>1153</v>
      </c>
      <c r="B553" s="6" t="s">
        <v>1154</v>
      </c>
      <c r="C553" s="5" t="s">
        <v>961</v>
      </c>
      <c r="D553" s="7">
        <f>IFERROR(__xludf.DUMMYFUNCTION("GOOGLEFINANCE(""ASX:CR9"", ""price"")"),0.01)</f>
        <v>0.01</v>
      </c>
      <c r="E553" s="8">
        <f>IFERROR(__xludf.DUMMYFUNCTION("GOOGLEFINANCE(""ASX:CR9"", ""closeyest"")"),0.01)</f>
        <v>0.01</v>
      </c>
      <c r="F553" s="5" t="str">
        <f>IFERROR(__xludf.DUMMYFUNCTION("GOOGLEFINANCE(""ASX:CR9"", ""pe"")"),"#N/A")</f>
        <v>#N/A</v>
      </c>
      <c r="G553" s="9">
        <f>IFERROR(__xludf.DUMMYFUNCTION("GOOGLEFINANCE(""ASX:CR9"", ""high52"")"),0.01)</f>
        <v>0.01</v>
      </c>
      <c r="H553" s="9">
        <f>IFERROR(__xludf.DUMMYFUNCTION("GOOGLEFINANCE(""ASX:CR9"", ""low52"")"),0.0)</f>
        <v>0</v>
      </c>
      <c r="I553" s="9">
        <f>IFERROR(__xludf.DUMMYFUNCTION("GOOGLEFINANCE(""ASX:CR9"", ""marketcap"")"),6618801.0)</f>
        <v>6618801</v>
      </c>
      <c r="J553" s="5"/>
      <c r="K553" s="5"/>
      <c r="L553" s="5"/>
      <c r="M553" s="5"/>
      <c r="N553" s="11" t="s">
        <v>19</v>
      </c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6" t="s">
        <v>1155</v>
      </c>
      <c r="B554" s="6" t="s">
        <v>1156</v>
      </c>
      <c r="C554" s="5" t="s">
        <v>961</v>
      </c>
      <c r="D554" s="7">
        <f>IFERROR(__xludf.DUMMYFUNCTION("GOOGLEFINANCE(""ASX:CRB"", ""price"")"),0.01)</f>
        <v>0.01</v>
      </c>
      <c r="E554" s="8">
        <f>IFERROR(__xludf.DUMMYFUNCTION("GOOGLEFINANCE(""ASX:CRB"", ""closeyest"")"),0.01)</f>
        <v>0.01</v>
      </c>
      <c r="F554" s="5" t="str">
        <f>IFERROR(__xludf.DUMMYFUNCTION("GOOGLEFINANCE(""ASX:CRB"", ""pe"")"),"#N/A")</f>
        <v>#N/A</v>
      </c>
      <c r="G554" s="9">
        <f>IFERROR(__xludf.DUMMYFUNCTION("GOOGLEFINANCE(""ASX:CRB"", ""high52"")"),0.01)</f>
        <v>0.01</v>
      </c>
      <c r="H554" s="9">
        <f>IFERROR(__xludf.DUMMYFUNCTION("GOOGLEFINANCE(""ASX:CRB"", ""low52"")"),0.0)</f>
        <v>0</v>
      </c>
      <c r="I554" s="9">
        <f>IFERROR(__xludf.DUMMYFUNCTION("GOOGLEFINANCE(""ASX:CRB"", ""marketcap"")"),3575598.0)</f>
        <v>3575598</v>
      </c>
      <c r="J554" s="9">
        <v>0.042</v>
      </c>
      <c r="K554" s="9">
        <v>0.043</v>
      </c>
      <c r="L554" s="9">
        <v>0.05</v>
      </c>
      <c r="M554" s="9">
        <v>0.015</v>
      </c>
      <c r="N554" s="11" t="s">
        <v>19</v>
      </c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6" t="s">
        <v>1157</v>
      </c>
      <c r="B555" s="6" t="s">
        <v>1158</v>
      </c>
      <c r="C555" s="5" t="s">
        <v>78</v>
      </c>
      <c r="D555" s="7">
        <f>IFERROR(__xludf.DUMMYFUNCTION("GOOGLEFINANCE(""ASX:CRD"", ""price"")"),0.59)</f>
        <v>0.59</v>
      </c>
      <c r="E555" s="8">
        <f>IFERROR(__xludf.DUMMYFUNCTION("GOOGLEFINANCE(""ASX:CRD"", ""closeyest"")"),0.61)</f>
        <v>0.61</v>
      </c>
      <c r="F555" s="5" t="str">
        <f>IFERROR(__xludf.DUMMYFUNCTION("GOOGLEFINANCE(""ASX:CRD"", ""pe"")"),"#N/A")</f>
        <v>#N/A</v>
      </c>
      <c r="G555" s="9">
        <f>IFERROR(__xludf.DUMMYFUNCTION("GOOGLEFINANCE(""ASX:CRD"", ""high52"")"),0.9)</f>
        <v>0.9</v>
      </c>
      <c r="H555" s="9">
        <f>IFERROR(__xludf.DUMMYFUNCTION("GOOGLEFINANCE(""ASX:CRD"", ""low52"")"),0.55)</f>
        <v>0.55</v>
      </c>
      <c r="I555" s="9">
        <f>IFERROR(__xludf.DUMMYFUNCTION("GOOGLEFINANCE(""ASX:CRD"", ""marketcap"")"),1.12074997E8)</f>
        <v>112074997</v>
      </c>
      <c r="J555" s="5"/>
      <c r="K555" s="5"/>
      <c r="L555" s="5"/>
      <c r="M555" s="5"/>
      <c r="N555" s="11" t="s">
        <v>19</v>
      </c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6" t="s">
        <v>1159</v>
      </c>
      <c r="B556" s="6" t="s">
        <v>1160</v>
      </c>
      <c r="C556" s="5" t="s">
        <v>36</v>
      </c>
      <c r="D556" s="7">
        <f>IFERROR(__xludf.DUMMYFUNCTION("GOOGLEFINANCE(""ASX:CRED"", ""price"")"),23.07)</f>
        <v>23.07</v>
      </c>
      <c r="E556" s="8">
        <f>IFERROR(__xludf.DUMMYFUNCTION("GOOGLEFINANCE(""ASX:CRED"", ""closeyest"")"),23.05)</f>
        <v>23.05</v>
      </c>
      <c r="F556" s="5" t="str">
        <f>IFERROR(__xludf.DUMMYFUNCTION("GOOGLEFINANCE(""ASX:CRED"", ""pe"")"),"#N/A")</f>
        <v>#N/A</v>
      </c>
      <c r="G556" s="9">
        <f>IFERROR(__xludf.DUMMYFUNCTION("GOOGLEFINANCE(""ASX:CRED"", ""high52"")"),24.04)</f>
        <v>24.04</v>
      </c>
      <c r="H556" s="9">
        <f>IFERROR(__xludf.DUMMYFUNCTION("GOOGLEFINANCE(""ASX:CRED"", ""low52"")"),22.71)</f>
        <v>22.71</v>
      </c>
      <c r="I556" s="9" t="str">
        <f>IFERROR(__xludf.DUMMYFUNCTION("GOOGLEFINANCE(""ASX:CRED"", ""marketcap"")"),"#N/A")</f>
        <v>#N/A</v>
      </c>
      <c r="J556" s="5"/>
      <c r="K556" s="5"/>
      <c r="L556" s="5"/>
      <c r="M556" s="5"/>
      <c r="N556" s="11" t="s">
        <v>19</v>
      </c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6" t="s">
        <v>1161</v>
      </c>
      <c r="B557" s="6" t="s">
        <v>1162</v>
      </c>
      <c r="C557" s="5" t="s">
        <v>18</v>
      </c>
      <c r="D557" s="7">
        <f>IFERROR(__xludf.DUMMYFUNCTION("GOOGLEFINANCE(""ASX:CRI"", ""price"")"),0.03)</f>
        <v>0.03</v>
      </c>
      <c r="E557" s="8">
        <f>IFERROR(__xludf.DUMMYFUNCTION("GOOGLEFINANCE(""ASX:CRI"", ""closeyest"")"),0.03)</f>
        <v>0.03</v>
      </c>
      <c r="F557" s="5" t="str">
        <f>IFERROR(__xludf.DUMMYFUNCTION("GOOGLEFINANCE(""ASX:CRI"", ""pe"")"),"#N/A")</f>
        <v>#N/A</v>
      </c>
      <c r="G557" s="9">
        <f>IFERROR(__xludf.DUMMYFUNCTION("GOOGLEFINANCE(""ASX:CRI"", ""high52"")"),0.05)</f>
        <v>0.05</v>
      </c>
      <c r="H557" s="9">
        <f>IFERROR(__xludf.DUMMYFUNCTION("GOOGLEFINANCE(""ASX:CRI"", ""low52"")"),0.01)</f>
        <v>0.01</v>
      </c>
      <c r="I557" s="9">
        <f>IFERROR(__xludf.DUMMYFUNCTION("GOOGLEFINANCE(""ASX:CRI"", ""marketcap"")"),7.0629778E7)</f>
        <v>70629778</v>
      </c>
      <c r="J557" s="5"/>
      <c r="K557" s="5"/>
      <c r="L557" s="5"/>
      <c r="M557" s="5"/>
      <c r="N557" s="11" t="s">
        <v>19</v>
      </c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6" t="s">
        <v>1163</v>
      </c>
      <c r="B558" s="6" t="s">
        <v>1164</v>
      </c>
      <c r="C558" s="5" t="s">
        <v>212</v>
      </c>
      <c r="D558" s="7">
        <f>IFERROR(__xludf.DUMMYFUNCTION("GOOGLEFINANCE(""ASX:CRN"", ""price"")"),0.38)</f>
        <v>0.38</v>
      </c>
      <c r="E558" s="8">
        <f>IFERROR(__xludf.DUMMYFUNCTION("GOOGLEFINANCE(""ASX:CRN"", ""closeyest"")"),0.37)</f>
        <v>0.37</v>
      </c>
      <c r="F558" s="5" t="str">
        <f>IFERROR(__xludf.DUMMYFUNCTION("GOOGLEFINANCE(""ASX:CRN"", ""pe"")"),"#N/A")</f>
        <v>#N/A</v>
      </c>
      <c r="G558" s="9">
        <f>IFERROR(__xludf.DUMMYFUNCTION("GOOGLEFINANCE(""ASX:CRN"", ""high52"")"),0.79)</f>
        <v>0.79</v>
      </c>
      <c r="H558" s="9">
        <f>IFERROR(__xludf.DUMMYFUNCTION("GOOGLEFINANCE(""ASX:CRN"", ""low52"")"),0.1)</f>
        <v>0.1</v>
      </c>
      <c r="I558" s="9">
        <f>IFERROR(__xludf.DUMMYFUNCTION("GOOGLEFINANCE(""ASX:CRN"", ""marketcap"")"),6.28669875E8)</f>
        <v>628669875</v>
      </c>
      <c r="J558" s="5"/>
      <c r="K558" s="5"/>
      <c r="L558" s="5"/>
      <c r="M558" s="5"/>
      <c r="N558" s="11" t="s">
        <v>19</v>
      </c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6" t="s">
        <v>1163</v>
      </c>
      <c r="B559" s="6" t="s">
        <v>1164</v>
      </c>
      <c r="C559" s="5" t="s">
        <v>212</v>
      </c>
      <c r="D559" s="7">
        <f>IFERROR(__xludf.DUMMYFUNCTION("GOOGLEFINANCE(""ASX:CRN"", ""price"")"),0.38)</f>
        <v>0.38</v>
      </c>
      <c r="E559" s="8">
        <f>IFERROR(__xludf.DUMMYFUNCTION("GOOGLEFINANCE(""ASX:CRN"", ""closeyest"")"),0.37)</f>
        <v>0.37</v>
      </c>
      <c r="F559" s="5" t="str">
        <f>IFERROR(__xludf.DUMMYFUNCTION("GOOGLEFINANCE(""ASX:CRN"", ""pe"")"),"#N/A")</f>
        <v>#N/A</v>
      </c>
      <c r="G559" s="9">
        <f>IFERROR(__xludf.DUMMYFUNCTION("GOOGLEFINANCE(""ASX:CRN"", ""high52"")"),0.79)</f>
        <v>0.79</v>
      </c>
      <c r="H559" s="9">
        <f>IFERROR(__xludf.DUMMYFUNCTION("GOOGLEFINANCE(""ASX:CRN"", ""low52"")"),0.1)</f>
        <v>0.1</v>
      </c>
      <c r="I559" s="9">
        <f>IFERROR(__xludf.DUMMYFUNCTION("GOOGLEFINANCE(""ASX:CRN"", ""marketcap"")"),6.28669875E8)</f>
        <v>628669875</v>
      </c>
      <c r="J559" s="5"/>
      <c r="K559" s="5"/>
      <c r="L559" s="5"/>
      <c r="M559" s="5"/>
      <c r="N559" s="11" t="s">
        <v>19</v>
      </c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6" t="s">
        <v>1165</v>
      </c>
      <c r="B560" s="6" t="s">
        <v>1166</v>
      </c>
      <c r="C560" s="5" t="s">
        <v>18</v>
      </c>
      <c r="D560" s="7">
        <f>IFERROR(__xludf.DUMMYFUNCTION("GOOGLEFINANCE(""ASX:CRR"", ""price"")"),0.01)</f>
        <v>0.01</v>
      </c>
      <c r="E560" s="8">
        <f>IFERROR(__xludf.DUMMYFUNCTION("GOOGLEFINANCE(""ASX:CRR"", ""closeyest"")"),0.01)</f>
        <v>0.01</v>
      </c>
      <c r="F560" s="5" t="str">
        <f>IFERROR(__xludf.DUMMYFUNCTION("GOOGLEFINANCE(""ASX:CRR"", ""pe"")"),"#N/A")</f>
        <v>#N/A</v>
      </c>
      <c r="G560" s="9">
        <f>IFERROR(__xludf.DUMMYFUNCTION("GOOGLEFINANCE(""ASX:CRR"", ""high52"")"),0.01)</f>
        <v>0.01</v>
      </c>
      <c r="H560" s="9">
        <f>IFERROR(__xludf.DUMMYFUNCTION("GOOGLEFINANCE(""ASX:CRR"", ""low52"")"),0.0)</f>
        <v>0</v>
      </c>
      <c r="I560" s="9">
        <f>IFERROR(__xludf.DUMMYFUNCTION("GOOGLEFINANCE(""ASX:CRR"", ""marketcap"")"),2.7077269E7)</f>
        <v>27077269</v>
      </c>
      <c r="J560" s="5"/>
      <c r="K560" s="5"/>
      <c r="L560" s="5"/>
      <c r="M560" s="5"/>
      <c r="N560" s="11" t="s">
        <v>19</v>
      </c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6" t="s">
        <v>1167</v>
      </c>
      <c r="B561" s="6" t="s">
        <v>1168</v>
      </c>
      <c r="C561" s="5" t="s">
        <v>18</v>
      </c>
      <c r="D561" s="7">
        <f>IFERROR(__xludf.DUMMYFUNCTION("GOOGLEFINANCE(""ASX:CRS"", ""price"")"),0.11)</f>
        <v>0.11</v>
      </c>
      <c r="E561" s="8">
        <f>IFERROR(__xludf.DUMMYFUNCTION("GOOGLEFINANCE(""ASX:CRS"", ""closeyest"")"),0.11)</f>
        <v>0.11</v>
      </c>
      <c r="F561" s="5" t="str">
        <f>IFERROR(__xludf.DUMMYFUNCTION("GOOGLEFINANCE(""ASX:CRS"", ""pe"")"),"#N/A")</f>
        <v>#N/A</v>
      </c>
      <c r="G561" s="9">
        <f>IFERROR(__xludf.DUMMYFUNCTION("GOOGLEFINANCE(""ASX:CRS"", ""high52"")"),0.16)</f>
        <v>0.16</v>
      </c>
      <c r="H561" s="9">
        <f>IFERROR(__xludf.DUMMYFUNCTION("GOOGLEFINANCE(""ASX:CRS"", ""low52"")"),0.02)</f>
        <v>0.02</v>
      </c>
      <c r="I561" s="9">
        <f>IFERROR(__xludf.DUMMYFUNCTION("GOOGLEFINANCE(""ASX:CRS"", ""marketcap"")"),7.2577299E7)</f>
        <v>72577299</v>
      </c>
      <c r="J561" s="5"/>
      <c r="K561" s="5"/>
      <c r="L561" s="5"/>
      <c r="M561" s="5"/>
      <c r="N561" s="11" t="s">
        <v>19</v>
      </c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6" t="s">
        <v>1169</v>
      </c>
      <c r="B562" s="6" t="s">
        <v>1170</v>
      </c>
      <c r="C562" s="5" t="s">
        <v>36</v>
      </c>
      <c r="D562" s="7">
        <f>IFERROR(__xludf.DUMMYFUNCTION("GOOGLEFINANCE(""ASX:CRYP"", ""price"")"),7.54)</f>
        <v>7.54</v>
      </c>
      <c r="E562" s="8">
        <f>IFERROR(__xludf.DUMMYFUNCTION("GOOGLEFINANCE(""ASX:CRYP"", ""closeyest"")"),7.58)</f>
        <v>7.58</v>
      </c>
      <c r="F562" s="5" t="str">
        <f>IFERROR(__xludf.DUMMYFUNCTION("GOOGLEFINANCE(""ASX:CRYP"", ""pe"")"),"#N/A")</f>
        <v>#N/A</v>
      </c>
      <c r="G562" s="9">
        <f>IFERROR(__xludf.DUMMYFUNCTION("GOOGLEFINANCE(""ASX:CRYP"", ""high52"")"),10.81)</f>
        <v>10.81</v>
      </c>
      <c r="H562" s="9">
        <f>IFERROR(__xludf.DUMMYFUNCTION("GOOGLEFINANCE(""ASX:CRYP"", ""low52"")"),4.32)</f>
        <v>4.32</v>
      </c>
      <c r="I562" s="9" t="str">
        <f>IFERROR(__xludf.DUMMYFUNCTION("GOOGLEFINANCE(""ASX:CRYP"", ""marketcap"")"),"#N/A")</f>
        <v>#N/A</v>
      </c>
      <c r="J562" s="5"/>
      <c r="K562" s="5"/>
      <c r="L562" s="5"/>
      <c r="M562" s="5"/>
      <c r="N562" s="11" t="s">
        <v>19</v>
      </c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6" t="s">
        <v>1171</v>
      </c>
      <c r="B563" s="6" t="s">
        <v>1172</v>
      </c>
      <c r="C563" s="5" t="s">
        <v>111</v>
      </c>
      <c r="D563" s="7">
        <f>IFERROR(__xludf.DUMMYFUNCTION("GOOGLEFINANCE(""ASX:CSC"", ""price"")"),15.38)</f>
        <v>15.38</v>
      </c>
      <c r="E563" s="8">
        <f>IFERROR(__xludf.DUMMYFUNCTION("GOOGLEFINANCE(""ASX:CSC"", ""closeyest"")"),15.89)</f>
        <v>15.89</v>
      </c>
      <c r="F563" s="5" t="str">
        <f>IFERROR(__xludf.DUMMYFUNCTION("GOOGLEFINANCE(""ASX:CSC"", ""pe"")"),"#N/A")</f>
        <v>#N/A</v>
      </c>
      <c r="G563" s="9">
        <f>IFERROR(__xludf.DUMMYFUNCTION("GOOGLEFINANCE(""ASX:CSC"", ""high52"")"),15.89)</f>
        <v>15.89</v>
      </c>
      <c r="H563" s="9">
        <f>IFERROR(__xludf.DUMMYFUNCTION("GOOGLEFINANCE(""ASX:CSC"", ""low52"")"),5.8)</f>
        <v>5.8</v>
      </c>
      <c r="I563" s="9">
        <f>IFERROR(__xludf.DUMMYFUNCTION("GOOGLEFINANCE(""ASX:CSC"", ""marketcap"")"),1.1324659535E10)</f>
        <v>11324659535</v>
      </c>
      <c r="J563" s="5"/>
      <c r="K563" s="5"/>
      <c r="L563" s="5"/>
      <c r="M563" s="5"/>
      <c r="N563" s="11" t="s">
        <v>19</v>
      </c>
      <c r="O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6" t="s">
        <v>1173</v>
      </c>
      <c r="B564" s="6" t="s">
        <v>1174</v>
      </c>
      <c r="C564" s="5" t="s">
        <v>174</v>
      </c>
      <c r="D564" s="7">
        <f>IFERROR(__xludf.DUMMYFUNCTION("GOOGLEFINANCE(""ASX:CSL"", ""price"")"),170.0)</f>
        <v>170</v>
      </c>
      <c r="E564" s="8">
        <f>IFERROR(__xludf.DUMMYFUNCTION("GOOGLEFINANCE(""ASX:CSL"", ""closeyest"")"),168.29)</f>
        <v>168.29</v>
      </c>
      <c r="F564" s="9">
        <f>IFERROR(__xludf.DUMMYFUNCTION("GOOGLEFINANCE(""ASX:CSL"", ""pe"")"),18.43)</f>
        <v>18.43</v>
      </c>
      <c r="G564" s="9">
        <f>IFERROR(__xludf.DUMMYFUNCTION("GOOGLEFINANCE(""ASX:CSL"", ""high52"")"),290.32)</f>
        <v>290.32</v>
      </c>
      <c r="H564" s="9">
        <f>IFERROR(__xludf.DUMMYFUNCTION("GOOGLEFINANCE(""ASX:CSL"", ""low52"")"),168.0)</f>
        <v>168</v>
      </c>
      <c r="I564" s="9">
        <f>IFERROR(__xludf.DUMMYFUNCTION("GOOGLEFINANCE(""ASX:CSL"", ""marketcap"")"),8.2475721E10)</f>
        <v>82475721000</v>
      </c>
      <c r="J564" s="5"/>
      <c r="K564" s="5"/>
      <c r="L564" s="5"/>
      <c r="M564" s="5"/>
      <c r="N564" s="10">
        <v>18.64</v>
      </c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6" t="s">
        <v>1175</v>
      </c>
      <c r="B565" s="6" t="s">
        <v>1176</v>
      </c>
      <c r="C565" s="5" t="s">
        <v>18</v>
      </c>
      <c r="D565" s="7">
        <f>IFERROR(__xludf.DUMMYFUNCTION("GOOGLEFINANCE(""ASX:CST"", ""price"")"),0.13)</f>
        <v>0.13</v>
      </c>
      <c r="E565" s="8">
        <f>IFERROR(__xludf.DUMMYFUNCTION("GOOGLEFINANCE(""ASX:CST"", ""closeyest"")"),0.13)</f>
        <v>0.13</v>
      </c>
      <c r="F565" s="5" t="str">
        <f>IFERROR(__xludf.DUMMYFUNCTION("GOOGLEFINANCE(""ASX:CST"", ""pe"")"),"#N/A")</f>
        <v>#N/A</v>
      </c>
      <c r="G565" s="9">
        <f>IFERROR(__xludf.DUMMYFUNCTION("GOOGLEFINANCE(""ASX:CST"", ""high52"")"),0.14)</f>
        <v>0.14</v>
      </c>
      <c r="H565" s="9">
        <f>IFERROR(__xludf.DUMMYFUNCTION("GOOGLEFINANCE(""ASX:CST"", ""low52"")"),0.05)</f>
        <v>0.05</v>
      </c>
      <c r="I565" s="9">
        <f>IFERROR(__xludf.DUMMYFUNCTION("GOOGLEFINANCE(""ASX:CST"", ""marketcap"")"),3.8218568E7)</f>
        <v>38218568</v>
      </c>
      <c r="J565" s="5"/>
      <c r="K565" s="5"/>
      <c r="L565" s="5"/>
      <c r="M565" s="5"/>
      <c r="N565" s="11" t="s">
        <v>19</v>
      </c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6" t="s">
        <v>1177</v>
      </c>
      <c r="B566" s="6" t="s">
        <v>1178</v>
      </c>
      <c r="C566" s="5" t="s">
        <v>276</v>
      </c>
      <c r="D566" s="7">
        <f>IFERROR(__xludf.DUMMYFUNCTION("GOOGLEFINANCE(""ASX:CSX"", ""price"")"),0.67)</f>
        <v>0.67</v>
      </c>
      <c r="E566" s="8">
        <f>IFERROR(__xludf.DUMMYFUNCTION("GOOGLEFINANCE(""ASX:CSX"", ""closeyest"")"),0.67)</f>
        <v>0.67</v>
      </c>
      <c r="F566" s="5" t="str">
        <f>IFERROR(__xludf.DUMMYFUNCTION("GOOGLEFINANCE(""ASX:CSX"", ""pe"")"),"#N/A")</f>
        <v>#N/A</v>
      </c>
      <c r="G566" s="9">
        <f>IFERROR(__xludf.DUMMYFUNCTION("GOOGLEFINANCE(""ASX:CSX"", ""high52"")"),0.88)</f>
        <v>0.88</v>
      </c>
      <c r="H566" s="9">
        <f>IFERROR(__xludf.DUMMYFUNCTION("GOOGLEFINANCE(""ASX:CSX"", ""low52"")"),0.37)</f>
        <v>0.37</v>
      </c>
      <c r="I566" s="9">
        <f>IFERROR(__xludf.DUMMYFUNCTION("GOOGLEFINANCE(""ASX:CSX"", ""marketcap"")"),5.2123732E7)</f>
        <v>52123732</v>
      </c>
      <c r="J566" s="5"/>
      <c r="K566" s="5"/>
      <c r="L566" s="5"/>
      <c r="M566" s="5"/>
      <c r="N566" s="11" t="s">
        <v>19</v>
      </c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6" t="s">
        <v>1179</v>
      </c>
      <c r="B567" s="6" t="s">
        <v>1180</v>
      </c>
      <c r="C567" s="5" t="s">
        <v>184</v>
      </c>
      <c r="D567" s="7">
        <f>IFERROR(__xludf.DUMMYFUNCTION("GOOGLEFINANCE(""ASX:CT1"", ""price"")"),0.0)</f>
        <v>0</v>
      </c>
      <c r="E567" s="8">
        <f>IFERROR(__xludf.DUMMYFUNCTION("GOOGLEFINANCE(""ASX:CT1"", ""closeyest"")"),0.0)</f>
        <v>0</v>
      </c>
      <c r="F567" s="9">
        <f>IFERROR(__xludf.DUMMYFUNCTION("GOOGLEFINANCE(""ASX:CT1"", ""pe"")"),200.0)</f>
        <v>200</v>
      </c>
      <c r="G567" s="9">
        <f>IFERROR(__xludf.DUMMYFUNCTION("GOOGLEFINANCE(""ASX:CT1"", ""high52"")"),0.0)</f>
        <v>0</v>
      </c>
      <c r="H567" s="9">
        <f>IFERROR(__xludf.DUMMYFUNCTION("GOOGLEFINANCE(""ASX:CT1"", ""low52"")"),0.0)</f>
        <v>0</v>
      </c>
      <c r="I567" s="9">
        <f>IFERROR(__xludf.DUMMYFUNCTION("GOOGLEFINANCE(""ASX:CT1"", ""marketcap"")"),1471200.0)</f>
        <v>1471200</v>
      </c>
      <c r="J567" s="12">
        <v>0.002</v>
      </c>
      <c r="K567" s="12">
        <v>0.002</v>
      </c>
      <c r="L567" s="12">
        <v>0.002</v>
      </c>
      <c r="M567" s="12">
        <v>0.001</v>
      </c>
      <c r="N567" s="10">
        <v>200.0</v>
      </c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6" t="s">
        <v>1181</v>
      </c>
      <c r="B568" s="6" t="s">
        <v>1182</v>
      </c>
      <c r="C568" s="5" t="s">
        <v>670</v>
      </c>
      <c r="D568" s="7">
        <f>IFERROR(__xludf.DUMMYFUNCTION("GOOGLEFINANCE(""ASX:CTD"", ""price"")"),16.07)</f>
        <v>16.07</v>
      </c>
      <c r="E568" s="8">
        <f>IFERROR(__xludf.DUMMYFUNCTION("GOOGLEFINANCE(""ASX:CTD"", ""closeyest"")"),16.07)</f>
        <v>16.07</v>
      </c>
      <c r="F568" s="9" t="str">
        <f>IFERROR(__xludf.DUMMYFUNCTION("GOOGLEFINANCE(""ASX:CTD"", ""pe"")"),"#N/A")</f>
        <v>#N/A</v>
      </c>
      <c r="G568" s="9">
        <f>IFERROR(__xludf.DUMMYFUNCTION("GOOGLEFINANCE(""ASX:CTD"", ""high52"")"),17.87)</f>
        <v>17.87</v>
      </c>
      <c r="H568" s="9">
        <f>IFERROR(__xludf.DUMMYFUNCTION("GOOGLEFINANCE(""ASX:CTD"", ""low52"")"),11.14)</f>
        <v>11.14</v>
      </c>
      <c r="I568" s="9">
        <f>IFERROR(__xludf.DUMMYFUNCTION("GOOGLEFINANCE(""ASX:CTD"", ""marketcap"")"),2.351455E9)</f>
        <v>2351455000</v>
      </c>
      <c r="J568" s="5"/>
      <c r="K568" s="5"/>
      <c r="L568" s="5"/>
      <c r="M568" s="5"/>
      <c r="N568" s="10">
        <v>36.65</v>
      </c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6" t="s">
        <v>1183</v>
      </c>
      <c r="B569" s="6" t="s">
        <v>1184</v>
      </c>
      <c r="C569" s="5" t="s">
        <v>164</v>
      </c>
      <c r="D569" s="7">
        <f>IFERROR(__xludf.DUMMYFUNCTION("GOOGLEFINANCE(""ASX:CTE"", ""price"")"),1.0)</f>
        <v>1</v>
      </c>
      <c r="E569" s="8">
        <f>IFERROR(__xludf.DUMMYFUNCTION("GOOGLEFINANCE(""ASX:CTE"", ""closeyest"")"),1.0)</f>
        <v>1</v>
      </c>
      <c r="F569" s="9">
        <f>IFERROR(__xludf.DUMMYFUNCTION("GOOGLEFINANCE(""ASX:CTE"", ""pe"")"),26.44)</f>
        <v>26.44</v>
      </c>
      <c r="G569" s="9">
        <f>IFERROR(__xludf.DUMMYFUNCTION("GOOGLEFINANCE(""ASX:CTE"", ""high52"")"),1.3)</f>
        <v>1.3</v>
      </c>
      <c r="H569" s="9">
        <f>IFERROR(__xludf.DUMMYFUNCTION("GOOGLEFINANCE(""ASX:CTE"", ""low52"")"),0.66)</f>
        <v>0.66</v>
      </c>
      <c r="I569" s="9">
        <f>IFERROR(__xludf.DUMMYFUNCTION("GOOGLEFINANCE(""ASX:CTE"", ""marketcap"")"),4.880956E7)</f>
        <v>48809560</v>
      </c>
      <c r="J569" s="5"/>
      <c r="K569" s="5"/>
      <c r="L569" s="5"/>
      <c r="M569" s="5"/>
      <c r="N569" s="10">
        <v>26.44</v>
      </c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6" t="s">
        <v>1185</v>
      </c>
      <c r="B570" s="6" t="s">
        <v>1186</v>
      </c>
      <c r="C570" s="5" t="s">
        <v>18</v>
      </c>
      <c r="D570" s="7">
        <f>IFERROR(__xludf.DUMMYFUNCTION("GOOGLEFINANCE(""ASX:CTM"", ""price"")"),0.64)</f>
        <v>0.64</v>
      </c>
      <c r="E570" s="8">
        <f>IFERROR(__xludf.DUMMYFUNCTION("GOOGLEFINANCE(""ASX:CTM"", ""closeyest"")"),0.6)</f>
        <v>0.6</v>
      </c>
      <c r="F570" s="5" t="str">
        <f>IFERROR(__xludf.DUMMYFUNCTION("GOOGLEFINANCE(""ASX:CTM"", ""pe"")"),"#N/A")</f>
        <v>#N/A</v>
      </c>
      <c r="G570" s="9">
        <f>IFERROR(__xludf.DUMMYFUNCTION("GOOGLEFINANCE(""ASX:CTM"", ""high52"")"),0.67)</f>
        <v>0.67</v>
      </c>
      <c r="H570" s="9">
        <f>IFERROR(__xludf.DUMMYFUNCTION("GOOGLEFINANCE(""ASX:CTM"", ""low52"")"),0.26)</f>
        <v>0.26</v>
      </c>
      <c r="I570" s="9">
        <f>IFERROR(__xludf.DUMMYFUNCTION("GOOGLEFINANCE(""ASX:CTM"", ""marketcap"")"),3.60209719E8)</f>
        <v>360209719</v>
      </c>
      <c r="J570" s="5"/>
      <c r="K570" s="5"/>
      <c r="L570" s="5"/>
      <c r="M570" s="5"/>
      <c r="N570" s="11" t="s">
        <v>19</v>
      </c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6" t="s">
        <v>1187</v>
      </c>
      <c r="B571" s="6" t="s">
        <v>1188</v>
      </c>
      <c r="C571" s="5" t="s">
        <v>88</v>
      </c>
      <c r="D571" s="7">
        <f>IFERROR(__xludf.DUMMYFUNCTION("GOOGLEFINANCE(""ASX:CTO"", ""price"")"),0.02)</f>
        <v>0.02</v>
      </c>
      <c r="E571" s="8">
        <f>IFERROR(__xludf.DUMMYFUNCTION("GOOGLEFINANCE(""ASX:CTO"", ""closeyest"")"),0.02)</f>
        <v>0.02</v>
      </c>
      <c r="F571" s="5" t="str">
        <f>IFERROR(__xludf.DUMMYFUNCTION("GOOGLEFINANCE(""ASX:CTO"", ""pe"")"),"#N/A")</f>
        <v>#N/A</v>
      </c>
      <c r="G571" s="9">
        <f>IFERROR(__xludf.DUMMYFUNCTION("GOOGLEFINANCE(""ASX:CTO"", ""high52"")"),0.02)</f>
        <v>0.02</v>
      </c>
      <c r="H571" s="9">
        <f>IFERROR(__xludf.DUMMYFUNCTION("GOOGLEFINANCE(""ASX:CTO"", ""low52"")"),0.0)</f>
        <v>0</v>
      </c>
      <c r="I571" s="9">
        <f>IFERROR(__xludf.DUMMYFUNCTION("GOOGLEFINANCE(""ASX:CTO"", ""marketcap"")"),4.0800002E7)</f>
        <v>40800002</v>
      </c>
      <c r="J571" s="9">
        <v>7.66</v>
      </c>
      <c r="K571" s="9">
        <v>7.66</v>
      </c>
      <c r="L571" s="9">
        <v>8.11</v>
      </c>
      <c r="M571" s="9">
        <v>6.76</v>
      </c>
      <c r="N571" s="11" t="s">
        <v>19</v>
      </c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6" t="s">
        <v>1189</v>
      </c>
      <c r="B572" s="6" t="s">
        <v>1190</v>
      </c>
      <c r="C572" s="5" t="s">
        <v>78</v>
      </c>
      <c r="D572" s="7">
        <f>IFERROR(__xludf.DUMMYFUNCTION("GOOGLEFINANCE(""ASX:CTP"", ""price"")"),0.06)</f>
        <v>0.06</v>
      </c>
      <c r="E572" s="8">
        <f>IFERROR(__xludf.DUMMYFUNCTION("GOOGLEFINANCE(""ASX:CTP"", ""closeyest"")"),0.06)</f>
        <v>0.06</v>
      </c>
      <c r="F572" s="9">
        <f>IFERROR(__xludf.DUMMYFUNCTION("GOOGLEFINANCE(""ASX:CTP"", ""pe"")"),6.26)</f>
        <v>6.26</v>
      </c>
      <c r="G572" s="9">
        <f>IFERROR(__xludf.DUMMYFUNCTION("GOOGLEFINANCE(""ASX:CTP"", ""high52"")"),0.07)</f>
        <v>0.07</v>
      </c>
      <c r="H572" s="9">
        <f>IFERROR(__xludf.DUMMYFUNCTION("GOOGLEFINANCE(""ASX:CTP"", ""low52"")"),0.05)</f>
        <v>0.05</v>
      </c>
      <c r="I572" s="9">
        <f>IFERROR(__xludf.DUMMYFUNCTION("GOOGLEFINANCE(""ASX:CTP"", ""marketcap"")"),4.9795333E7)</f>
        <v>49795333</v>
      </c>
      <c r="J572" s="5"/>
      <c r="K572" s="5"/>
      <c r="L572" s="5"/>
      <c r="M572" s="5"/>
      <c r="N572" s="10">
        <v>6.06</v>
      </c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6" t="s">
        <v>1191</v>
      </c>
      <c r="B573" s="6" t="s">
        <v>1192</v>
      </c>
      <c r="C573" s="5" t="s">
        <v>164</v>
      </c>
      <c r="D573" s="7">
        <f>IFERROR(__xludf.DUMMYFUNCTION("GOOGLEFINANCE(""ASX:CTQ"", ""price"")"),0.01)</f>
        <v>0.01</v>
      </c>
      <c r="E573" s="8">
        <f>IFERROR(__xludf.DUMMYFUNCTION("GOOGLEFINANCE(""ASX:CTQ"", ""closeyest"")"),0.01)</f>
        <v>0.01</v>
      </c>
      <c r="F573" s="9">
        <f>IFERROR(__xludf.DUMMYFUNCTION("GOOGLEFINANCE(""ASX:CTQ"", ""pe"")"),50.0)</f>
        <v>50</v>
      </c>
      <c r="G573" s="9">
        <f>IFERROR(__xludf.DUMMYFUNCTION("GOOGLEFINANCE(""ASX:CTQ"", ""high52"")"),0.02)</f>
        <v>0.02</v>
      </c>
      <c r="H573" s="9">
        <f>IFERROR(__xludf.DUMMYFUNCTION("GOOGLEFINANCE(""ASX:CTQ"", ""low52"")"),0.01)</f>
        <v>0.01</v>
      </c>
      <c r="I573" s="9">
        <f>IFERROR(__xludf.DUMMYFUNCTION("GOOGLEFINANCE(""ASX:CTQ"", ""marketcap"")"),2608308.0)</f>
        <v>2608308</v>
      </c>
      <c r="J573" s="5"/>
      <c r="K573" s="5"/>
      <c r="L573" s="5"/>
      <c r="M573" s="5"/>
      <c r="N573" s="10">
        <v>50.0</v>
      </c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6" t="s">
        <v>1193</v>
      </c>
      <c r="B574" s="6" t="s">
        <v>1194</v>
      </c>
      <c r="C574" s="5" t="s">
        <v>620</v>
      </c>
      <c r="D574" s="7">
        <f>IFERROR(__xludf.DUMMYFUNCTION("GOOGLEFINANCE(""ASX:CTT"", ""price"")"),0.88)</f>
        <v>0.88</v>
      </c>
      <c r="E574" s="8">
        <f>IFERROR(__xludf.DUMMYFUNCTION("GOOGLEFINANCE(""ASX:CTT"", ""closeyest"")"),0.89)</f>
        <v>0.89</v>
      </c>
      <c r="F574" s="5" t="str">
        <f>IFERROR(__xludf.DUMMYFUNCTION("GOOGLEFINANCE(""ASX:CTT"", ""pe"")"),"#N/A")</f>
        <v>#N/A</v>
      </c>
      <c r="G574" s="9">
        <f>IFERROR(__xludf.DUMMYFUNCTION("GOOGLEFINANCE(""ASX:CTT"", ""high52"")"),1.5)</f>
        <v>1.5</v>
      </c>
      <c r="H574" s="9">
        <f>IFERROR(__xludf.DUMMYFUNCTION("GOOGLEFINANCE(""ASX:CTT"", ""low52"")"),0.25)</f>
        <v>0.25</v>
      </c>
      <c r="I574" s="9">
        <f>IFERROR(__xludf.DUMMYFUNCTION("GOOGLEFINANCE(""ASX:CTT"", ""marketcap"")"),3.35489614E8)</f>
        <v>335489614</v>
      </c>
      <c r="J574" s="9">
        <v>10.99</v>
      </c>
      <c r="K574" s="9">
        <v>11.01</v>
      </c>
      <c r="L574" s="9">
        <v>11.15</v>
      </c>
      <c r="M574" s="9">
        <v>10.13</v>
      </c>
      <c r="N574" s="11" t="s">
        <v>19</v>
      </c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6" t="s">
        <v>1195</v>
      </c>
      <c r="B575" s="6" t="s">
        <v>1196</v>
      </c>
      <c r="C575" s="5" t="s">
        <v>25</v>
      </c>
      <c r="D575" s="7">
        <f>IFERROR(__xludf.DUMMYFUNCTION("GOOGLEFINANCE(""ASX:CU6"", ""price"")"),3.92)</f>
        <v>3.92</v>
      </c>
      <c r="E575" s="8">
        <f>IFERROR(__xludf.DUMMYFUNCTION("GOOGLEFINANCE(""ASX:CU6"", ""closeyest"")"),3.82)</f>
        <v>3.82</v>
      </c>
      <c r="F575" s="5" t="str">
        <f>IFERROR(__xludf.DUMMYFUNCTION("GOOGLEFINANCE(""ASX:CU6"", ""pe"")"),"#N/A")</f>
        <v>#N/A</v>
      </c>
      <c r="G575" s="9">
        <f>IFERROR(__xludf.DUMMYFUNCTION("GOOGLEFINANCE(""ASX:CU6"", ""high52"")"),5.87)</f>
        <v>5.87</v>
      </c>
      <c r="H575" s="9">
        <f>IFERROR(__xludf.DUMMYFUNCTION("GOOGLEFINANCE(""ASX:CU6"", ""low52"")"),1.43)</f>
        <v>1.43</v>
      </c>
      <c r="I575" s="9">
        <f>IFERROR(__xludf.DUMMYFUNCTION("GOOGLEFINANCE(""ASX:CU6"", ""marketcap"")"),1.458357236E9)</f>
        <v>1458357236</v>
      </c>
      <c r="J575" s="5"/>
      <c r="K575" s="5"/>
      <c r="L575" s="5"/>
      <c r="M575" s="5"/>
      <c r="N575" s="11" t="s">
        <v>19</v>
      </c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6" t="s">
        <v>1197</v>
      </c>
      <c r="B576" s="6" t="s">
        <v>1198</v>
      </c>
      <c r="C576" s="5" t="s">
        <v>78</v>
      </c>
      <c r="D576" s="7">
        <f>IFERROR(__xludf.DUMMYFUNCTION("GOOGLEFINANCE(""ASX:CUE"", ""price"")"),0.12)</f>
        <v>0.12</v>
      </c>
      <c r="E576" s="8">
        <f>IFERROR(__xludf.DUMMYFUNCTION("GOOGLEFINANCE(""ASX:CUE"", ""closeyest"")"),0.12)</f>
        <v>0.12</v>
      </c>
      <c r="F576" s="9">
        <f>IFERROR(__xludf.DUMMYFUNCTION("GOOGLEFINANCE(""ASX:CUE"", ""pe"")"),12.72)</f>
        <v>12.72</v>
      </c>
      <c r="G576" s="9">
        <f>IFERROR(__xludf.DUMMYFUNCTION("GOOGLEFINANCE(""ASX:CUE"", ""high52"")"),0.13)</f>
        <v>0.13</v>
      </c>
      <c r="H576" s="9">
        <f>IFERROR(__xludf.DUMMYFUNCTION("GOOGLEFINANCE(""ASX:CUE"", ""low52"")"),0.09)</f>
        <v>0.09</v>
      </c>
      <c r="I576" s="9">
        <f>IFERROR(__xludf.DUMMYFUNCTION("GOOGLEFINANCE(""ASX:CUE"", ""marketcap"")"),7.7121508E7)</f>
        <v>77121508</v>
      </c>
      <c r="J576" s="5"/>
      <c r="K576" s="5"/>
      <c r="L576" s="5"/>
      <c r="M576" s="5"/>
      <c r="N576" s="10">
        <v>13.27</v>
      </c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6" t="s">
        <v>1199</v>
      </c>
      <c r="B577" s="6" t="s">
        <v>1200</v>
      </c>
      <c r="C577" s="5" t="s">
        <v>212</v>
      </c>
      <c r="D577" s="7">
        <f>IFERROR(__xludf.DUMMYFUNCTION("GOOGLEFINANCE(""ASX:CUF"", ""price"")"),0.03)</f>
        <v>0.03</v>
      </c>
      <c r="E577" s="8">
        <f>IFERROR(__xludf.DUMMYFUNCTION("GOOGLEFINANCE(""ASX:CUF"", ""closeyest"")"),0.03)</f>
        <v>0.03</v>
      </c>
      <c r="F577" s="9">
        <f>IFERROR(__xludf.DUMMYFUNCTION("GOOGLEFINANCE(""ASX:CUF"", ""pe"")"),58.93)</f>
        <v>58.93</v>
      </c>
      <c r="G577" s="9">
        <f>IFERROR(__xludf.DUMMYFUNCTION("GOOGLEFINANCE(""ASX:CUF"", ""high52"")"),0.06)</f>
        <v>0.06</v>
      </c>
      <c r="H577" s="9">
        <f>IFERROR(__xludf.DUMMYFUNCTION("GOOGLEFINANCE(""ASX:CUF"", ""low52"")"),0.01)</f>
        <v>0.01</v>
      </c>
      <c r="I577" s="9">
        <f>IFERROR(__xludf.DUMMYFUNCTION("GOOGLEFINANCE(""ASX:CUF"", ""marketcap"")"),5.508251E7)</f>
        <v>55082510</v>
      </c>
      <c r="J577" s="5"/>
      <c r="K577" s="5"/>
      <c r="L577" s="5"/>
      <c r="M577" s="5"/>
      <c r="N577" s="10">
        <v>51.79</v>
      </c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6" t="s">
        <v>1199</v>
      </c>
      <c r="B578" s="6" t="s">
        <v>1200</v>
      </c>
      <c r="C578" s="5" t="s">
        <v>212</v>
      </c>
      <c r="D578" s="7">
        <f>IFERROR(__xludf.DUMMYFUNCTION("GOOGLEFINANCE(""ASX:CUF"", ""price"")"),0.03)</f>
        <v>0.03</v>
      </c>
      <c r="E578" s="8">
        <f>IFERROR(__xludf.DUMMYFUNCTION("GOOGLEFINANCE(""ASX:CUF"", ""closeyest"")"),0.03)</f>
        <v>0.03</v>
      </c>
      <c r="F578" s="9">
        <f>IFERROR(__xludf.DUMMYFUNCTION("GOOGLEFINANCE(""ASX:CUF"", ""pe"")"),58.93)</f>
        <v>58.93</v>
      </c>
      <c r="G578" s="9">
        <f>IFERROR(__xludf.DUMMYFUNCTION("GOOGLEFINANCE(""ASX:CUF"", ""high52"")"),0.06)</f>
        <v>0.06</v>
      </c>
      <c r="H578" s="9">
        <f>IFERROR(__xludf.DUMMYFUNCTION("GOOGLEFINANCE(""ASX:CUF"", ""low52"")"),0.01)</f>
        <v>0.01</v>
      </c>
      <c r="I578" s="9">
        <f>IFERROR(__xludf.DUMMYFUNCTION("GOOGLEFINANCE(""ASX:CUF"", ""marketcap"")"),5.508251E7)</f>
        <v>55082510</v>
      </c>
      <c r="J578" s="5"/>
      <c r="K578" s="5"/>
      <c r="L578" s="5"/>
      <c r="M578" s="5"/>
      <c r="N578" s="10">
        <v>51.79</v>
      </c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6" t="s">
        <v>1201</v>
      </c>
      <c r="B579" s="6" t="s">
        <v>1202</v>
      </c>
      <c r="C579" s="5" t="s">
        <v>36</v>
      </c>
      <c r="D579" s="7">
        <f>IFERROR(__xludf.DUMMYFUNCTION("GOOGLEFINANCE(""ASX:CUIV"", ""price"")"),1.44)</f>
        <v>1.44</v>
      </c>
      <c r="E579" s="8">
        <f>IFERROR(__xludf.DUMMYFUNCTION("GOOGLEFINANCE(""ASX:CUIV"", ""closeyest"")"),1.44)</f>
        <v>1.44</v>
      </c>
      <c r="F579" s="5" t="str">
        <f>IFERROR(__xludf.DUMMYFUNCTION("GOOGLEFINANCE(""ASX:CUIV"", ""pe"")"),"#N/A")</f>
        <v>#N/A</v>
      </c>
      <c r="G579" s="9">
        <f>IFERROR(__xludf.DUMMYFUNCTION("GOOGLEFINANCE(""ASX:CUIV"", ""high52"")"),1.53)</f>
        <v>1.53</v>
      </c>
      <c r="H579" s="9">
        <f>IFERROR(__xludf.DUMMYFUNCTION("GOOGLEFINANCE(""ASX:CUIV"", ""low52"")"),1.41)</f>
        <v>1.41</v>
      </c>
      <c r="I579" s="9" t="str">
        <f>IFERROR(__xludf.DUMMYFUNCTION("GOOGLEFINANCE(""ASX:CUIV"", ""marketcap"")"),"#N/A")</f>
        <v>#N/A</v>
      </c>
      <c r="J579" s="5"/>
      <c r="K579" s="5"/>
      <c r="L579" s="5"/>
      <c r="M579" s="5"/>
      <c r="N579" s="11" t="s">
        <v>19</v>
      </c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6" t="s">
        <v>1203</v>
      </c>
      <c r="B580" s="6" t="s">
        <v>1204</v>
      </c>
      <c r="C580" s="5" t="s">
        <v>18</v>
      </c>
      <c r="D580" s="7">
        <f>IFERROR(__xludf.DUMMYFUNCTION("GOOGLEFINANCE(""ASX:CUL"", ""price"")"),0.01)</f>
        <v>0.01</v>
      </c>
      <c r="E580" s="8">
        <f>IFERROR(__xludf.DUMMYFUNCTION("GOOGLEFINANCE(""ASX:CUL"", ""closeyest"")"),0.01)</f>
        <v>0.01</v>
      </c>
      <c r="F580" s="5" t="str">
        <f>IFERROR(__xludf.DUMMYFUNCTION("GOOGLEFINANCE(""ASX:CUL"", ""pe"")"),"#N/A")</f>
        <v>#N/A</v>
      </c>
      <c r="G580" s="9">
        <f>IFERROR(__xludf.DUMMYFUNCTION("GOOGLEFINANCE(""ASX:CUL"", ""high52"")"),0.01)</f>
        <v>0.01</v>
      </c>
      <c r="H580" s="9">
        <f>IFERROR(__xludf.DUMMYFUNCTION("GOOGLEFINANCE(""ASX:CUL"", ""low52"")"),0.0)</f>
        <v>0</v>
      </c>
      <c r="I580" s="9">
        <f>IFERROR(__xludf.DUMMYFUNCTION("GOOGLEFINANCE(""ASX:CUL"", ""marketcap"")"),4992488.0)</f>
        <v>4992488</v>
      </c>
      <c r="J580" s="5"/>
      <c r="K580" s="5"/>
      <c r="L580" s="5"/>
      <c r="M580" s="5"/>
      <c r="N580" s="11" t="s">
        <v>19</v>
      </c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6" t="s">
        <v>1205</v>
      </c>
      <c r="B581" s="6" t="s">
        <v>1206</v>
      </c>
      <c r="C581" s="5" t="s">
        <v>246</v>
      </c>
      <c r="D581" s="7">
        <f>IFERROR(__xludf.DUMMYFUNCTION("GOOGLEFINANCE(""ASX:CUP"", ""price"")"),1.1)</f>
        <v>1.1</v>
      </c>
      <c r="E581" s="8">
        <f>IFERROR(__xludf.DUMMYFUNCTION("GOOGLEFINANCE(""ASX:CUP"", ""closeyest"")"),1.1)</f>
        <v>1.1</v>
      </c>
      <c r="F581" s="9">
        <f>IFERROR(__xludf.DUMMYFUNCTION("GOOGLEFINANCE(""ASX:CUP"", ""pe"")"),21.24)</f>
        <v>21.24</v>
      </c>
      <c r="G581" s="9">
        <f>IFERROR(__xludf.DUMMYFUNCTION("GOOGLEFINANCE(""ASX:CUP"", ""high52"")"),1.15)</f>
        <v>1.15</v>
      </c>
      <c r="H581" s="9">
        <f>IFERROR(__xludf.DUMMYFUNCTION("GOOGLEFINANCE(""ASX:CUP"", ""low52"")"),0.67)</f>
        <v>0.67</v>
      </c>
      <c r="I581" s="9">
        <f>IFERROR(__xludf.DUMMYFUNCTION("GOOGLEFINANCE(""ASX:CUP"", ""marketcap"")"),1.87211424E8)</f>
        <v>187211424</v>
      </c>
      <c r="J581" s="5"/>
      <c r="K581" s="5"/>
      <c r="L581" s="5"/>
      <c r="M581" s="5"/>
      <c r="N581" s="10">
        <v>21.72</v>
      </c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6" t="s">
        <v>1207</v>
      </c>
      <c r="B582" s="6" t="s">
        <v>1208</v>
      </c>
      <c r="C582" s="5" t="s">
        <v>36</v>
      </c>
      <c r="D582" s="7">
        <f>IFERROR(__xludf.DUMMYFUNCTION("GOOGLEFINANCE(""ASX:CURE"", ""price"")"),61.48)</f>
        <v>61.48</v>
      </c>
      <c r="E582" s="8">
        <f>IFERROR(__xludf.DUMMYFUNCTION("GOOGLEFINANCE(""ASX:CURE"", ""closeyest"")"),60.48)</f>
        <v>60.48</v>
      </c>
      <c r="F582" s="5" t="str">
        <f>IFERROR(__xludf.DUMMYFUNCTION("GOOGLEFINANCE(""ASX:CURE"", ""pe"")"),"#N/A")</f>
        <v>#N/A</v>
      </c>
      <c r="G582" s="9">
        <f>IFERROR(__xludf.DUMMYFUNCTION("GOOGLEFINANCE(""ASX:CURE"", ""high52"")"),64.74)</f>
        <v>64.74</v>
      </c>
      <c r="H582" s="9">
        <f>IFERROR(__xludf.DUMMYFUNCTION("GOOGLEFINANCE(""ASX:CURE"", ""low52"")"),38.76)</f>
        <v>38.76</v>
      </c>
      <c r="I582" s="9" t="str">
        <f>IFERROR(__xludf.DUMMYFUNCTION("GOOGLEFINANCE(""ASX:CURE"", ""marketcap"")"),"#N/A")</f>
        <v>#N/A</v>
      </c>
      <c r="J582" s="5"/>
      <c r="K582" s="5"/>
      <c r="L582" s="5"/>
      <c r="M582" s="5"/>
      <c r="N582" s="11" t="s">
        <v>19</v>
      </c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6" t="s">
        <v>1209</v>
      </c>
      <c r="B583" s="6" t="s">
        <v>1210</v>
      </c>
      <c r="C583" s="5" t="s">
        <v>174</v>
      </c>
      <c r="D583" s="7">
        <f>IFERROR(__xludf.DUMMYFUNCTION("GOOGLEFINANCE(""ASX:CUV"", ""price"")"),12.26)</f>
        <v>12.26</v>
      </c>
      <c r="E583" s="8">
        <f>IFERROR(__xludf.DUMMYFUNCTION("GOOGLEFINANCE(""ASX:CUV"", ""closeyest"")"),12.23)</f>
        <v>12.23</v>
      </c>
      <c r="F583" s="9">
        <f>IFERROR(__xludf.DUMMYFUNCTION("GOOGLEFINANCE(""ASX:CUV"", ""pe"")"),17.08)</f>
        <v>17.08</v>
      </c>
      <c r="G583" s="9">
        <f>IFERROR(__xludf.DUMMYFUNCTION("GOOGLEFINANCE(""ASX:CUV"", ""high52"")"),14.0)</f>
        <v>14</v>
      </c>
      <c r="H583" s="9">
        <f>IFERROR(__xludf.DUMMYFUNCTION("GOOGLEFINANCE(""ASX:CUV"", ""low52"")"),9.41)</f>
        <v>9.41</v>
      </c>
      <c r="I583" s="9">
        <f>IFERROR(__xludf.DUMMYFUNCTION("GOOGLEFINANCE(""ASX:CUV"", ""marketcap"")"),6.15461083E8)</f>
        <v>615461083</v>
      </c>
      <c r="J583" s="5"/>
      <c r="K583" s="5"/>
      <c r="L583" s="5"/>
      <c r="M583" s="5"/>
      <c r="N583" s="10">
        <v>17.7</v>
      </c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6" t="s">
        <v>1211</v>
      </c>
      <c r="B584" s="6" t="s">
        <v>1212</v>
      </c>
      <c r="C584" s="5" t="s">
        <v>62</v>
      </c>
      <c r="D584" s="7">
        <f>IFERROR(__xludf.DUMMYFUNCTION("GOOGLEFINANCE(""ASX:CVB"", ""price"")"),0.09)</f>
        <v>0.09</v>
      </c>
      <c r="E584" s="8">
        <f>IFERROR(__xludf.DUMMYFUNCTION("GOOGLEFINANCE(""ASX:CVB"", ""closeyest"")"),0.08)</f>
        <v>0.08</v>
      </c>
      <c r="F584" s="5" t="str">
        <f>IFERROR(__xludf.DUMMYFUNCTION("GOOGLEFINANCE(""ASX:CVB"", ""pe"")"),"#N/A")</f>
        <v>#N/A</v>
      </c>
      <c r="G584" s="9">
        <f>IFERROR(__xludf.DUMMYFUNCTION("GOOGLEFINANCE(""ASX:CVB"", ""high52"")"),0.18)</f>
        <v>0.18</v>
      </c>
      <c r="H584" s="9">
        <f>IFERROR(__xludf.DUMMYFUNCTION("GOOGLEFINANCE(""ASX:CVB"", ""low52"")"),0.06)</f>
        <v>0.06</v>
      </c>
      <c r="I584" s="9">
        <f>IFERROR(__xludf.DUMMYFUNCTION("GOOGLEFINANCE(""ASX:CVB"", ""marketcap"")"),4.0978491E7)</f>
        <v>40978491</v>
      </c>
      <c r="J584" s="5"/>
      <c r="K584" s="5"/>
      <c r="L584" s="5"/>
      <c r="M584" s="5"/>
      <c r="N584" s="11" t="s">
        <v>19</v>
      </c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6" t="s">
        <v>1213</v>
      </c>
      <c r="B585" s="6" t="s">
        <v>1214</v>
      </c>
      <c r="C585" s="5" t="s">
        <v>241</v>
      </c>
      <c r="D585" s="7">
        <f>IFERROR(__xludf.DUMMYFUNCTION("GOOGLEFINANCE(""ASX:CVC"", ""price"")"),2.01)</f>
        <v>2.01</v>
      </c>
      <c r="E585" s="8">
        <f>IFERROR(__xludf.DUMMYFUNCTION("GOOGLEFINANCE(""ASX:CVC"", ""closeyest"")"),2.01)</f>
        <v>2.01</v>
      </c>
      <c r="F585" s="9">
        <f>IFERROR(__xludf.DUMMYFUNCTION("GOOGLEFINANCE(""ASX:CVC"", ""pe"")"),436.01)</f>
        <v>436.01</v>
      </c>
      <c r="G585" s="9">
        <f>IFERROR(__xludf.DUMMYFUNCTION("GOOGLEFINANCE(""ASX:CVC"", ""high52"")"),2.25)</f>
        <v>2.25</v>
      </c>
      <c r="H585" s="9">
        <f>IFERROR(__xludf.DUMMYFUNCTION("GOOGLEFINANCE(""ASX:CVC"", ""low52"")"),1.88)</f>
        <v>1.88</v>
      </c>
      <c r="I585" s="9">
        <f>IFERROR(__xludf.DUMMYFUNCTION("GOOGLEFINANCE(""ASX:CVC"", ""marketcap"")"),2.34439E8)</f>
        <v>234439000</v>
      </c>
      <c r="J585" s="5"/>
      <c r="K585" s="5"/>
      <c r="L585" s="5"/>
      <c r="M585" s="5"/>
      <c r="N585" s="10">
        <v>438.18</v>
      </c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6" t="s">
        <v>1215</v>
      </c>
      <c r="B586" s="6" t="s">
        <v>1216</v>
      </c>
      <c r="C586" s="5" t="s">
        <v>123</v>
      </c>
      <c r="D586" s="7">
        <f>IFERROR(__xludf.DUMMYFUNCTION("GOOGLEFINANCE(""ASX:CVL"", ""price"")"),1.73)</f>
        <v>1.73</v>
      </c>
      <c r="E586" s="8">
        <f>IFERROR(__xludf.DUMMYFUNCTION("GOOGLEFINANCE(""ASX:CVL"", ""closeyest"")"),1.67)</f>
        <v>1.67</v>
      </c>
      <c r="F586" s="5" t="str">
        <f>IFERROR(__xludf.DUMMYFUNCTION("GOOGLEFINANCE(""ASX:CVL"", ""pe"")"),"#N/A")</f>
        <v>#N/A</v>
      </c>
      <c r="G586" s="9">
        <f>IFERROR(__xludf.DUMMYFUNCTION("GOOGLEFINANCE(""ASX:CVL"", ""high52"")"),1.73)</f>
        <v>1.73</v>
      </c>
      <c r="H586" s="9">
        <f>IFERROR(__xludf.DUMMYFUNCTION("GOOGLEFINANCE(""ASX:CVL"", ""low52"")"),0.82)</f>
        <v>0.82</v>
      </c>
      <c r="I586" s="9">
        <f>IFERROR(__xludf.DUMMYFUNCTION("GOOGLEFINANCE(""ASX:CVL"", ""marketcap"")"),6.560011E8)</f>
        <v>656001100</v>
      </c>
      <c r="J586" s="5"/>
      <c r="K586" s="5"/>
      <c r="L586" s="5"/>
      <c r="M586" s="5"/>
      <c r="N586" s="11" t="s">
        <v>19</v>
      </c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6" t="s">
        <v>1217</v>
      </c>
      <c r="B587" s="6" t="s">
        <v>1218</v>
      </c>
      <c r="C587" s="5" t="s">
        <v>78</v>
      </c>
      <c r="D587" s="7">
        <f>IFERROR(__xludf.DUMMYFUNCTION("GOOGLEFINANCE(""ASX:CVN"", ""price"")"),0.09)</f>
        <v>0.09</v>
      </c>
      <c r="E587" s="8">
        <f>IFERROR(__xludf.DUMMYFUNCTION("GOOGLEFINANCE(""ASX:CVN"", ""closeyest"")"),0.09)</f>
        <v>0.09</v>
      </c>
      <c r="F587" s="9">
        <f>IFERROR(__xludf.DUMMYFUNCTION("GOOGLEFINANCE(""ASX:CVN"", ""pe"")"),42.65)</f>
        <v>42.65</v>
      </c>
      <c r="G587" s="9">
        <f>IFERROR(__xludf.DUMMYFUNCTION("GOOGLEFINANCE(""ASX:CVN"", ""high52"")"),0.16)</f>
        <v>0.16</v>
      </c>
      <c r="H587" s="9">
        <f>IFERROR(__xludf.DUMMYFUNCTION("GOOGLEFINANCE(""ASX:CVN"", ""low52"")"),0.08)</f>
        <v>0.08</v>
      </c>
      <c r="I587" s="9">
        <f>IFERROR(__xludf.DUMMYFUNCTION("GOOGLEFINANCE(""ASX:CVN"", ""marketcap"")"),1.5737995E8)</f>
        <v>157379950</v>
      </c>
      <c r="J587" s="9">
        <v>0.002</v>
      </c>
      <c r="K587" s="9">
        <v>0.001</v>
      </c>
      <c r="L587" s="9">
        <v>0.002</v>
      </c>
      <c r="M587" s="9">
        <v>0.001</v>
      </c>
      <c r="N587" s="10">
        <v>43.63</v>
      </c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6" t="s">
        <v>1219</v>
      </c>
      <c r="B588" s="6" t="s">
        <v>1220</v>
      </c>
      <c r="C588" s="5" t="s">
        <v>88</v>
      </c>
      <c r="D588" s="7">
        <f>IFERROR(__xludf.DUMMYFUNCTION("GOOGLEFINANCE(""ASX:CVR"", ""price"")"),0.34)</f>
        <v>0.34</v>
      </c>
      <c r="E588" s="8">
        <f>IFERROR(__xludf.DUMMYFUNCTION("GOOGLEFINANCE(""ASX:CVR"", ""closeyest"")"),0.34)</f>
        <v>0.34</v>
      </c>
      <c r="F588" s="5" t="str">
        <f>IFERROR(__xludf.DUMMYFUNCTION("GOOGLEFINANCE(""ASX:CVR"", ""pe"")"),"#N/A")</f>
        <v>#N/A</v>
      </c>
      <c r="G588" s="9">
        <f>IFERROR(__xludf.DUMMYFUNCTION("GOOGLEFINANCE(""ASX:CVR"", ""high52"")"),0.46)</f>
        <v>0.46</v>
      </c>
      <c r="H588" s="9">
        <f>IFERROR(__xludf.DUMMYFUNCTION("GOOGLEFINANCE(""ASX:CVR"", ""low52"")"),0.07)</f>
        <v>0.07</v>
      </c>
      <c r="I588" s="9">
        <f>IFERROR(__xludf.DUMMYFUNCTION("GOOGLEFINANCE(""ASX:CVR"", ""marketcap"")"),2.3898491E7)</f>
        <v>23898491</v>
      </c>
      <c r="J588" s="5"/>
      <c r="K588" s="5"/>
      <c r="L588" s="5"/>
      <c r="M588" s="5"/>
      <c r="N588" s="11" t="s">
        <v>19</v>
      </c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6" t="s">
        <v>1221</v>
      </c>
      <c r="B589" s="6" t="s">
        <v>1222</v>
      </c>
      <c r="C589" s="5" t="s">
        <v>18</v>
      </c>
      <c r="D589" s="7">
        <f>IFERROR(__xludf.DUMMYFUNCTION("GOOGLEFINANCE(""ASX:CVV"", ""price"")"),0.35)</f>
        <v>0.35</v>
      </c>
      <c r="E589" s="8">
        <f>IFERROR(__xludf.DUMMYFUNCTION("GOOGLEFINANCE(""ASX:CVV"", ""closeyest"")"),0.32)</f>
        <v>0.32</v>
      </c>
      <c r="F589" s="5" t="str">
        <f>IFERROR(__xludf.DUMMYFUNCTION("GOOGLEFINANCE(""ASX:CVV"", ""pe"")"),"#N/A")</f>
        <v>#N/A</v>
      </c>
      <c r="G589" s="9">
        <f>IFERROR(__xludf.DUMMYFUNCTION("GOOGLEFINANCE(""ASX:CVV"", ""high52"")"),0.35)</f>
        <v>0.35</v>
      </c>
      <c r="H589" s="9">
        <f>IFERROR(__xludf.DUMMYFUNCTION("GOOGLEFINANCE(""ASX:CVV"", ""low52"")"),0.13)</f>
        <v>0.13</v>
      </c>
      <c r="I589" s="9">
        <f>IFERROR(__xludf.DUMMYFUNCTION("GOOGLEFINANCE(""ASX:CVV"", ""marketcap"")"),1.92773061E8)</f>
        <v>192773061</v>
      </c>
      <c r="J589" s="5"/>
      <c r="K589" s="5"/>
      <c r="L589" s="5"/>
      <c r="M589" s="5"/>
      <c r="N589" s="11" t="s">
        <v>19</v>
      </c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6" t="s">
        <v>1223</v>
      </c>
      <c r="B590" s="6" t="s">
        <v>1224</v>
      </c>
      <c r="C590" s="5" t="s">
        <v>1008</v>
      </c>
      <c r="D590" s="7">
        <f>IFERROR(__xludf.DUMMYFUNCTION("GOOGLEFINANCE(""ASX:CVW"", ""price"")"),0.57)</f>
        <v>0.57</v>
      </c>
      <c r="E590" s="8">
        <f>IFERROR(__xludf.DUMMYFUNCTION("GOOGLEFINANCE(""ASX:CVW"", ""closeyest"")"),0.56)</f>
        <v>0.56</v>
      </c>
      <c r="F590" s="9">
        <f>IFERROR(__xludf.DUMMYFUNCTION("GOOGLEFINANCE(""ASX:CVW"", ""pe"")"),23.38)</f>
        <v>23.38</v>
      </c>
      <c r="G590" s="9">
        <f>IFERROR(__xludf.DUMMYFUNCTION("GOOGLEFINANCE(""ASX:CVW"", ""high52"")"),0.62)</f>
        <v>0.62</v>
      </c>
      <c r="H590" s="9">
        <f>IFERROR(__xludf.DUMMYFUNCTION("GOOGLEFINANCE(""ASX:CVW"", ""low52"")"),0.35)</f>
        <v>0.35</v>
      </c>
      <c r="I590" s="9">
        <f>IFERROR(__xludf.DUMMYFUNCTION("GOOGLEFINANCE(""ASX:CVW"", ""marketcap"")"),3.6140194E8)</f>
        <v>361401940</v>
      </c>
      <c r="J590" s="5"/>
      <c r="K590" s="5"/>
      <c r="L590" s="5"/>
      <c r="M590" s="5"/>
      <c r="N590" s="10">
        <v>23.38</v>
      </c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6" t="s">
        <v>1225</v>
      </c>
      <c r="B591" s="6" t="s">
        <v>1226</v>
      </c>
      <c r="C591" s="5" t="s">
        <v>143</v>
      </c>
      <c r="D591" s="7">
        <f>IFERROR(__xludf.DUMMYFUNCTION("GOOGLEFINANCE(""ASX:CWP"", ""price"")"),8.39)</f>
        <v>8.39</v>
      </c>
      <c r="E591" s="8">
        <f>IFERROR(__xludf.DUMMYFUNCTION("GOOGLEFINANCE(""ASX:CWP"", ""closeyest"")"),8.41)</f>
        <v>8.41</v>
      </c>
      <c r="F591" s="9">
        <f>IFERROR(__xludf.DUMMYFUNCTION("GOOGLEFINANCE(""ASX:CWP"", ""pe"")"),14.61)</f>
        <v>14.61</v>
      </c>
      <c r="G591" s="9">
        <f>IFERROR(__xludf.DUMMYFUNCTION("GOOGLEFINANCE(""ASX:CWP"", ""high52"")"),9.17)</f>
        <v>9.17</v>
      </c>
      <c r="H591" s="9">
        <f>IFERROR(__xludf.DUMMYFUNCTION("GOOGLEFINANCE(""ASX:CWP"", ""low52"")"),4.85)</f>
        <v>4.85</v>
      </c>
      <c r="I591" s="9">
        <f>IFERROR(__xludf.DUMMYFUNCTION("GOOGLEFINANCE(""ASX:CWP"", ""marketcap"")"),7.13785571E8)</f>
        <v>713785571</v>
      </c>
      <c r="J591" s="5"/>
      <c r="K591" s="5"/>
      <c r="L591" s="5"/>
      <c r="M591" s="5"/>
      <c r="N591" s="10">
        <v>14.85</v>
      </c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6" t="s">
        <v>1227</v>
      </c>
      <c r="B592" s="6" t="s">
        <v>1228</v>
      </c>
      <c r="C592" s="5" t="s">
        <v>223</v>
      </c>
      <c r="D592" s="7">
        <f>IFERROR(__xludf.DUMMYFUNCTION("GOOGLEFINANCE(""ASX:CWY"", ""price"")"),2.59)</f>
        <v>2.59</v>
      </c>
      <c r="E592" s="8">
        <f>IFERROR(__xludf.DUMMYFUNCTION("GOOGLEFINANCE(""ASX:CWY"", ""closeyest"")"),2.56)</f>
        <v>2.56</v>
      </c>
      <c r="F592" s="9">
        <f>IFERROR(__xludf.DUMMYFUNCTION("GOOGLEFINANCE(""ASX:CWY"", ""pe"")"),36.97)</f>
        <v>36.97</v>
      </c>
      <c r="G592" s="9">
        <f>IFERROR(__xludf.DUMMYFUNCTION("GOOGLEFINANCE(""ASX:CWY"", ""high52"")"),2.96)</f>
        <v>2.96</v>
      </c>
      <c r="H592" s="9">
        <f>IFERROR(__xludf.DUMMYFUNCTION("GOOGLEFINANCE(""ASX:CWY"", ""low52"")"),2.47)</f>
        <v>2.47</v>
      </c>
      <c r="I592" s="9">
        <f>IFERROR(__xludf.DUMMYFUNCTION("GOOGLEFINANCE(""ASX:CWY"", ""marketcap"")"),5.801905427E9)</f>
        <v>5801905427</v>
      </c>
      <c r="J592" s="5"/>
      <c r="K592" s="5"/>
      <c r="L592" s="5"/>
      <c r="M592" s="5"/>
      <c r="N592" s="10">
        <v>37.12</v>
      </c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6" t="s">
        <v>1229</v>
      </c>
      <c r="B593" s="6" t="s">
        <v>1230</v>
      </c>
      <c r="C593" s="5" t="s">
        <v>106</v>
      </c>
      <c r="D593" s="7">
        <f>IFERROR(__xludf.DUMMYFUNCTION("GOOGLEFINANCE(""ASX:CXL"", ""price"")"),1.37)</f>
        <v>1.37</v>
      </c>
      <c r="E593" s="8">
        <f>IFERROR(__xludf.DUMMYFUNCTION("GOOGLEFINANCE(""ASX:CXL"", ""closeyest"")"),1.28)</f>
        <v>1.28</v>
      </c>
      <c r="F593" s="5" t="str">
        <f>IFERROR(__xludf.DUMMYFUNCTION("GOOGLEFINANCE(""ASX:CXL"", ""pe"")"),"#N/A")</f>
        <v>#N/A</v>
      </c>
      <c r="G593" s="9">
        <f>IFERROR(__xludf.DUMMYFUNCTION("GOOGLEFINANCE(""ASX:CXL"", ""high52"")"),1.55)</f>
        <v>1.55</v>
      </c>
      <c r="H593" s="9">
        <f>IFERROR(__xludf.DUMMYFUNCTION("GOOGLEFINANCE(""ASX:CXL"", ""low52"")"),0.26)</f>
        <v>0.26</v>
      </c>
      <c r="I593" s="9">
        <f>IFERROR(__xludf.DUMMYFUNCTION("GOOGLEFINANCE(""ASX:CXL"", ""marketcap"")"),2.95340354E8)</f>
        <v>295340354</v>
      </c>
      <c r="J593" s="5"/>
      <c r="K593" s="5"/>
      <c r="L593" s="5"/>
      <c r="M593" s="5"/>
      <c r="N593" s="11" t="s">
        <v>19</v>
      </c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6" t="s">
        <v>1231</v>
      </c>
      <c r="B594" s="6" t="s">
        <v>1232</v>
      </c>
      <c r="C594" s="5" t="s">
        <v>18</v>
      </c>
      <c r="D594" s="7">
        <f>IFERROR(__xludf.DUMMYFUNCTION("GOOGLEFINANCE(""ASX:CXO"", ""price"")"),0.29)</f>
        <v>0.29</v>
      </c>
      <c r="E594" s="8">
        <f>IFERROR(__xludf.DUMMYFUNCTION("GOOGLEFINANCE(""ASX:CXO"", ""closeyest"")"),0.3)</f>
        <v>0.3</v>
      </c>
      <c r="F594" s="5" t="str">
        <f>IFERROR(__xludf.DUMMYFUNCTION("GOOGLEFINANCE(""ASX:CXO"", ""pe"")"),"#N/A")</f>
        <v>#N/A</v>
      </c>
      <c r="G594" s="9">
        <f>IFERROR(__xludf.DUMMYFUNCTION("GOOGLEFINANCE(""ASX:CXO"", ""high52"")"),0.31)</f>
        <v>0.31</v>
      </c>
      <c r="H594" s="9">
        <f>IFERROR(__xludf.DUMMYFUNCTION("GOOGLEFINANCE(""ASX:CXO"", ""low52"")"),0.06)</f>
        <v>0.06</v>
      </c>
      <c r="I594" s="9">
        <f>IFERROR(__xludf.DUMMYFUNCTION("GOOGLEFINANCE(""ASX:CXO"", ""marketcap"")"),7.71549327E8)</f>
        <v>771549327</v>
      </c>
      <c r="J594" s="5"/>
      <c r="K594" s="5"/>
      <c r="L594" s="5"/>
      <c r="M594" s="5"/>
      <c r="N594" s="11" t="s">
        <v>19</v>
      </c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6" t="s">
        <v>1233</v>
      </c>
      <c r="B595" s="6" t="s">
        <v>1234</v>
      </c>
      <c r="C595" s="5" t="s">
        <v>28</v>
      </c>
      <c r="D595" s="7">
        <f>IFERROR(__xludf.DUMMYFUNCTION("GOOGLEFINANCE(""ASX:CXU"", ""price"")"),0.02)</f>
        <v>0.02</v>
      </c>
      <c r="E595" s="8">
        <f>IFERROR(__xludf.DUMMYFUNCTION("GOOGLEFINANCE(""ASX:CXU"", ""closeyest"")"),0.02)</f>
        <v>0.02</v>
      </c>
      <c r="F595" s="5" t="str">
        <f>IFERROR(__xludf.DUMMYFUNCTION("GOOGLEFINANCE(""ASX:CXU"", ""pe"")"),"#N/A")</f>
        <v>#N/A</v>
      </c>
      <c r="G595" s="9">
        <f>IFERROR(__xludf.DUMMYFUNCTION("GOOGLEFINANCE(""ASX:CXU"", ""high52"")"),0.03)</f>
        <v>0.03</v>
      </c>
      <c r="H595" s="9">
        <f>IFERROR(__xludf.DUMMYFUNCTION("GOOGLEFINANCE(""ASX:CXU"", ""low52"")"),0.01)</f>
        <v>0.01</v>
      </c>
      <c r="I595" s="9">
        <f>IFERROR(__xludf.DUMMYFUNCTION("GOOGLEFINANCE(""ASX:CXU"", ""marketcap"")"),5.244996E7)</f>
        <v>52449960</v>
      </c>
      <c r="J595" s="5"/>
      <c r="K595" s="5"/>
      <c r="L595" s="5"/>
      <c r="M595" s="5"/>
      <c r="N595" s="11" t="s">
        <v>19</v>
      </c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6" t="s">
        <v>1233</v>
      </c>
      <c r="B596" s="6" t="s">
        <v>1234</v>
      </c>
      <c r="C596" s="5" t="s">
        <v>28</v>
      </c>
      <c r="D596" s="7">
        <f>IFERROR(__xludf.DUMMYFUNCTION("GOOGLEFINANCE(""ASX:CXU"", ""price"")"),0.02)</f>
        <v>0.02</v>
      </c>
      <c r="E596" s="8">
        <f>IFERROR(__xludf.DUMMYFUNCTION("GOOGLEFINANCE(""ASX:CXU"", ""closeyest"")"),0.02)</f>
        <v>0.02</v>
      </c>
      <c r="F596" s="5" t="str">
        <f>IFERROR(__xludf.DUMMYFUNCTION("GOOGLEFINANCE(""ASX:CXU"", ""pe"")"),"#N/A")</f>
        <v>#N/A</v>
      </c>
      <c r="G596" s="9">
        <f>IFERROR(__xludf.DUMMYFUNCTION("GOOGLEFINANCE(""ASX:CXU"", ""high52"")"),0.03)</f>
        <v>0.03</v>
      </c>
      <c r="H596" s="9">
        <f>IFERROR(__xludf.DUMMYFUNCTION("GOOGLEFINANCE(""ASX:CXU"", ""low52"")"),0.01)</f>
        <v>0.01</v>
      </c>
      <c r="I596" s="9">
        <f>IFERROR(__xludf.DUMMYFUNCTION("GOOGLEFINANCE(""ASX:CXU"", ""marketcap"")"),5.244996E7)</f>
        <v>52449960</v>
      </c>
      <c r="J596" s="5"/>
      <c r="K596" s="5"/>
      <c r="L596" s="5"/>
      <c r="M596" s="5"/>
      <c r="N596" s="11" t="s">
        <v>19</v>
      </c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13" t="s">
        <v>1233</v>
      </c>
      <c r="B597" s="13" t="s">
        <v>1234</v>
      </c>
      <c r="C597" s="14" t="s">
        <v>28</v>
      </c>
      <c r="D597" s="15">
        <f>IFERROR(__xludf.DUMMYFUNCTION("GOOGLEFINANCE(""ASX:CXU"", ""price"")"),0.02)</f>
        <v>0.02</v>
      </c>
      <c r="E597" s="8">
        <f>IFERROR(__xludf.DUMMYFUNCTION("GOOGLEFINANCE(""ASX:CXU"", ""closeyest"")"),0.02)</f>
        <v>0.02</v>
      </c>
      <c r="F597" s="5" t="str">
        <f>IFERROR(__xludf.DUMMYFUNCTION("GOOGLEFINANCE(""ASX:CXU"", ""pe"")"),"#N/A")</f>
        <v>#N/A</v>
      </c>
      <c r="G597" s="9">
        <f>IFERROR(__xludf.DUMMYFUNCTION("GOOGLEFINANCE(""ASX:CXU"", ""high52"")"),0.03)</f>
        <v>0.03</v>
      </c>
      <c r="H597" s="9">
        <f>IFERROR(__xludf.DUMMYFUNCTION("GOOGLEFINANCE(""ASX:CXU"", ""low52"")"),0.01)</f>
        <v>0.01</v>
      </c>
      <c r="I597" s="9">
        <f>IFERROR(__xludf.DUMMYFUNCTION("GOOGLEFINANCE(""ASX:CXU"", ""marketcap"")"),5.244996E7)</f>
        <v>52449960</v>
      </c>
      <c r="J597" s="5"/>
      <c r="K597" s="5"/>
      <c r="L597" s="5"/>
      <c r="M597" s="5"/>
      <c r="N597" s="11" t="s">
        <v>19</v>
      </c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6" t="s">
        <v>1235</v>
      </c>
      <c r="B598" s="6" t="s">
        <v>1236</v>
      </c>
      <c r="C598" s="5" t="s">
        <v>15</v>
      </c>
      <c r="D598" s="7">
        <f>IFERROR(__xludf.DUMMYFUNCTION("GOOGLEFINANCE(""ASX:CXZ"", ""price"")"),0.03)</f>
        <v>0.03</v>
      </c>
      <c r="E598" s="8">
        <f>IFERROR(__xludf.DUMMYFUNCTION("GOOGLEFINANCE(""ASX:CXZ"", ""closeyest"")"),0.03)</f>
        <v>0.03</v>
      </c>
      <c r="F598" s="9">
        <f>IFERROR(__xludf.DUMMYFUNCTION("GOOGLEFINANCE(""ASX:CXZ"", ""pe"")"),6.05)</f>
        <v>6.05</v>
      </c>
      <c r="G598" s="9">
        <f>IFERROR(__xludf.DUMMYFUNCTION("GOOGLEFINANCE(""ASX:CXZ"", ""high52"")"),0.03)</f>
        <v>0.03</v>
      </c>
      <c r="H598" s="9">
        <f>IFERROR(__xludf.DUMMYFUNCTION("GOOGLEFINANCE(""ASX:CXZ"", ""low52"")"),0.02)</f>
        <v>0.02</v>
      </c>
      <c r="I598" s="9">
        <f>IFERROR(__xludf.DUMMYFUNCTION("GOOGLEFINANCE(""ASX:CXZ"", ""marketcap"")"),1.7917224E7)</f>
        <v>17917224</v>
      </c>
      <c r="J598" s="9">
        <v>3.68</v>
      </c>
      <c r="K598" s="9">
        <v>3.67</v>
      </c>
      <c r="L598" s="9">
        <v>3.94</v>
      </c>
      <c r="M598" s="9">
        <v>3.37</v>
      </c>
      <c r="N598" s="10">
        <v>6.05</v>
      </c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6" t="s">
        <v>1237</v>
      </c>
      <c r="B599" s="6" t="s">
        <v>1238</v>
      </c>
      <c r="C599" s="5" t="s">
        <v>18</v>
      </c>
      <c r="D599" s="7">
        <f>IFERROR(__xludf.DUMMYFUNCTION("GOOGLEFINANCE(""ASX:CY5"", ""price"")"),0.21)</f>
        <v>0.21</v>
      </c>
      <c r="E599" s="8">
        <f>IFERROR(__xludf.DUMMYFUNCTION("GOOGLEFINANCE(""ASX:CY5"", ""closeyest"")"),0.2)</f>
        <v>0.2</v>
      </c>
      <c r="F599" s="5" t="str">
        <f>IFERROR(__xludf.DUMMYFUNCTION("GOOGLEFINANCE(""ASX:CY5"", ""pe"")"),"#N/A")</f>
        <v>#N/A</v>
      </c>
      <c r="G599" s="9">
        <f>IFERROR(__xludf.DUMMYFUNCTION("GOOGLEFINANCE(""ASX:CY5"", ""high52"")"),0.21)</f>
        <v>0.21</v>
      </c>
      <c r="H599" s="9">
        <f>IFERROR(__xludf.DUMMYFUNCTION("GOOGLEFINANCE(""ASX:CY5"", ""low52"")"),0.06)</f>
        <v>0.06</v>
      </c>
      <c r="I599" s="9">
        <f>IFERROR(__xludf.DUMMYFUNCTION("GOOGLEFINANCE(""ASX:CY5"", ""marketcap"")"),2.23529033E8)</f>
        <v>223529033</v>
      </c>
      <c r="J599" s="5"/>
      <c r="K599" s="5"/>
      <c r="L599" s="5"/>
      <c r="M599" s="5"/>
      <c r="N599" s="11" t="s">
        <v>19</v>
      </c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6" t="s">
        <v>1239</v>
      </c>
      <c r="B600" s="6" t="s">
        <v>1240</v>
      </c>
      <c r="C600" s="5" t="s">
        <v>184</v>
      </c>
      <c r="D600" s="7">
        <f>IFERROR(__xludf.DUMMYFUNCTION("GOOGLEFINANCE(""ASX:CYB"", ""price"")"),0.08)</f>
        <v>0.08</v>
      </c>
      <c r="E600" s="8">
        <f>IFERROR(__xludf.DUMMYFUNCTION("GOOGLEFINANCE(""ASX:CYB"", ""closeyest"")"),0.08)</f>
        <v>0.08</v>
      </c>
      <c r="F600" s="5" t="str">
        <f>IFERROR(__xludf.DUMMYFUNCTION("GOOGLEFINANCE(""ASX:CYB"", ""pe"")"),"#N/A")</f>
        <v>#N/A</v>
      </c>
      <c r="G600" s="9">
        <f>IFERROR(__xludf.DUMMYFUNCTION("GOOGLEFINANCE(""ASX:CYB"", ""high52"")"),0.15)</f>
        <v>0.15</v>
      </c>
      <c r="H600" s="9">
        <f>IFERROR(__xludf.DUMMYFUNCTION("GOOGLEFINANCE(""ASX:CYB"", ""low52"")"),0.06)</f>
        <v>0.06</v>
      </c>
      <c r="I600" s="9">
        <f>IFERROR(__xludf.DUMMYFUNCTION("GOOGLEFINANCE(""ASX:CYB"", ""marketcap"")"),1.690856E7)</f>
        <v>16908560</v>
      </c>
      <c r="J600" s="5"/>
      <c r="K600" s="5"/>
      <c r="L600" s="5"/>
      <c r="M600" s="5"/>
      <c r="N600" s="11" t="s">
        <v>19</v>
      </c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6" t="s">
        <v>1241</v>
      </c>
      <c r="B601" s="6" t="s">
        <v>1242</v>
      </c>
      <c r="C601" s="5" t="s">
        <v>62</v>
      </c>
      <c r="D601" s="7" t="str">
        <f>IFERROR(__xludf.DUMMYFUNCTION("GOOGLEFINANCE(""ASX:CYC"", ""price"")"),"#N/A")</f>
        <v>#N/A</v>
      </c>
      <c r="E601" s="8" t="str">
        <f>IFERROR(__xludf.DUMMYFUNCTION("GOOGLEFINANCE(""ASX:CYC"", ""closeyest"")"),"#N/A")</f>
        <v>#N/A</v>
      </c>
      <c r="F601" s="5" t="str">
        <f>IFERROR(__xludf.DUMMYFUNCTION("GOOGLEFINANCE(""ASX:CYC"", ""pe"")"),"#N/A")</f>
        <v>#N/A</v>
      </c>
      <c r="G601" s="5" t="str">
        <f>IFERROR(__xludf.DUMMYFUNCTION("GOOGLEFINANCE(""ASX:CYC"", ""high52"")"),"#N/A")</f>
        <v>#N/A</v>
      </c>
      <c r="H601" s="5" t="str">
        <f>IFERROR(__xludf.DUMMYFUNCTION("GOOGLEFINANCE(""ASX:CYC"", ""low52"")"),"#N/A")</f>
        <v>#N/A</v>
      </c>
      <c r="I601" s="9" t="str">
        <f>IFERROR(__xludf.DUMMYFUNCTION("GOOGLEFINANCE(""ASX:CYC"", ""marketcap"")"),"#N/A")</f>
        <v>#N/A</v>
      </c>
      <c r="J601" s="12">
        <v>0.99</v>
      </c>
      <c r="K601" s="12">
        <v>0.99</v>
      </c>
      <c r="L601" s="12">
        <v>2.5</v>
      </c>
      <c r="M601" s="12">
        <v>0.56</v>
      </c>
      <c r="N601" s="11" t="s">
        <v>19</v>
      </c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6" t="s">
        <v>1243</v>
      </c>
      <c r="B602" s="6" t="s">
        <v>1244</v>
      </c>
      <c r="C602" s="5" t="s">
        <v>212</v>
      </c>
      <c r="D602" s="7" t="str">
        <f>IFERROR(__xludf.DUMMYFUNCTION("GOOGLEFINANCE(""ASX:CYG"", ""price"")"),"#N/A")</f>
        <v>#N/A</v>
      </c>
      <c r="E602" s="8" t="str">
        <f>IFERROR(__xludf.DUMMYFUNCTION("GOOGLEFINANCE(""ASX:CYG"", ""closeyest"")"),"#N/A")</f>
        <v>#N/A</v>
      </c>
      <c r="F602" s="5" t="str">
        <f>IFERROR(__xludf.DUMMYFUNCTION("GOOGLEFINANCE(""ASX:CYG"", ""pe"")"),"#N/A")</f>
        <v>#N/A</v>
      </c>
      <c r="G602" s="5" t="str">
        <f>IFERROR(__xludf.DUMMYFUNCTION("GOOGLEFINANCE(""ASX:CYG"", ""high52"")"),"#N/A")</f>
        <v>#N/A</v>
      </c>
      <c r="H602" s="5" t="str">
        <f>IFERROR(__xludf.DUMMYFUNCTION("GOOGLEFINANCE(""ASX:CYG"", ""low52"")"),"#N/A")</f>
        <v>#N/A</v>
      </c>
      <c r="I602" s="9" t="str">
        <f>IFERROR(__xludf.DUMMYFUNCTION("GOOGLEFINANCE(""ASX:CYG"", ""marketcap"")"),"#N/A")</f>
        <v>#N/A</v>
      </c>
      <c r="J602" s="12">
        <v>0.6</v>
      </c>
      <c r="K602" s="12">
        <v>0.6</v>
      </c>
      <c r="L602" s="12">
        <v>1.2</v>
      </c>
      <c r="M602" s="12">
        <v>0.538</v>
      </c>
      <c r="N602" s="11" t="s">
        <v>19</v>
      </c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6" t="s">
        <v>1243</v>
      </c>
      <c r="B603" s="6" t="s">
        <v>1244</v>
      </c>
      <c r="C603" s="5" t="s">
        <v>212</v>
      </c>
      <c r="D603" s="7" t="str">
        <f>IFERROR(__xludf.DUMMYFUNCTION("GOOGLEFINANCE(""ASX:CYG"", ""price"")"),"#N/A")</f>
        <v>#N/A</v>
      </c>
      <c r="E603" s="8" t="str">
        <f>IFERROR(__xludf.DUMMYFUNCTION("GOOGLEFINANCE(""ASX:CYG"", ""closeyest"")"),"#N/A")</f>
        <v>#N/A</v>
      </c>
      <c r="F603" s="5" t="str">
        <f>IFERROR(__xludf.DUMMYFUNCTION("GOOGLEFINANCE(""ASX:CYG"", ""pe"")"),"#N/A")</f>
        <v>#N/A</v>
      </c>
      <c r="G603" s="5" t="str">
        <f>IFERROR(__xludf.DUMMYFUNCTION("GOOGLEFINANCE(""ASX:CYG"", ""high52"")"),"#N/A")</f>
        <v>#N/A</v>
      </c>
      <c r="H603" s="5" t="str">
        <f>IFERROR(__xludf.DUMMYFUNCTION("GOOGLEFINANCE(""ASX:CYG"", ""low52"")"),"#N/A")</f>
        <v>#N/A</v>
      </c>
      <c r="I603" s="9" t="str">
        <f>IFERROR(__xludf.DUMMYFUNCTION("GOOGLEFINANCE(""ASX:CYG"", ""marketcap"")"),"#N/A")</f>
        <v>#N/A</v>
      </c>
      <c r="J603" s="12">
        <v>0.6</v>
      </c>
      <c r="K603" s="12">
        <v>0.6</v>
      </c>
      <c r="L603" s="12">
        <v>1.2</v>
      </c>
      <c r="M603" s="12">
        <v>0.538</v>
      </c>
      <c r="N603" s="11" t="s">
        <v>19</v>
      </c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6" t="s">
        <v>1245</v>
      </c>
      <c r="B604" s="6" t="s">
        <v>1246</v>
      </c>
      <c r="C604" s="5" t="s">
        <v>88</v>
      </c>
      <c r="D604" s="7">
        <f>IFERROR(__xludf.DUMMYFUNCTION("GOOGLEFINANCE(""ASX:CYL"", ""price"")"),7.45)</f>
        <v>7.45</v>
      </c>
      <c r="E604" s="8">
        <f>IFERROR(__xludf.DUMMYFUNCTION("GOOGLEFINANCE(""ASX:CYL"", ""closeyest"")"),7.43)</f>
        <v>7.43</v>
      </c>
      <c r="F604" s="9">
        <f>IFERROR(__xludf.DUMMYFUNCTION("GOOGLEFINANCE(""ASX:CYL"", ""pe"")"),19.19)</f>
        <v>19.19</v>
      </c>
      <c r="G604" s="9">
        <f>IFERROR(__xludf.DUMMYFUNCTION("GOOGLEFINANCE(""ASX:CYL"", ""high52"")"),8.88)</f>
        <v>8.88</v>
      </c>
      <c r="H604" s="9">
        <f>IFERROR(__xludf.DUMMYFUNCTION("GOOGLEFINANCE(""ASX:CYL"", ""low52"")"),2.62)</f>
        <v>2.62</v>
      </c>
      <c r="I604" s="9">
        <f>IFERROR(__xludf.DUMMYFUNCTION("GOOGLEFINANCE(""ASX:CYL"", ""marketcap"")"),1.941537745E9)</f>
        <v>1941537745</v>
      </c>
      <c r="J604" s="5"/>
      <c r="K604" s="5"/>
      <c r="L604" s="5"/>
      <c r="M604" s="5"/>
      <c r="N604" s="10">
        <v>19.01</v>
      </c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6" t="s">
        <v>1247</v>
      </c>
      <c r="B605" s="6" t="s">
        <v>1248</v>
      </c>
      <c r="C605" s="5" t="s">
        <v>18</v>
      </c>
      <c r="D605" s="7">
        <f>IFERROR(__xludf.DUMMYFUNCTION("GOOGLEFINANCE(""ASX:CYM"", ""price"")"),0.56)</f>
        <v>0.56</v>
      </c>
      <c r="E605" s="8">
        <f>IFERROR(__xludf.DUMMYFUNCTION("GOOGLEFINANCE(""ASX:CYM"", ""closeyest"")"),0.59)</f>
        <v>0.59</v>
      </c>
      <c r="F605" s="5" t="str">
        <f>IFERROR(__xludf.DUMMYFUNCTION("GOOGLEFINANCE(""ASX:CYM"", ""pe"")"),"#N/A")</f>
        <v>#N/A</v>
      </c>
      <c r="G605" s="9">
        <f>IFERROR(__xludf.DUMMYFUNCTION("GOOGLEFINANCE(""ASX:CYM"", ""high52"")"),0.6)</f>
        <v>0.6</v>
      </c>
      <c r="H605" s="9">
        <f>IFERROR(__xludf.DUMMYFUNCTION("GOOGLEFINANCE(""ASX:CYM"", ""low52"")"),0.14)</f>
        <v>0.14</v>
      </c>
      <c r="I605" s="9">
        <f>IFERROR(__xludf.DUMMYFUNCTION("GOOGLEFINANCE(""ASX:CYM"", ""marketcap"")"),2.78068364E8)</f>
        <v>278068364</v>
      </c>
      <c r="J605" s="5"/>
      <c r="K605" s="5"/>
      <c r="L605" s="5"/>
      <c r="M605" s="5"/>
      <c r="N605" s="11" t="s">
        <v>19</v>
      </c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6" t="s">
        <v>1249</v>
      </c>
      <c r="B606" s="6" t="s">
        <v>1250</v>
      </c>
      <c r="C606" s="5" t="s">
        <v>25</v>
      </c>
      <c r="D606" s="7">
        <f>IFERROR(__xludf.DUMMYFUNCTION("GOOGLEFINANCE(""ASX:CYP"", ""price"")"),0.37)</f>
        <v>0.37</v>
      </c>
      <c r="E606" s="8">
        <f>IFERROR(__xludf.DUMMYFUNCTION("GOOGLEFINANCE(""ASX:CYP"", ""closeyest"")"),0.37)</f>
        <v>0.37</v>
      </c>
      <c r="F606" s="5" t="str">
        <f>IFERROR(__xludf.DUMMYFUNCTION("GOOGLEFINANCE(""ASX:CYP"", ""pe"")"),"#N/A")</f>
        <v>#N/A</v>
      </c>
      <c r="G606" s="9">
        <f>IFERROR(__xludf.DUMMYFUNCTION("GOOGLEFINANCE(""ASX:CYP"", ""high52"")"),0.44)</f>
        <v>0.44</v>
      </c>
      <c r="H606" s="9">
        <f>IFERROR(__xludf.DUMMYFUNCTION("GOOGLEFINANCE(""ASX:CYP"", ""low52"")"),0.14)</f>
        <v>0.14</v>
      </c>
      <c r="I606" s="9">
        <f>IFERROR(__xludf.DUMMYFUNCTION("GOOGLEFINANCE(""ASX:CYP"", ""marketcap"")"),8.7858092E7)</f>
        <v>87858092</v>
      </c>
      <c r="J606" s="5"/>
      <c r="K606" s="5"/>
      <c r="L606" s="5"/>
      <c r="M606" s="5"/>
      <c r="N606" s="11" t="s">
        <v>19</v>
      </c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6" t="s">
        <v>1251</v>
      </c>
      <c r="B607" s="6" t="s">
        <v>1252</v>
      </c>
      <c r="C607" s="5" t="s">
        <v>386</v>
      </c>
      <c r="D607" s="7">
        <f>IFERROR(__xludf.DUMMYFUNCTION("GOOGLEFINANCE(""ASX:CYQ"", ""price"")"),0.0)</f>
        <v>0</v>
      </c>
      <c r="E607" s="8">
        <f>IFERROR(__xludf.DUMMYFUNCTION("GOOGLEFINANCE(""ASX:CYQ"", ""closeyest"")"),0.0)</f>
        <v>0</v>
      </c>
      <c r="F607" s="5" t="str">
        <f>IFERROR(__xludf.DUMMYFUNCTION("GOOGLEFINANCE(""ASX:CYQ"", ""pe"")"),"#N/A")</f>
        <v>#N/A</v>
      </c>
      <c r="G607" s="9">
        <f>IFERROR(__xludf.DUMMYFUNCTION("GOOGLEFINANCE(""ASX:CYQ"", ""high52"")"),0.01)</f>
        <v>0.01</v>
      </c>
      <c r="H607" s="9">
        <f>IFERROR(__xludf.DUMMYFUNCTION("GOOGLEFINANCE(""ASX:CYQ"", ""low52"")"),0.0)</f>
        <v>0</v>
      </c>
      <c r="I607" s="9">
        <f>IFERROR(__xludf.DUMMYFUNCTION("GOOGLEFINANCE(""ASX:CYQ"", ""marketcap"")"),921032.0)</f>
        <v>921032</v>
      </c>
      <c r="J607" s="12">
        <v>0.004</v>
      </c>
      <c r="K607" s="12">
        <v>0.004</v>
      </c>
      <c r="L607" s="12">
        <v>0.009</v>
      </c>
      <c r="M607" s="12">
        <v>0.002</v>
      </c>
      <c r="N607" s="11" t="s">
        <v>19</v>
      </c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6" t="s">
        <v>1253</v>
      </c>
      <c r="B608" s="6" t="s">
        <v>1254</v>
      </c>
      <c r="C608" s="5" t="s">
        <v>39</v>
      </c>
      <c r="D608" s="7">
        <f>IFERROR(__xludf.DUMMYFUNCTION("GOOGLEFINANCE(""ASX:CZN"", ""price"")"),0.16)</f>
        <v>0.16</v>
      </c>
      <c r="E608" s="8">
        <f>IFERROR(__xludf.DUMMYFUNCTION("GOOGLEFINANCE(""ASX:CZN"", ""closeyest"")"),0.16)</f>
        <v>0.16</v>
      </c>
      <c r="F608" s="5" t="str">
        <f>IFERROR(__xludf.DUMMYFUNCTION("GOOGLEFINANCE(""ASX:CZN"", ""pe"")"),"#N/A")</f>
        <v>#N/A</v>
      </c>
      <c r="G608" s="9">
        <f>IFERROR(__xludf.DUMMYFUNCTION("GOOGLEFINANCE(""ASX:CZN"", ""high52"")"),0.3)</f>
        <v>0.3</v>
      </c>
      <c r="H608" s="9">
        <f>IFERROR(__xludf.DUMMYFUNCTION("GOOGLEFINANCE(""ASX:CZN"", ""low52"")"),0.05)</f>
        <v>0.05</v>
      </c>
      <c r="I608" s="9">
        <f>IFERROR(__xludf.DUMMYFUNCTION("GOOGLEFINANCE(""ASX:CZN"", ""marketcap"")"),9653391.0)</f>
        <v>9653391</v>
      </c>
      <c r="J608" s="9">
        <v>0.057</v>
      </c>
      <c r="K608" s="9">
        <v>0.059</v>
      </c>
      <c r="L608" s="9">
        <v>0.078</v>
      </c>
      <c r="M608" s="9">
        <v>0.021</v>
      </c>
      <c r="N608" s="11" t="s">
        <v>19</v>
      </c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6" t="s">
        <v>1255</v>
      </c>
      <c r="B609" s="6" t="s">
        <v>1256</v>
      </c>
      <c r="C609" s="5" t="s">
        <v>18</v>
      </c>
      <c r="D609" s="7">
        <f>IFERROR(__xludf.DUMMYFUNCTION("GOOGLEFINANCE(""ASX:CZR"", ""price"")"),0.47)</f>
        <v>0.47</v>
      </c>
      <c r="E609" s="8">
        <f>IFERROR(__xludf.DUMMYFUNCTION("GOOGLEFINANCE(""ASX:CZR"", ""closeyest"")"),0.48)</f>
        <v>0.48</v>
      </c>
      <c r="F609" s="5" t="str">
        <f>IFERROR(__xludf.DUMMYFUNCTION("GOOGLEFINANCE(""ASX:CZR"", ""pe"")"),"#N/A")</f>
        <v>#N/A</v>
      </c>
      <c r="G609" s="9">
        <f>IFERROR(__xludf.DUMMYFUNCTION("GOOGLEFINANCE(""ASX:CZR"", ""high52"")"),0.5)</f>
        <v>0.5</v>
      </c>
      <c r="H609" s="9">
        <f>IFERROR(__xludf.DUMMYFUNCTION("GOOGLEFINANCE(""ASX:CZR"", ""low52"")"),0.15)</f>
        <v>0.15</v>
      </c>
      <c r="I609" s="9">
        <f>IFERROR(__xludf.DUMMYFUNCTION("GOOGLEFINANCE(""ASX:CZR"", ""marketcap"")"),1.12371124E8)</f>
        <v>112371124</v>
      </c>
      <c r="J609" s="5"/>
      <c r="K609" s="5"/>
      <c r="L609" s="5"/>
      <c r="M609" s="5"/>
      <c r="N609" s="11" t="s">
        <v>19</v>
      </c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6" t="s">
        <v>1257</v>
      </c>
      <c r="B610" s="6" t="s">
        <v>1258</v>
      </c>
      <c r="C610" s="5" t="s">
        <v>78</v>
      </c>
      <c r="D610" s="7">
        <f>IFERROR(__xludf.DUMMYFUNCTION("GOOGLEFINANCE(""ASX:D3E"", ""price"")"),0.35)</f>
        <v>0.35</v>
      </c>
      <c r="E610" s="8">
        <f>IFERROR(__xludf.DUMMYFUNCTION("GOOGLEFINANCE(""ASX:D3E"", ""closeyest"")"),0.37)</f>
        <v>0.37</v>
      </c>
      <c r="F610" s="5" t="str">
        <f>IFERROR(__xludf.DUMMYFUNCTION("GOOGLEFINANCE(""ASX:D3E"", ""pe"")"),"#N/A")</f>
        <v>#N/A</v>
      </c>
      <c r="G610" s="9">
        <f>IFERROR(__xludf.DUMMYFUNCTION("GOOGLEFINANCE(""ASX:D3E"", ""high52"")"),0.6)</f>
        <v>0.6</v>
      </c>
      <c r="H610" s="9">
        <f>IFERROR(__xludf.DUMMYFUNCTION("GOOGLEFINANCE(""ASX:D3E"", ""low52"")"),0.05)</f>
        <v>0.05</v>
      </c>
      <c r="I610" s="9">
        <f>IFERROR(__xludf.DUMMYFUNCTION("GOOGLEFINANCE(""ASX:D3E"", ""marketcap"")"),2.8398892E7)</f>
        <v>28398892</v>
      </c>
      <c r="J610" s="5"/>
      <c r="K610" s="5"/>
      <c r="L610" s="5"/>
      <c r="M610" s="5"/>
      <c r="N610" s="11" t="s">
        <v>19</v>
      </c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6" t="s">
        <v>1259</v>
      </c>
      <c r="B611" s="6" t="s">
        <v>1260</v>
      </c>
      <c r="C611" s="5" t="s">
        <v>36</v>
      </c>
      <c r="D611" s="7" t="str">
        <f>IFERROR(__xludf.DUMMYFUNCTION("GOOGLEFINANCE(""ASX:DACE"", ""price"")"),"#N/A")</f>
        <v>#N/A</v>
      </c>
      <c r="E611" s="8" t="str">
        <f>IFERROR(__xludf.DUMMYFUNCTION("GOOGLEFINANCE(""ASX:DACE"", ""closeyest"")"),"#N/A")</f>
        <v>#N/A</v>
      </c>
      <c r="F611" s="5" t="str">
        <f>IFERROR(__xludf.DUMMYFUNCTION("GOOGLEFINANCE(""ASX:DACE"", ""pe"")"),"#N/A")</f>
        <v>#N/A</v>
      </c>
      <c r="G611" s="5" t="str">
        <f>IFERROR(__xludf.DUMMYFUNCTION("GOOGLEFINANCE(""ASX:DACE"", ""high52"")"),"#N/A")</f>
        <v>#N/A</v>
      </c>
      <c r="H611" s="5" t="str">
        <f>IFERROR(__xludf.DUMMYFUNCTION("GOOGLEFINANCE(""ASX:DACE"", ""low52"")"),"#N/A")</f>
        <v>#N/A</v>
      </c>
      <c r="I611" s="9" t="str">
        <f>IFERROR(__xludf.DUMMYFUNCTION("GOOGLEFINANCE(""ASX:DACE"", ""marketcap"")"),"#N/A")</f>
        <v>#N/A</v>
      </c>
      <c r="J611" s="12">
        <v>18.61</v>
      </c>
      <c r="K611" s="12">
        <v>18.54</v>
      </c>
      <c r="L611" s="12">
        <v>19.0</v>
      </c>
      <c r="M611" s="12">
        <v>14.51</v>
      </c>
      <c r="N611" s="11" t="s">
        <v>19</v>
      </c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6" t="s">
        <v>1261</v>
      </c>
      <c r="B612" s="6" t="s">
        <v>1262</v>
      </c>
      <c r="C612" s="5" t="s">
        <v>18</v>
      </c>
      <c r="D612" s="7">
        <f>IFERROR(__xludf.DUMMYFUNCTION("GOOGLEFINANCE(""ASX:DAF"", ""price"")"),0.02)</f>
        <v>0.02</v>
      </c>
      <c r="E612" s="8">
        <f>IFERROR(__xludf.DUMMYFUNCTION("GOOGLEFINANCE(""ASX:DAF"", ""closeyest"")"),0.02)</f>
        <v>0.02</v>
      </c>
      <c r="F612" s="5" t="str">
        <f>IFERROR(__xludf.DUMMYFUNCTION("GOOGLEFINANCE(""ASX:DAF"", ""pe"")"),"#N/A")</f>
        <v>#N/A</v>
      </c>
      <c r="G612" s="9">
        <f>IFERROR(__xludf.DUMMYFUNCTION("GOOGLEFINANCE(""ASX:DAF"", ""high52"")"),0.03)</f>
        <v>0.03</v>
      </c>
      <c r="H612" s="9">
        <f>IFERROR(__xludf.DUMMYFUNCTION("GOOGLEFINANCE(""ASX:DAF"", ""low52"")"),0.01)</f>
        <v>0.01</v>
      </c>
      <c r="I612" s="9">
        <f>IFERROR(__xludf.DUMMYFUNCTION("GOOGLEFINANCE(""ASX:DAF"", ""marketcap"")"),4450455.0)</f>
        <v>4450455</v>
      </c>
      <c r="J612" s="5"/>
      <c r="K612" s="5"/>
      <c r="L612" s="5"/>
      <c r="M612" s="5"/>
      <c r="N612" s="11" t="s">
        <v>19</v>
      </c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6" t="s">
        <v>1263</v>
      </c>
      <c r="B613" s="6" t="s">
        <v>1264</v>
      </c>
      <c r="C613" s="5" t="s">
        <v>184</v>
      </c>
      <c r="D613" s="7">
        <f>IFERROR(__xludf.DUMMYFUNCTION("GOOGLEFINANCE(""ASX:DAI"", ""price"")"),0.57)</f>
        <v>0.57</v>
      </c>
      <c r="E613" s="8">
        <f>IFERROR(__xludf.DUMMYFUNCTION("GOOGLEFINANCE(""ASX:DAI"", ""closeyest"")"),0.6)</f>
        <v>0.6</v>
      </c>
      <c r="F613" s="9">
        <f>IFERROR(__xludf.DUMMYFUNCTION("GOOGLEFINANCE(""ASX:DAI"", ""pe"")"),1.82)</f>
        <v>1.82</v>
      </c>
      <c r="G613" s="9">
        <f>IFERROR(__xludf.DUMMYFUNCTION("GOOGLEFINANCE(""ASX:DAI"", ""high52"")"),1.14)</f>
        <v>1.14</v>
      </c>
      <c r="H613" s="9">
        <f>IFERROR(__xludf.DUMMYFUNCTION("GOOGLEFINANCE(""ASX:DAI"", ""low52"")"),0.34)</f>
        <v>0.34</v>
      </c>
      <c r="I613" s="9">
        <f>IFERROR(__xludf.DUMMYFUNCTION("GOOGLEFINANCE(""ASX:DAI"", ""marketcap"")"),1.80260844E8)</f>
        <v>180260844</v>
      </c>
      <c r="J613" s="5"/>
      <c r="K613" s="5"/>
      <c r="L613" s="5"/>
      <c r="M613" s="5"/>
      <c r="N613" s="10">
        <v>1.96</v>
      </c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6" t="s">
        <v>1265</v>
      </c>
      <c r="B614" s="6" t="s">
        <v>1266</v>
      </c>
      <c r="C614" s="5" t="s">
        <v>39</v>
      </c>
      <c r="D614" s="7">
        <f>IFERROR(__xludf.DUMMYFUNCTION("GOOGLEFINANCE(""ASX:DAL"", ""price"")"),0.05)</f>
        <v>0.05</v>
      </c>
      <c r="E614" s="8">
        <f>IFERROR(__xludf.DUMMYFUNCTION("GOOGLEFINANCE(""ASX:DAL"", ""closeyest"")"),0.04)</f>
        <v>0.04</v>
      </c>
      <c r="F614" s="5" t="str">
        <f>IFERROR(__xludf.DUMMYFUNCTION("GOOGLEFINANCE(""ASX:DAL"", ""pe"")"),"#N/A")</f>
        <v>#N/A</v>
      </c>
      <c r="G614" s="9">
        <f>IFERROR(__xludf.DUMMYFUNCTION("GOOGLEFINANCE(""ASX:DAL"", ""high52"")"),0.08)</f>
        <v>0.08</v>
      </c>
      <c r="H614" s="9">
        <f>IFERROR(__xludf.DUMMYFUNCTION("GOOGLEFINANCE(""ASX:DAL"", ""low52"")"),0.02)</f>
        <v>0.02</v>
      </c>
      <c r="I614" s="9">
        <f>IFERROR(__xludf.DUMMYFUNCTION("GOOGLEFINANCE(""ASX:DAL"", ""marketcap"")"),1.6295439E7)</f>
        <v>16295439</v>
      </c>
      <c r="J614" s="5"/>
      <c r="K614" s="5"/>
      <c r="L614" s="5"/>
      <c r="M614" s="5"/>
      <c r="N614" s="11" t="s">
        <v>19</v>
      </c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6" t="s">
        <v>1267</v>
      </c>
      <c r="B615" s="6" t="s">
        <v>1268</v>
      </c>
      <c r="C615" s="5" t="s">
        <v>36</v>
      </c>
      <c r="D615" s="7" t="str">
        <f>IFERROR(__xludf.DUMMYFUNCTION("GOOGLEFINANCE(""ASX:DAOR"", ""price"")"),"#N/A")</f>
        <v>#N/A</v>
      </c>
      <c r="E615" s="8" t="str">
        <f>IFERROR(__xludf.DUMMYFUNCTION("GOOGLEFINANCE(""ASX:DAOR"", ""closeyest"")"),"#N/A")</f>
        <v>#N/A</v>
      </c>
      <c r="F615" s="5" t="str">
        <f>IFERROR(__xludf.DUMMYFUNCTION("GOOGLEFINANCE(""ASX:DAOR"", ""pe"")"),"#N/A")</f>
        <v>#N/A</v>
      </c>
      <c r="G615" s="5" t="str">
        <f>IFERROR(__xludf.DUMMYFUNCTION("GOOGLEFINANCE(""ASX:DAOR"", ""high52"")"),"#N/A")</f>
        <v>#N/A</v>
      </c>
      <c r="H615" s="5" t="str">
        <f>IFERROR(__xludf.DUMMYFUNCTION("GOOGLEFINANCE(""ASX:DAOR"", ""low52"")"),"#N/A")</f>
        <v>#N/A</v>
      </c>
      <c r="I615" s="9" t="str">
        <f>IFERROR(__xludf.DUMMYFUNCTION("GOOGLEFINANCE(""ASX:DAOR"", ""marketcap"")"),"#N/A")</f>
        <v>#N/A</v>
      </c>
      <c r="J615" s="12">
        <v>1.98</v>
      </c>
      <c r="K615" s="12">
        <v>1.96</v>
      </c>
      <c r="L615" s="12">
        <v>2.02</v>
      </c>
      <c r="M615" s="12">
        <v>1.625</v>
      </c>
      <c r="N615" s="11" t="s">
        <v>19</v>
      </c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6" t="s">
        <v>1269</v>
      </c>
      <c r="B616" s="6" t="s">
        <v>1270</v>
      </c>
      <c r="C616" s="5" t="s">
        <v>36</v>
      </c>
      <c r="D616" s="7">
        <f>IFERROR(__xludf.DUMMYFUNCTION("GOOGLEFINANCE(""ASX:DAVA"", ""price"")"),30.69)</f>
        <v>30.69</v>
      </c>
      <c r="E616" s="8">
        <f>IFERROR(__xludf.DUMMYFUNCTION("GOOGLEFINANCE(""ASX:DAVA"", ""closeyest"")"),30.77)</f>
        <v>30.77</v>
      </c>
      <c r="F616" s="5" t="str">
        <f>IFERROR(__xludf.DUMMYFUNCTION("GOOGLEFINANCE(""ASX:DAVA"", ""pe"")"),"#N/A")</f>
        <v>#N/A</v>
      </c>
      <c r="G616" s="9">
        <f>IFERROR(__xludf.DUMMYFUNCTION("GOOGLEFINANCE(""ASX:DAVA"", ""high52"")"),31.11)</f>
        <v>31.11</v>
      </c>
      <c r="H616" s="9">
        <f>IFERROR(__xludf.DUMMYFUNCTION("GOOGLEFINANCE(""ASX:DAVA"", ""low52"")"),23.58)</f>
        <v>23.58</v>
      </c>
      <c r="I616" s="9" t="str">
        <f>IFERROR(__xludf.DUMMYFUNCTION("GOOGLEFINANCE(""ASX:DAVA"", ""marketcap"")"),"#N/A")</f>
        <v>#N/A</v>
      </c>
      <c r="J616" s="5"/>
      <c r="K616" s="5"/>
      <c r="L616" s="5"/>
      <c r="M616" s="5"/>
      <c r="N616" s="11" t="s">
        <v>19</v>
      </c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6" t="s">
        <v>1271</v>
      </c>
      <c r="B617" s="6" t="s">
        <v>1272</v>
      </c>
      <c r="C617" s="5" t="s">
        <v>36</v>
      </c>
      <c r="D617" s="7">
        <f>IFERROR(__xludf.DUMMYFUNCTION("GOOGLEFINANCE(""ASX:DBBF"", ""price"")"),26.16)</f>
        <v>26.16</v>
      </c>
      <c r="E617" s="8">
        <f>IFERROR(__xludf.DUMMYFUNCTION("GOOGLEFINANCE(""ASX:DBBF"", ""closeyest"")"),26.07)</f>
        <v>26.07</v>
      </c>
      <c r="F617" s="5" t="str">
        <f>IFERROR(__xludf.DUMMYFUNCTION("GOOGLEFINANCE(""ASX:DBBF"", ""pe"")"),"#N/A")</f>
        <v>#N/A</v>
      </c>
      <c r="G617" s="9">
        <f>IFERROR(__xludf.DUMMYFUNCTION("GOOGLEFINANCE(""ASX:DBBF"", ""high52"")"),27.23)</f>
        <v>27.23</v>
      </c>
      <c r="H617" s="9">
        <f>IFERROR(__xludf.DUMMYFUNCTION("GOOGLEFINANCE(""ASX:DBBF"", ""low52"")"),24.28)</f>
        <v>24.28</v>
      </c>
      <c r="I617" s="9" t="str">
        <f>IFERROR(__xludf.DUMMYFUNCTION("GOOGLEFINANCE(""ASX:DBBF"", ""marketcap"")"),"#N/A")</f>
        <v>#N/A</v>
      </c>
      <c r="J617" s="5"/>
      <c r="K617" s="5"/>
      <c r="L617" s="5"/>
      <c r="M617" s="5"/>
      <c r="N617" s="11" t="s">
        <v>19</v>
      </c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6" t="s">
        <v>1273</v>
      </c>
      <c r="B618" s="6" t="s">
        <v>1274</v>
      </c>
      <c r="C618" s="5" t="s">
        <v>128</v>
      </c>
      <c r="D618" s="7">
        <f>IFERROR(__xludf.DUMMYFUNCTION("GOOGLEFINANCE(""ASX:DBF"", ""price"")"),0.82)</f>
        <v>0.82</v>
      </c>
      <c r="E618" s="8">
        <f>IFERROR(__xludf.DUMMYFUNCTION("GOOGLEFINANCE(""ASX:DBF"", ""closeyest"")"),0.83)</f>
        <v>0.83</v>
      </c>
      <c r="F618" s="5" t="str">
        <f>IFERROR(__xludf.DUMMYFUNCTION("GOOGLEFINANCE(""ASX:DBF"", ""pe"")"),"#N/A")</f>
        <v>#N/A</v>
      </c>
      <c r="G618" s="9">
        <f>IFERROR(__xludf.DUMMYFUNCTION("GOOGLEFINANCE(""ASX:DBF"", ""high52"")"),1.48)</f>
        <v>1.48</v>
      </c>
      <c r="H618" s="9">
        <f>IFERROR(__xludf.DUMMYFUNCTION("GOOGLEFINANCE(""ASX:DBF"", ""low52"")"),0.76)</f>
        <v>0.76</v>
      </c>
      <c r="I618" s="9">
        <f>IFERROR(__xludf.DUMMYFUNCTION("GOOGLEFINANCE(""ASX:DBF"", ""marketcap"")"),8.7846189E7)</f>
        <v>87846189</v>
      </c>
      <c r="J618" s="5"/>
      <c r="K618" s="5"/>
      <c r="L618" s="5"/>
      <c r="M618" s="5"/>
      <c r="N618" s="11" t="s">
        <v>19</v>
      </c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6" t="s">
        <v>1275</v>
      </c>
      <c r="B619" s="6" t="s">
        <v>1276</v>
      </c>
      <c r="C619" s="5" t="s">
        <v>898</v>
      </c>
      <c r="D619" s="7">
        <f>IFERROR(__xludf.DUMMYFUNCTION("GOOGLEFINANCE(""ASX:DBI"", ""price"")"),4.83)</f>
        <v>4.83</v>
      </c>
      <c r="E619" s="8">
        <f>IFERROR(__xludf.DUMMYFUNCTION("GOOGLEFINANCE(""ASX:DBI"", ""closeyest"")"),4.85)</f>
        <v>4.85</v>
      </c>
      <c r="F619" s="9">
        <f>IFERROR(__xludf.DUMMYFUNCTION("GOOGLEFINANCE(""ASX:DBI"", ""pe"")"),27.17)</f>
        <v>27.17</v>
      </c>
      <c r="G619" s="9">
        <f>IFERROR(__xludf.DUMMYFUNCTION("GOOGLEFINANCE(""ASX:DBI"", ""high52"")"),5.02)</f>
        <v>5.02</v>
      </c>
      <c r="H619" s="9">
        <f>IFERROR(__xludf.DUMMYFUNCTION("GOOGLEFINANCE(""ASX:DBI"", ""low52"")"),3.39)</f>
        <v>3.39</v>
      </c>
      <c r="I619" s="9">
        <f>IFERROR(__xludf.DUMMYFUNCTION("GOOGLEFINANCE(""ASX:DBI"", ""marketcap"")"),2.39452849E9)</f>
        <v>2394528490</v>
      </c>
      <c r="J619" s="5"/>
      <c r="K619" s="5"/>
      <c r="L619" s="5"/>
      <c r="M619" s="5"/>
      <c r="N619" s="10">
        <v>27.74</v>
      </c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6" t="s">
        <v>1277</v>
      </c>
      <c r="B620" s="6" t="s">
        <v>1278</v>
      </c>
      <c r="C620" s="5" t="s">
        <v>18</v>
      </c>
      <c r="D620" s="7">
        <f>IFERROR(__xludf.DUMMYFUNCTION("GOOGLEFINANCE(""ASX:DBO"", ""price"")"),0.03)</f>
        <v>0.03</v>
      </c>
      <c r="E620" s="8">
        <f>IFERROR(__xludf.DUMMYFUNCTION("GOOGLEFINANCE(""ASX:DBO"", ""closeyest"")"),0.02)</f>
        <v>0.02</v>
      </c>
      <c r="F620" s="5" t="str">
        <f>IFERROR(__xludf.DUMMYFUNCTION("GOOGLEFINANCE(""ASX:DBO"", ""pe"")"),"#N/A")</f>
        <v>#N/A</v>
      </c>
      <c r="G620" s="9">
        <f>IFERROR(__xludf.DUMMYFUNCTION("GOOGLEFINANCE(""ASX:DBO"", ""high52"")"),0.06)</f>
        <v>0.06</v>
      </c>
      <c r="H620" s="9">
        <f>IFERROR(__xludf.DUMMYFUNCTION("GOOGLEFINANCE(""ASX:DBO"", ""low52"")"),0.01)</f>
        <v>0.01</v>
      </c>
      <c r="I620" s="9">
        <f>IFERROR(__xludf.DUMMYFUNCTION("GOOGLEFINANCE(""ASX:DBO"", ""marketcap"")"),6780462.0)</f>
        <v>6780462</v>
      </c>
      <c r="J620" s="5"/>
      <c r="K620" s="5"/>
      <c r="L620" s="5"/>
      <c r="M620" s="5"/>
      <c r="N620" s="11" t="s">
        <v>19</v>
      </c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6" t="s">
        <v>1279</v>
      </c>
      <c r="B621" s="6" t="s">
        <v>1280</v>
      </c>
      <c r="C621" s="5" t="s">
        <v>15</v>
      </c>
      <c r="D621" s="7">
        <f>IFERROR(__xludf.DUMMYFUNCTION("GOOGLEFINANCE(""ASX:DCC"", ""price"")"),0.04)</f>
        <v>0.04</v>
      </c>
      <c r="E621" s="8">
        <f>IFERROR(__xludf.DUMMYFUNCTION("GOOGLEFINANCE(""ASX:DCC"", ""closeyest"")"),0.04)</f>
        <v>0.04</v>
      </c>
      <c r="F621" s="5" t="str">
        <f>IFERROR(__xludf.DUMMYFUNCTION("GOOGLEFINANCE(""ASX:DCC"", ""pe"")"),"#N/A")</f>
        <v>#N/A</v>
      </c>
      <c r="G621" s="9">
        <f>IFERROR(__xludf.DUMMYFUNCTION("GOOGLEFINANCE(""ASX:DCC"", ""high52"")"),0.13)</f>
        <v>0.13</v>
      </c>
      <c r="H621" s="9">
        <f>IFERROR(__xludf.DUMMYFUNCTION("GOOGLEFINANCE(""ASX:DCC"", ""low52"")"),0.04)</f>
        <v>0.04</v>
      </c>
      <c r="I621" s="9">
        <f>IFERROR(__xludf.DUMMYFUNCTION("GOOGLEFINANCE(""ASX:DCC"", ""marketcap"")"),6.1028911E7)</f>
        <v>61028911</v>
      </c>
      <c r="J621" s="5"/>
      <c r="K621" s="5"/>
      <c r="L621" s="5"/>
      <c r="M621" s="5"/>
      <c r="N621" s="11" t="s">
        <v>19</v>
      </c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6" t="s">
        <v>1281</v>
      </c>
      <c r="B622" s="6" t="s">
        <v>1282</v>
      </c>
      <c r="C622" s="5" t="s">
        <v>36</v>
      </c>
      <c r="D622" s="7">
        <f>IFERROR(__xludf.DUMMYFUNCTION("GOOGLEFINANCE(""ASX:DCOR"", ""price"")"),51.88)</f>
        <v>51.88</v>
      </c>
      <c r="E622" s="8">
        <f>IFERROR(__xludf.DUMMYFUNCTION("GOOGLEFINANCE(""ASX:DCOR"", ""closeyest"")"),51.91)</f>
        <v>51.91</v>
      </c>
      <c r="F622" s="5" t="str">
        <f>IFERROR(__xludf.DUMMYFUNCTION("GOOGLEFINANCE(""ASX:DCOR"", ""pe"")"),"#N/A")</f>
        <v>#N/A</v>
      </c>
      <c r="G622" s="9">
        <f>IFERROR(__xludf.DUMMYFUNCTION("GOOGLEFINANCE(""ASX:DCOR"", ""high52"")"),51.91)</f>
        <v>51.91</v>
      </c>
      <c r="H622" s="9">
        <f>IFERROR(__xludf.DUMMYFUNCTION("GOOGLEFINANCE(""ASX:DCOR"", ""low52"")"),50.75)</f>
        <v>50.75</v>
      </c>
      <c r="I622" s="9" t="str">
        <f>IFERROR(__xludf.DUMMYFUNCTION("GOOGLEFINANCE(""ASX:DCOR"", ""marketcap"")"),"#N/A")</f>
        <v>#N/A</v>
      </c>
      <c r="J622" s="5"/>
      <c r="K622" s="5"/>
      <c r="L622" s="5"/>
      <c r="M622" s="5"/>
      <c r="N622" s="11" t="s">
        <v>19</v>
      </c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6" t="s">
        <v>1283</v>
      </c>
      <c r="B623" s="6" t="s">
        <v>1284</v>
      </c>
      <c r="C623" s="5" t="s">
        <v>59</v>
      </c>
      <c r="D623" s="7">
        <f>IFERROR(__xludf.DUMMYFUNCTION("GOOGLEFINANCE(""ASX:DDR"", ""price"")"),9.69)</f>
        <v>9.69</v>
      </c>
      <c r="E623" s="8">
        <f>IFERROR(__xludf.DUMMYFUNCTION("GOOGLEFINANCE(""ASX:DDR"", ""closeyest"")"),9.57)</f>
        <v>9.57</v>
      </c>
      <c r="F623" s="9">
        <f>IFERROR(__xludf.DUMMYFUNCTION("GOOGLEFINANCE(""ASX:DDR"", ""pe"")"),21.18)</f>
        <v>21.18</v>
      </c>
      <c r="G623" s="9">
        <f>IFERROR(__xludf.DUMMYFUNCTION("GOOGLEFINANCE(""ASX:DDR"", ""high52"")"),10.94)</f>
        <v>10.94</v>
      </c>
      <c r="H623" s="9">
        <f>IFERROR(__xludf.DUMMYFUNCTION("GOOGLEFINANCE(""ASX:DDR"", ""low52"")"),7.58)</f>
        <v>7.58</v>
      </c>
      <c r="I623" s="9">
        <f>IFERROR(__xludf.DUMMYFUNCTION("GOOGLEFINANCE(""ASX:DDR"", ""marketcap"")"),1.752124406E9)</f>
        <v>1752124406</v>
      </c>
      <c r="J623" s="9">
        <v>0.004</v>
      </c>
      <c r="K623" s="9">
        <v>0.004</v>
      </c>
      <c r="L623" s="9">
        <v>0.012</v>
      </c>
      <c r="M623" s="9">
        <v>0.002</v>
      </c>
      <c r="N623" s="10">
        <v>22.18</v>
      </c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6" t="s">
        <v>1285</v>
      </c>
      <c r="B624" s="6" t="s">
        <v>1286</v>
      </c>
      <c r="C624" s="5" t="s">
        <v>15</v>
      </c>
      <c r="D624" s="7">
        <f>IFERROR(__xludf.DUMMYFUNCTION("GOOGLEFINANCE(""ASX:DDT"", ""price"")"),0.0)</f>
        <v>0</v>
      </c>
      <c r="E624" s="8">
        <f>IFERROR(__xludf.DUMMYFUNCTION("GOOGLEFINANCE(""ASX:DDT"", ""closeyest"")"),0.01)</f>
        <v>0.01</v>
      </c>
      <c r="F624" s="9">
        <f>IFERROR(__xludf.DUMMYFUNCTION("GOOGLEFINANCE(""ASX:DDT"", ""pe"")"),44.44)</f>
        <v>44.44</v>
      </c>
      <c r="G624" s="9">
        <f>IFERROR(__xludf.DUMMYFUNCTION("GOOGLEFINANCE(""ASX:DDT"", ""high52"")"),0.01)</f>
        <v>0.01</v>
      </c>
      <c r="H624" s="9">
        <f>IFERROR(__xludf.DUMMYFUNCTION("GOOGLEFINANCE(""ASX:DDT"", ""low52"")"),0.0)</f>
        <v>0</v>
      </c>
      <c r="I624" s="9">
        <f>IFERROR(__xludf.DUMMYFUNCTION("GOOGLEFINANCE(""ASX:DDT"", ""marketcap"")"),2421904.0)</f>
        <v>2421904</v>
      </c>
      <c r="J624" s="12">
        <v>0.004</v>
      </c>
      <c r="K624" s="12">
        <v>0.005</v>
      </c>
      <c r="L624" s="12">
        <v>0.006</v>
      </c>
      <c r="M624" s="12">
        <v>0.003</v>
      </c>
      <c r="N624" s="10">
        <v>55.56</v>
      </c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6" t="s">
        <v>1287</v>
      </c>
      <c r="B625" s="6" t="s">
        <v>1288</v>
      </c>
      <c r="C625" s="5" t="s">
        <v>954</v>
      </c>
      <c r="D625" s="7">
        <f>IFERROR(__xludf.DUMMYFUNCTION("GOOGLEFINANCE(""ASX:DEL"", ""price"")"),0.11)</f>
        <v>0.11</v>
      </c>
      <c r="E625" s="8">
        <f>IFERROR(__xludf.DUMMYFUNCTION("GOOGLEFINANCE(""ASX:DEL"", ""closeyest"")"),0.11)</f>
        <v>0.11</v>
      </c>
      <c r="F625" s="5" t="str">
        <f>IFERROR(__xludf.DUMMYFUNCTION("GOOGLEFINANCE(""ASX:DEL"", ""pe"")"),"#N/A")</f>
        <v>#N/A</v>
      </c>
      <c r="G625" s="9">
        <f>IFERROR(__xludf.DUMMYFUNCTION("GOOGLEFINANCE(""ASX:DEL"", ""high52"")"),0.2)</f>
        <v>0.2</v>
      </c>
      <c r="H625" s="9">
        <f>IFERROR(__xludf.DUMMYFUNCTION("GOOGLEFINANCE(""ASX:DEL"", ""low52"")"),0.09)</f>
        <v>0.09</v>
      </c>
      <c r="I625" s="9">
        <f>IFERROR(__xludf.DUMMYFUNCTION("GOOGLEFINANCE(""ASX:DEL"", ""marketcap"")"),2.3220988E7)</f>
        <v>23220988</v>
      </c>
      <c r="J625" s="5"/>
      <c r="K625" s="5"/>
      <c r="L625" s="5"/>
      <c r="M625" s="5"/>
      <c r="N625" s="11" t="s">
        <v>19</v>
      </c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6" t="s">
        <v>1289</v>
      </c>
      <c r="B626" s="6" t="s">
        <v>1290</v>
      </c>
      <c r="C626" s="5" t="s">
        <v>1291</v>
      </c>
      <c r="D626" s="7">
        <f>IFERROR(__xludf.DUMMYFUNCTION("GOOGLEFINANCE(""ASX:DEM"", ""price"")"),0.11)</f>
        <v>0.11</v>
      </c>
      <c r="E626" s="8">
        <f>IFERROR(__xludf.DUMMYFUNCTION("GOOGLEFINANCE(""ASX:DEM"", ""closeyest"")"),0.11)</f>
        <v>0.11</v>
      </c>
      <c r="F626" s="5" t="str">
        <f>IFERROR(__xludf.DUMMYFUNCTION("GOOGLEFINANCE(""ASX:DEM"", ""pe"")"),"#N/A")</f>
        <v>#N/A</v>
      </c>
      <c r="G626" s="9">
        <f>IFERROR(__xludf.DUMMYFUNCTION("GOOGLEFINANCE(""ASX:DEM"", ""high52"")"),0.14)</f>
        <v>0.14</v>
      </c>
      <c r="H626" s="9">
        <f>IFERROR(__xludf.DUMMYFUNCTION("GOOGLEFINANCE(""ASX:DEM"", ""low52"")"),0.08)</f>
        <v>0.08</v>
      </c>
      <c r="I626" s="9">
        <f>IFERROR(__xludf.DUMMYFUNCTION("GOOGLEFINANCE(""ASX:DEM"", ""marketcap"")"),3.5635038E7)</f>
        <v>35635038</v>
      </c>
      <c r="J626" s="5"/>
      <c r="K626" s="5"/>
      <c r="L626" s="5"/>
      <c r="M626" s="5"/>
      <c r="N626" s="11" t="s">
        <v>19</v>
      </c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6" t="s">
        <v>1289</v>
      </c>
      <c r="B627" s="6" t="s">
        <v>1290</v>
      </c>
      <c r="C627" s="5" t="s">
        <v>1291</v>
      </c>
      <c r="D627" s="7">
        <f>IFERROR(__xludf.DUMMYFUNCTION("GOOGLEFINANCE(""ASX:DEM"", ""price"")"),0.11)</f>
        <v>0.11</v>
      </c>
      <c r="E627" s="8">
        <f>IFERROR(__xludf.DUMMYFUNCTION("GOOGLEFINANCE(""ASX:DEM"", ""closeyest"")"),0.11)</f>
        <v>0.11</v>
      </c>
      <c r="F627" s="5" t="str">
        <f>IFERROR(__xludf.DUMMYFUNCTION("GOOGLEFINANCE(""ASX:DEM"", ""pe"")"),"#N/A")</f>
        <v>#N/A</v>
      </c>
      <c r="G627" s="9">
        <f>IFERROR(__xludf.DUMMYFUNCTION("GOOGLEFINANCE(""ASX:DEM"", ""high52"")"),0.14)</f>
        <v>0.14</v>
      </c>
      <c r="H627" s="9">
        <f>IFERROR(__xludf.DUMMYFUNCTION("GOOGLEFINANCE(""ASX:DEM"", ""low52"")"),0.08)</f>
        <v>0.08</v>
      </c>
      <c r="I627" s="9">
        <f>IFERROR(__xludf.DUMMYFUNCTION("GOOGLEFINANCE(""ASX:DEM"", ""marketcap"")"),3.5635038E7)</f>
        <v>35635038</v>
      </c>
      <c r="J627" s="5"/>
      <c r="K627" s="5"/>
      <c r="L627" s="5"/>
      <c r="M627" s="5"/>
      <c r="N627" s="11" t="s">
        <v>19</v>
      </c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13" t="s">
        <v>1289</v>
      </c>
      <c r="B628" s="13" t="s">
        <v>1290</v>
      </c>
      <c r="C628" s="14" t="s">
        <v>1291</v>
      </c>
      <c r="D628" s="15">
        <f>IFERROR(__xludf.DUMMYFUNCTION("GOOGLEFINANCE(""ASX:DEM"", ""price"")"),0.11)</f>
        <v>0.11</v>
      </c>
      <c r="E628" s="8">
        <f>IFERROR(__xludf.DUMMYFUNCTION("GOOGLEFINANCE(""ASX:DEM"", ""closeyest"")"),0.11)</f>
        <v>0.11</v>
      </c>
      <c r="F628" s="5" t="str">
        <f>IFERROR(__xludf.DUMMYFUNCTION("GOOGLEFINANCE(""ASX:DEM"", ""pe"")"),"#N/A")</f>
        <v>#N/A</v>
      </c>
      <c r="G628" s="9">
        <f>IFERROR(__xludf.DUMMYFUNCTION("GOOGLEFINANCE(""ASX:DEM"", ""high52"")"),0.14)</f>
        <v>0.14</v>
      </c>
      <c r="H628" s="9">
        <f>IFERROR(__xludf.DUMMYFUNCTION("GOOGLEFINANCE(""ASX:DEM"", ""low52"")"),0.08)</f>
        <v>0.08</v>
      </c>
      <c r="I628" s="9">
        <f>IFERROR(__xludf.DUMMYFUNCTION("GOOGLEFINANCE(""ASX:DEM"", ""marketcap"")"),3.5635038E7)</f>
        <v>35635038</v>
      </c>
      <c r="J628" s="5"/>
      <c r="K628" s="5"/>
      <c r="L628" s="5"/>
      <c r="M628" s="5"/>
      <c r="N628" s="11" t="s">
        <v>19</v>
      </c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6" t="s">
        <v>1292</v>
      </c>
      <c r="B629" s="6" t="s">
        <v>1293</v>
      </c>
      <c r="C629" s="5" t="s">
        <v>18</v>
      </c>
      <c r="D629" s="7">
        <f>IFERROR(__xludf.DUMMYFUNCTION("GOOGLEFINANCE(""ASX:DES"", ""price"")"),0.15)</f>
        <v>0.15</v>
      </c>
      <c r="E629" s="8">
        <f>IFERROR(__xludf.DUMMYFUNCTION("GOOGLEFINANCE(""ASX:DES"", ""closeyest"")"),0.14)</f>
        <v>0.14</v>
      </c>
      <c r="F629" s="5" t="str">
        <f>IFERROR(__xludf.DUMMYFUNCTION("GOOGLEFINANCE(""ASX:DES"", ""pe"")"),"#N/A")</f>
        <v>#N/A</v>
      </c>
      <c r="G629" s="9">
        <f>IFERROR(__xludf.DUMMYFUNCTION("GOOGLEFINANCE(""ASX:DES"", ""high52"")"),0.26)</f>
        <v>0.26</v>
      </c>
      <c r="H629" s="9">
        <f>IFERROR(__xludf.DUMMYFUNCTION("GOOGLEFINANCE(""ASX:DES"", ""low52"")"),0.06)</f>
        <v>0.06</v>
      </c>
      <c r="I629" s="9">
        <f>IFERROR(__xludf.DUMMYFUNCTION("GOOGLEFINANCE(""ASX:DES"", ""marketcap"")"),4.1517826E7)</f>
        <v>41517826</v>
      </c>
      <c r="J629" s="5"/>
      <c r="K629" s="5"/>
      <c r="L629" s="5"/>
      <c r="M629" s="5"/>
      <c r="N629" s="11" t="s">
        <v>19</v>
      </c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6" t="s">
        <v>1294</v>
      </c>
      <c r="B630" s="6" t="s">
        <v>1295</v>
      </c>
      <c r="C630" s="5" t="s">
        <v>18</v>
      </c>
      <c r="D630" s="7">
        <f>IFERROR(__xludf.DUMMYFUNCTION("GOOGLEFINANCE(""ASX:DEV"", ""price"")"),0.19)</f>
        <v>0.19</v>
      </c>
      <c r="E630" s="8">
        <f>IFERROR(__xludf.DUMMYFUNCTION("GOOGLEFINANCE(""ASX:DEV"", ""closeyest"")"),0.19)</f>
        <v>0.19</v>
      </c>
      <c r="F630" s="5" t="str">
        <f>IFERROR(__xludf.DUMMYFUNCTION("GOOGLEFINANCE(""ASX:DEV"", ""pe"")"),"#N/A")</f>
        <v>#N/A</v>
      </c>
      <c r="G630" s="9">
        <f>IFERROR(__xludf.DUMMYFUNCTION("GOOGLEFINANCE(""ASX:DEV"", ""high52"")"),0.2)</f>
        <v>0.2</v>
      </c>
      <c r="H630" s="9">
        <f>IFERROR(__xludf.DUMMYFUNCTION("GOOGLEFINANCE(""ASX:DEV"", ""low52"")"),0.07)</f>
        <v>0.07</v>
      </c>
      <c r="I630" s="9">
        <f>IFERROR(__xludf.DUMMYFUNCTION("GOOGLEFINANCE(""ASX:DEV"", ""marketcap"")"),1.07701784E8)</f>
        <v>107701784</v>
      </c>
      <c r="J630" s="5"/>
      <c r="K630" s="5"/>
      <c r="L630" s="5"/>
      <c r="M630" s="5"/>
      <c r="N630" s="11" t="s">
        <v>19</v>
      </c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6" t="s">
        <v>1296</v>
      </c>
      <c r="B631" s="6" t="s">
        <v>1297</v>
      </c>
      <c r="C631" s="5" t="s">
        <v>36</v>
      </c>
      <c r="D631" s="7" t="str">
        <f>IFERROR(__xludf.DUMMYFUNCTION("GOOGLEFINANCE(""ASX:DFGH"", ""price"")"),"#N/A")</f>
        <v>#N/A</v>
      </c>
      <c r="E631" s="8" t="str">
        <f>IFERROR(__xludf.DUMMYFUNCTION("GOOGLEFINANCE(""ASX:DFGH"", ""closeyest"")"),"#N/A")</f>
        <v>#N/A</v>
      </c>
      <c r="F631" s="5" t="str">
        <f>IFERROR(__xludf.DUMMYFUNCTION("GOOGLEFINANCE(""ASX:DFGH"", ""pe"")"),"#N/A")</f>
        <v>#N/A</v>
      </c>
      <c r="G631" s="5" t="str">
        <f>IFERROR(__xludf.DUMMYFUNCTION("GOOGLEFINANCE(""ASX:DFGH"", ""high52"")"),"#N/A")</f>
        <v>#N/A</v>
      </c>
      <c r="H631" s="5" t="str">
        <f>IFERROR(__xludf.DUMMYFUNCTION("GOOGLEFINANCE(""ASX:DFGH"", ""low52"")"),"#N/A")</f>
        <v>#N/A</v>
      </c>
      <c r="I631" s="9" t="str">
        <f>IFERROR(__xludf.DUMMYFUNCTION("GOOGLEFINANCE(""ASX:DFGH"", ""marketcap"")"),"#N/A")</f>
        <v>#N/A</v>
      </c>
      <c r="J631" s="12">
        <v>41.74</v>
      </c>
      <c r="K631" s="12">
        <v>41.55</v>
      </c>
      <c r="L631" s="12">
        <v>41.76</v>
      </c>
      <c r="M631" s="12">
        <v>29.6</v>
      </c>
      <c r="N631" s="11" t="s">
        <v>19</v>
      </c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6" t="s">
        <v>1298</v>
      </c>
      <c r="B632" s="6" t="s">
        <v>1299</v>
      </c>
      <c r="C632" s="5" t="s">
        <v>36</v>
      </c>
      <c r="D632" s="7">
        <f>IFERROR(__xludf.DUMMYFUNCTION("GOOGLEFINANCE(""ASX:DFND"", ""price"")"),40.07)</f>
        <v>40.07</v>
      </c>
      <c r="E632" s="8">
        <f>IFERROR(__xludf.DUMMYFUNCTION("GOOGLEFINANCE(""ASX:DFND"", ""closeyest"")"),40.0)</f>
        <v>40</v>
      </c>
      <c r="F632" s="5" t="str">
        <f>IFERROR(__xludf.DUMMYFUNCTION("GOOGLEFINANCE(""ASX:DFND"", ""pe"")"),"#N/A")</f>
        <v>#N/A</v>
      </c>
      <c r="G632" s="9">
        <f>IFERROR(__xludf.DUMMYFUNCTION("GOOGLEFINANCE(""ASX:DFND"", ""high52"")"),41.2)</f>
        <v>41.2</v>
      </c>
      <c r="H632" s="9">
        <f>IFERROR(__xludf.DUMMYFUNCTION("GOOGLEFINANCE(""ASX:DFND"", ""low52"")"),23.58)</f>
        <v>23.58</v>
      </c>
      <c r="I632" s="9" t="str">
        <f>IFERROR(__xludf.DUMMYFUNCTION("GOOGLEFINANCE(""ASX:DFND"", ""marketcap"")"),"#N/A")</f>
        <v>#N/A</v>
      </c>
      <c r="J632" s="5"/>
      <c r="K632" s="5"/>
      <c r="L632" s="5"/>
      <c r="M632" s="5"/>
      <c r="N632" s="11" t="s">
        <v>19</v>
      </c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6" t="s">
        <v>1300</v>
      </c>
      <c r="B633" s="6" t="s">
        <v>1301</v>
      </c>
      <c r="C633" s="5" t="s">
        <v>36</v>
      </c>
      <c r="D633" s="7" t="str">
        <f>IFERROR(__xludf.DUMMYFUNCTION("GOOGLEFINANCE(""ASX:DGCE"", ""price"")"),"#N/A")</f>
        <v>#N/A</v>
      </c>
      <c r="E633" s="8" t="str">
        <f>IFERROR(__xludf.DUMMYFUNCTION("GOOGLEFINANCE(""ASX:DGCE"", ""closeyest"")"),"#N/A")</f>
        <v>#N/A</v>
      </c>
      <c r="F633" s="5" t="str">
        <f>IFERROR(__xludf.DUMMYFUNCTION("GOOGLEFINANCE(""ASX:DGCE"", ""pe"")"),"#N/A")</f>
        <v>#N/A</v>
      </c>
      <c r="G633" s="5" t="str">
        <f>IFERROR(__xludf.DUMMYFUNCTION("GOOGLEFINANCE(""ASX:DGCE"", ""high52"")"),"#N/A")</f>
        <v>#N/A</v>
      </c>
      <c r="H633" s="5" t="str">
        <f>IFERROR(__xludf.DUMMYFUNCTION("GOOGLEFINANCE(""ASX:DGCE"", ""low52"")"),"#N/A")</f>
        <v>#N/A</v>
      </c>
      <c r="I633" s="9" t="str">
        <f>IFERROR(__xludf.DUMMYFUNCTION("GOOGLEFINANCE(""ASX:DGCE"", ""marketcap"")"),"#N/A")</f>
        <v>#N/A</v>
      </c>
      <c r="J633" s="12">
        <v>30.43</v>
      </c>
      <c r="K633" s="12">
        <v>30.45</v>
      </c>
      <c r="L633" s="12">
        <v>30.63</v>
      </c>
      <c r="M633" s="12">
        <v>24.84</v>
      </c>
      <c r="N633" s="11" t="s">
        <v>19</v>
      </c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6" t="s">
        <v>1302</v>
      </c>
      <c r="B634" s="6" t="s">
        <v>1303</v>
      </c>
      <c r="C634" s="5" t="s">
        <v>36</v>
      </c>
      <c r="D634" s="7">
        <f>IFERROR(__xludf.DUMMYFUNCTION("GOOGLEFINANCE(""ASX:DGGF"", ""price"")"),28.41)</f>
        <v>28.41</v>
      </c>
      <c r="E634" s="8">
        <f>IFERROR(__xludf.DUMMYFUNCTION("GOOGLEFINANCE(""ASX:DGGF"", ""closeyest"")"),28.4)</f>
        <v>28.4</v>
      </c>
      <c r="F634" s="5" t="str">
        <f>IFERROR(__xludf.DUMMYFUNCTION("GOOGLEFINANCE(""ASX:DGGF"", ""pe"")"),"#N/A")</f>
        <v>#N/A</v>
      </c>
      <c r="G634" s="9">
        <f>IFERROR(__xludf.DUMMYFUNCTION("GOOGLEFINANCE(""ASX:DGGF"", ""high52"")"),29.71)</f>
        <v>29.71</v>
      </c>
      <c r="H634" s="9">
        <f>IFERROR(__xludf.DUMMYFUNCTION("GOOGLEFINANCE(""ASX:DGGF"", ""low52"")"),25.93)</f>
        <v>25.93</v>
      </c>
      <c r="I634" s="9" t="str">
        <f>IFERROR(__xludf.DUMMYFUNCTION("GOOGLEFINANCE(""ASX:DGGF"", ""marketcap"")"),"#N/A")</f>
        <v>#N/A</v>
      </c>
      <c r="J634" s="9">
        <v>0.08</v>
      </c>
      <c r="K634" s="9">
        <v>0.08</v>
      </c>
      <c r="L634" s="9">
        <v>0.155</v>
      </c>
      <c r="M634" s="9">
        <v>0.06</v>
      </c>
      <c r="N634" s="11" t="s">
        <v>19</v>
      </c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6" t="s">
        <v>1304</v>
      </c>
      <c r="B635" s="6" t="s">
        <v>1305</v>
      </c>
      <c r="C635" s="5" t="s">
        <v>143</v>
      </c>
      <c r="D635" s="7">
        <f>IFERROR(__xludf.DUMMYFUNCTION("GOOGLEFINANCE(""ASX:DGH"", ""price"")"),0.84)</f>
        <v>0.84</v>
      </c>
      <c r="E635" s="8">
        <f>IFERROR(__xludf.DUMMYFUNCTION("GOOGLEFINANCE(""ASX:DGH"", ""closeyest"")"),0.84)</f>
        <v>0.84</v>
      </c>
      <c r="F635" s="9">
        <f>IFERROR(__xludf.DUMMYFUNCTION("GOOGLEFINANCE(""ASX:DGH"", ""pe"")"),10.3)</f>
        <v>10.3</v>
      </c>
      <c r="G635" s="9">
        <f>IFERROR(__xludf.DUMMYFUNCTION("GOOGLEFINANCE(""ASX:DGH"", ""high52"")"),1.0)</f>
        <v>1</v>
      </c>
      <c r="H635" s="9">
        <f>IFERROR(__xludf.DUMMYFUNCTION("GOOGLEFINANCE(""ASX:DGH"", ""low52"")"),0.75)</f>
        <v>0.75</v>
      </c>
      <c r="I635" s="9">
        <f>IFERROR(__xludf.DUMMYFUNCTION("GOOGLEFINANCE(""ASX:DGH"", ""marketcap"")"),3.3956501E7)</f>
        <v>33956501</v>
      </c>
      <c r="J635" s="9">
        <v>0.083</v>
      </c>
      <c r="K635" s="9">
        <v>0.083</v>
      </c>
      <c r="L635" s="9">
        <v>0.089</v>
      </c>
      <c r="M635" s="9">
        <v>0.025</v>
      </c>
      <c r="N635" s="10">
        <v>10.36</v>
      </c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6" t="s">
        <v>1306</v>
      </c>
      <c r="B636" s="6" t="s">
        <v>1307</v>
      </c>
      <c r="C636" s="5" t="s">
        <v>228</v>
      </c>
      <c r="D636" s="7">
        <f>IFERROR(__xludf.DUMMYFUNCTION("GOOGLEFINANCE(""ASX:DGL"", ""price"")"),0.54)</f>
        <v>0.54</v>
      </c>
      <c r="E636" s="8">
        <f>IFERROR(__xludf.DUMMYFUNCTION("GOOGLEFINANCE(""ASX:DGL"", ""closeyest"")"),0.54)</f>
        <v>0.54</v>
      </c>
      <c r="F636" s="5" t="str">
        <f>IFERROR(__xludf.DUMMYFUNCTION("GOOGLEFINANCE(""ASX:DGL"", ""pe"")"),"#N/A")</f>
        <v>#N/A</v>
      </c>
      <c r="G636" s="9">
        <f>IFERROR(__xludf.DUMMYFUNCTION("GOOGLEFINANCE(""ASX:DGL"", ""high52"")"),0.59)</f>
        <v>0.59</v>
      </c>
      <c r="H636" s="9">
        <f>IFERROR(__xludf.DUMMYFUNCTION("GOOGLEFINANCE(""ASX:DGL"", ""low52"")"),0.35)</f>
        <v>0.35</v>
      </c>
      <c r="I636" s="9">
        <f>IFERROR(__xludf.DUMMYFUNCTION("GOOGLEFINANCE(""ASX:DGL"", ""marketcap"")"),1.525955E8)</f>
        <v>152595500</v>
      </c>
      <c r="J636" s="9">
        <v>0.014</v>
      </c>
      <c r="K636" s="9">
        <v>0.013</v>
      </c>
      <c r="L636" s="9">
        <v>0.036</v>
      </c>
      <c r="M636" s="9">
        <v>0.01</v>
      </c>
      <c r="N636" s="11" t="s">
        <v>19</v>
      </c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6" t="s">
        <v>1308</v>
      </c>
      <c r="B637" s="6" t="s">
        <v>1309</v>
      </c>
      <c r="C637" s="5" t="s">
        <v>18</v>
      </c>
      <c r="D637" s="7">
        <f>IFERROR(__xludf.DUMMYFUNCTION("GOOGLEFINANCE(""ASX:DGR"", ""price"")"),0.04)</f>
        <v>0.04</v>
      </c>
      <c r="E637" s="8">
        <f>IFERROR(__xludf.DUMMYFUNCTION("GOOGLEFINANCE(""ASX:DGR"", ""closeyest"")"),0.04)</f>
        <v>0.04</v>
      </c>
      <c r="F637" s="5" t="str">
        <f>IFERROR(__xludf.DUMMYFUNCTION("GOOGLEFINANCE(""ASX:DGR"", ""pe"")"),"#N/A")</f>
        <v>#N/A</v>
      </c>
      <c r="G637" s="9">
        <f>IFERROR(__xludf.DUMMYFUNCTION("GOOGLEFINANCE(""ASX:DGR"", ""high52"")"),0.05)</f>
        <v>0.05</v>
      </c>
      <c r="H637" s="9">
        <f>IFERROR(__xludf.DUMMYFUNCTION("GOOGLEFINANCE(""ASX:DGR"", ""low52"")"),0.0)</f>
        <v>0</v>
      </c>
      <c r="I637" s="9">
        <f>IFERROR(__xludf.DUMMYFUNCTION("GOOGLEFINANCE(""ASX:DGR"", ""marketcap"")"),3.9686517E7)</f>
        <v>39686517</v>
      </c>
      <c r="J637" s="5"/>
      <c r="K637" s="5"/>
      <c r="L637" s="5"/>
      <c r="M637" s="5"/>
      <c r="N637" s="11" t="s">
        <v>19</v>
      </c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6" t="s">
        <v>1310</v>
      </c>
      <c r="B638" s="6" t="s">
        <v>1311</v>
      </c>
      <c r="C638" s="5" t="s">
        <v>36</v>
      </c>
      <c r="D638" s="7">
        <f>IFERROR(__xludf.DUMMYFUNCTION("GOOGLEFINANCE(""ASX:DGSM"", ""price"")"),37.69)</f>
        <v>37.69</v>
      </c>
      <c r="E638" s="8">
        <f>IFERROR(__xludf.DUMMYFUNCTION("GOOGLEFINANCE(""ASX:DGSM"", ""closeyest"")"),37.4)</f>
        <v>37.4</v>
      </c>
      <c r="F638" s="5" t="str">
        <f>IFERROR(__xludf.DUMMYFUNCTION("GOOGLEFINANCE(""ASX:DGSM"", ""pe"")"),"#N/A")</f>
        <v>#N/A</v>
      </c>
      <c r="G638" s="9">
        <f>IFERROR(__xludf.DUMMYFUNCTION("GOOGLEFINANCE(""ASX:DGSM"", ""high52"")"),37.74)</f>
        <v>37.74</v>
      </c>
      <c r="H638" s="9">
        <f>IFERROR(__xludf.DUMMYFUNCTION("GOOGLEFINANCE(""ASX:DGSM"", ""low52"")"),30.43)</f>
        <v>30.43</v>
      </c>
      <c r="I638" s="9" t="str">
        <f>IFERROR(__xludf.DUMMYFUNCTION("GOOGLEFINANCE(""ASX:DGSM"", ""marketcap"")"),"#N/A")</f>
        <v>#N/A</v>
      </c>
      <c r="J638" s="5"/>
      <c r="K638" s="5"/>
      <c r="L638" s="5"/>
      <c r="M638" s="5"/>
      <c r="N638" s="11" t="s">
        <v>19</v>
      </c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6" t="s">
        <v>1312</v>
      </c>
      <c r="B639" s="6" t="s">
        <v>1313</v>
      </c>
      <c r="C639" s="5" t="s">
        <v>475</v>
      </c>
      <c r="D639" s="7">
        <f>IFERROR(__xludf.DUMMYFUNCTION("GOOGLEFINANCE(""ASX:DGT"", ""price"")"),2.73)</f>
        <v>2.73</v>
      </c>
      <c r="E639" s="8">
        <f>IFERROR(__xludf.DUMMYFUNCTION("GOOGLEFINANCE(""ASX:DGT"", ""closeyest"")"),2.69)</f>
        <v>2.69</v>
      </c>
      <c r="F639" s="5" t="str">
        <f>IFERROR(__xludf.DUMMYFUNCTION("GOOGLEFINANCE(""ASX:DGT"", ""pe"")"),"#N/A")</f>
        <v>#N/A</v>
      </c>
      <c r="G639" s="9">
        <f>IFERROR(__xludf.DUMMYFUNCTION("GOOGLEFINANCE(""ASX:DGT"", ""high52"")"),4.92)</f>
        <v>4.92</v>
      </c>
      <c r="H639" s="9">
        <f>IFERROR(__xludf.DUMMYFUNCTION("GOOGLEFINANCE(""ASX:DGT"", ""low52"")"),2.28)</f>
        <v>2.28</v>
      </c>
      <c r="I639" s="9">
        <f>IFERROR(__xludf.DUMMYFUNCTION("GOOGLEFINANCE(""ASX:DGT"", ""marketcap"")"),1.51106593E9)</f>
        <v>1511065930</v>
      </c>
      <c r="J639" s="9">
        <v>0.003</v>
      </c>
      <c r="K639" s="9">
        <v>0.003</v>
      </c>
      <c r="L639" s="9">
        <v>0.003</v>
      </c>
      <c r="M639" s="9">
        <v>0.001</v>
      </c>
      <c r="N639" s="11" t="s">
        <v>19</v>
      </c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6" t="s">
        <v>1314</v>
      </c>
      <c r="B640" s="6" t="s">
        <v>1315</v>
      </c>
      <c r="C640" s="5" t="s">
        <v>36</v>
      </c>
      <c r="D640" s="7">
        <f>IFERROR(__xludf.DUMMYFUNCTION("GOOGLEFINANCE(""ASX:DGVA"", ""price"")"),27.85)</f>
        <v>27.85</v>
      </c>
      <c r="E640" s="8">
        <f>IFERROR(__xludf.DUMMYFUNCTION("GOOGLEFINANCE(""ASX:DGVA"", ""closeyest"")"),27.83)</f>
        <v>27.83</v>
      </c>
      <c r="F640" s="5" t="str">
        <f>IFERROR(__xludf.DUMMYFUNCTION("GOOGLEFINANCE(""ASX:DGVA"", ""pe"")"),"#N/A")</f>
        <v>#N/A</v>
      </c>
      <c r="G640" s="9">
        <f>IFERROR(__xludf.DUMMYFUNCTION("GOOGLEFINANCE(""ASX:DGVA"", ""high52"")"),27.85)</f>
        <v>27.85</v>
      </c>
      <c r="H640" s="9">
        <f>IFERROR(__xludf.DUMMYFUNCTION("GOOGLEFINANCE(""ASX:DGVA"", ""low52"")"),23.2)</f>
        <v>23.2</v>
      </c>
      <c r="I640" s="9" t="str">
        <f>IFERROR(__xludf.DUMMYFUNCTION("GOOGLEFINANCE(""ASX:DGVA"", ""marketcap"")"),"#N/A")</f>
        <v>#N/A</v>
      </c>
      <c r="J640" s="5"/>
      <c r="K640" s="5"/>
      <c r="L640" s="5"/>
      <c r="M640" s="5"/>
      <c r="N640" s="11" t="s">
        <v>19</v>
      </c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6" t="s">
        <v>1316</v>
      </c>
      <c r="B641" s="6" t="s">
        <v>1317</v>
      </c>
      <c r="C641" s="5" t="s">
        <v>36</v>
      </c>
      <c r="D641" s="7">
        <f>IFERROR(__xludf.DUMMYFUNCTION("GOOGLEFINANCE(""ASX:DHHF"", ""price"")"),39.85)</f>
        <v>39.85</v>
      </c>
      <c r="E641" s="8">
        <f>IFERROR(__xludf.DUMMYFUNCTION("GOOGLEFINANCE(""ASX:DHHF"", ""closeyest"")"),39.88)</f>
        <v>39.88</v>
      </c>
      <c r="F641" s="5" t="str">
        <f>IFERROR(__xludf.DUMMYFUNCTION("GOOGLEFINANCE(""ASX:DHHF"", ""pe"")"),"#N/A")</f>
        <v>#N/A</v>
      </c>
      <c r="G641" s="9">
        <f>IFERROR(__xludf.DUMMYFUNCTION("GOOGLEFINANCE(""ASX:DHHF"", ""high52"")"),41.5)</f>
        <v>41.5</v>
      </c>
      <c r="H641" s="9">
        <f>IFERROR(__xludf.DUMMYFUNCTION("GOOGLEFINANCE(""ASX:DHHF"", ""low52"")"),32.11)</f>
        <v>32.11</v>
      </c>
      <c r="I641" s="9" t="str">
        <f>IFERROR(__xludf.DUMMYFUNCTION("GOOGLEFINANCE(""ASX:DHHF"", ""marketcap"")"),"#N/A")</f>
        <v>#N/A</v>
      </c>
      <c r="J641" s="5"/>
      <c r="K641" s="5"/>
      <c r="L641" s="5"/>
      <c r="M641" s="5"/>
      <c r="N641" s="11" t="s">
        <v>19</v>
      </c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6" t="s">
        <v>1318</v>
      </c>
      <c r="B642" s="6" t="s">
        <v>1319</v>
      </c>
      <c r="C642" s="5" t="s">
        <v>36</v>
      </c>
      <c r="D642" s="7" t="str">
        <f>IFERROR(__xludf.DUMMYFUNCTION("GOOGLEFINANCE(""ASX:DHOF"", ""price"")"),"#N/A")</f>
        <v>#N/A</v>
      </c>
      <c r="E642" s="8" t="str">
        <f>IFERROR(__xludf.DUMMYFUNCTION("GOOGLEFINANCE(""ASX:DHOF"", ""closeyest"")"),"#N/A")</f>
        <v>#N/A</v>
      </c>
      <c r="F642" s="5" t="str">
        <f>IFERROR(__xludf.DUMMYFUNCTION("GOOGLEFINANCE(""ASX:DHOF"", ""pe"")"),"#N/A")</f>
        <v>#N/A</v>
      </c>
      <c r="G642" s="5" t="str">
        <f>IFERROR(__xludf.DUMMYFUNCTION("GOOGLEFINANCE(""ASX:DHOF"", ""high52"")"),"#N/A")</f>
        <v>#N/A</v>
      </c>
      <c r="H642" s="5" t="str">
        <f>IFERROR(__xludf.DUMMYFUNCTION("GOOGLEFINANCE(""ASX:DHOF"", ""low52"")"),"#N/A")</f>
        <v>#N/A</v>
      </c>
      <c r="I642" s="9" t="str">
        <f>IFERROR(__xludf.DUMMYFUNCTION("GOOGLEFINANCE(""ASX:DHOF"", ""marketcap"")"),"#N/A")</f>
        <v>#N/A</v>
      </c>
      <c r="J642" s="12">
        <v>9.71</v>
      </c>
      <c r="K642" s="12">
        <v>9.71</v>
      </c>
      <c r="L642" s="12">
        <v>9.8</v>
      </c>
      <c r="M642" s="12">
        <v>9.4</v>
      </c>
      <c r="N642" s="11" t="s">
        <v>19</v>
      </c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6" t="s">
        <v>1320</v>
      </c>
      <c r="B643" s="6" t="s">
        <v>1321</v>
      </c>
      <c r="C643" s="5" t="s">
        <v>36</v>
      </c>
      <c r="D643" s="7">
        <f>IFERROR(__xludf.DUMMYFUNCTION("GOOGLEFINANCE(""ASX:DIFF"", ""price"")"),10.04)</f>
        <v>10.04</v>
      </c>
      <c r="E643" s="8">
        <f>IFERROR(__xludf.DUMMYFUNCTION("GOOGLEFINANCE(""ASX:DIFF"", ""closeyest"")"),10.04)</f>
        <v>10.04</v>
      </c>
      <c r="F643" s="5" t="str">
        <f>IFERROR(__xludf.DUMMYFUNCTION("GOOGLEFINANCE(""ASX:DIFF"", ""pe"")"),"#N/A")</f>
        <v>#N/A</v>
      </c>
      <c r="G643" s="9">
        <f>IFERROR(__xludf.DUMMYFUNCTION("GOOGLEFINANCE(""ASX:DIFF"", ""high52"")"),10.18)</f>
        <v>10.18</v>
      </c>
      <c r="H643" s="9">
        <f>IFERROR(__xludf.DUMMYFUNCTION("GOOGLEFINANCE(""ASX:DIFF"", ""low52"")"),10.01)</f>
        <v>10.01</v>
      </c>
      <c r="I643" s="9" t="str">
        <f>IFERROR(__xludf.DUMMYFUNCTION("GOOGLEFINANCE(""ASX:DIFF"", ""marketcap"")"),"#N/A")</f>
        <v>#N/A</v>
      </c>
      <c r="J643" s="5"/>
      <c r="K643" s="5"/>
      <c r="L643" s="5"/>
      <c r="M643" s="5"/>
      <c r="N643" s="11" t="s">
        <v>19</v>
      </c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6" t="s">
        <v>1322</v>
      </c>
      <c r="B644" s="6" t="s">
        <v>1323</v>
      </c>
      <c r="C644" s="5" t="s">
        <v>36</v>
      </c>
      <c r="D644" s="7" t="str">
        <f>IFERROR(__xludf.DUMMYFUNCTION("GOOGLEFINANCE(""ASX:DIVI"", ""price"")"),"#N/A")</f>
        <v>#N/A</v>
      </c>
      <c r="E644" s="8" t="str">
        <f>IFERROR(__xludf.DUMMYFUNCTION("GOOGLEFINANCE(""ASX:DIVI"", ""closeyest"")"),"#N/A")</f>
        <v>#N/A</v>
      </c>
      <c r="F644" s="5" t="str">
        <f>IFERROR(__xludf.DUMMYFUNCTION("GOOGLEFINANCE(""ASX:DIVI"", ""pe"")"),"#N/A")</f>
        <v>#N/A</v>
      </c>
      <c r="G644" s="5" t="str">
        <f>IFERROR(__xludf.DUMMYFUNCTION("GOOGLEFINANCE(""ASX:DIVI"", ""high52"")"),"#N/A")</f>
        <v>#N/A</v>
      </c>
      <c r="H644" s="5" t="str">
        <f>IFERROR(__xludf.DUMMYFUNCTION("GOOGLEFINANCE(""ASX:DIVI"", ""low52"")"),"#N/A")</f>
        <v>#N/A</v>
      </c>
      <c r="I644" s="9" t="str">
        <f>IFERROR(__xludf.DUMMYFUNCTION("GOOGLEFINANCE(""ASX:DIVI"", ""marketcap"")"),"#N/A")</f>
        <v>#N/A</v>
      </c>
      <c r="J644" s="12">
        <v>11.03</v>
      </c>
      <c r="K644" s="12">
        <v>11.09</v>
      </c>
      <c r="L644" s="12">
        <v>11.48</v>
      </c>
      <c r="M644" s="12">
        <v>10.6</v>
      </c>
      <c r="N644" s="11" t="s">
        <v>19</v>
      </c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6" t="s">
        <v>1324</v>
      </c>
      <c r="B645" s="6" t="s">
        <v>1325</v>
      </c>
      <c r="C645" s="5" t="s">
        <v>36</v>
      </c>
      <c r="D645" s="7">
        <f>IFERROR(__xludf.DUMMYFUNCTION("GOOGLEFINANCE(""ASX:DJRE"", ""price"")"),21.32)</f>
        <v>21.32</v>
      </c>
      <c r="E645" s="8">
        <f>IFERROR(__xludf.DUMMYFUNCTION("GOOGLEFINANCE(""ASX:DJRE"", ""closeyest"")"),21.26)</f>
        <v>21.26</v>
      </c>
      <c r="F645" s="5" t="str">
        <f>IFERROR(__xludf.DUMMYFUNCTION("GOOGLEFINANCE(""ASX:DJRE"", ""pe"")"),"#N/A")</f>
        <v>#N/A</v>
      </c>
      <c r="G645" s="9">
        <f>IFERROR(__xludf.DUMMYFUNCTION("GOOGLEFINANCE(""ASX:DJRE"", ""high52"")"),23.0)</f>
        <v>23</v>
      </c>
      <c r="H645" s="9">
        <f>IFERROR(__xludf.DUMMYFUNCTION("GOOGLEFINANCE(""ASX:DJRE"", ""low52"")"),20.22)</f>
        <v>20.22</v>
      </c>
      <c r="I645" s="9" t="str">
        <f>IFERROR(__xludf.DUMMYFUNCTION("GOOGLEFINANCE(""ASX:DJRE"", ""marketcap"")"),"#N/A")</f>
        <v>#N/A</v>
      </c>
      <c r="J645" s="5"/>
      <c r="K645" s="5"/>
      <c r="L645" s="5"/>
      <c r="M645" s="5"/>
      <c r="N645" s="11" t="s">
        <v>19</v>
      </c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6" t="s">
        <v>1326</v>
      </c>
      <c r="B646" s="6" t="s">
        <v>1327</v>
      </c>
      <c r="C646" s="5" t="s">
        <v>171</v>
      </c>
      <c r="D646" s="7">
        <f>IFERROR(__xludf.DUMMYFUNCTION("GOOGLEFINANCE(""ASX:DJW"", ""price"")"),3.11)</f>
        <v>3.11</v>
      </c>
      <c r="E646" s="8">
        <f>IFERROR(__xludf.DUMMYFUNCTION("GOOGLEFINANCE(""ASX:DJW"", ""closeyest"")"),3.13)</f>
        <v>3.13</v>
      </c>
      <c r="F646" s="9">
        <f>IFERROR(__xludf.DUMMYFUNCTION("GOOGLEFINANCE(""ASX:DJW"", ""pe"")"),20.91)</f>
        <v>20.91</v>
      </c>
      <c r="G646" s="9">
        <f>IFERROR(__xludf.DUMMYFUNCTION("GOOGLEFINANCE(""ASX:DJW"", ""high52"")"),3.28)</f>
        <v>3.28</v>
      </c>
      <c r="H646" s="9">
        <f>IFERROR(__xludf.DUMMYFUNCTION("GOOGLEFINANCE(""ASX:DJW"", ""low52"")"),2.88)</f>
        <v>2.88</v>
      </c>
      <c r="I646" s="9">
        <f>IFERROR(__xludf.DUMMYFUNCTION("GOOGLEFINANCE(""ASX:DJW"", ""marketcap"")"),8.17496127E8)</f>
        <v>817496127</v>
      </c>
      <c r="J646" s="5"/>
      <c r="K646" s="5"/>
      <c r="L646" s="5"/>
      <c r="M646" s="5"/>
      <c r="N646" s="10">
        <v>20.98</v>
      </c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6" t="s">
        <v>1328</v>
      </c>
      <c r="B647" s="6" t="s">
        <v>1329</v>
      </c>
      <c r="C647" s="5" t="s">
        <v>18</v>
      </c>
      <c r="D647" s="7">
        <f>IFERROR(__xludf.DUMMYFUNCTION("GOOGLEFINANCE(""ASX:DKM"", ""price"")"),0.16)</f>
        <v>0.16</v>
      </c>
      <c r="E647" s="8">
        <f>IFERROR(__xludf.DUMMYFUNCTION("GOOGLEFINANCE(""ASX:DKM"", ""closeyest"")"),0.15)</f>
        <v>0.15</v>
      </c>
      <c r="F647" s="5" t="str">
        <f>IFERROR(__xludf.DUMMYFUNCTION("GOOGLEFINANCE(""ASX:DKM"", ""pe"")"),"#N/A")</f>
        <v>#N/A</v>
      </c>
      <c r="G647" s="9">
        <f>IFERROR(__xludf.DUMMYFUNCTION("GOOGLEFINANCE(""ASX:DKM"", ""high52"")"),0.22)</f>
        <v>0.22</v>
      </c>
      <c r="H647" s="9">
        <f>IFERROR(__xludf.DUMMYFUNCTION("GOOGLEFINANCE(""ASX:DKM"", ""low52"")"),0.08)</f>
        <v>0.08</v>
      </c>
      <c r="I647" s="9">
        <f>IFERROR(__xludf.DUMMYFUNCTION("GOOGLEFINANCE(""ASX:DKM"", ""marketcap"")"),1.9609583E7)</f>
        <v>19609583</v>
      </c>
      <c r="J647" s="5"/>
      <c r="K647" s="5"/>
      <c r="L647" s="5"/>
      <c r="M647" s="5"/>
      <c r="N647" s="11" t="s">
        <v>19</v>
      </c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6" t="s">
        <v>1330</v>
      </c>
      <c r="B648" s="6" t="s">
        <v>1331</v>
      </c>
      <c r="C648" s="5" t="s">
        <v>39</v>
      </c>
      <c r="D648" s="7" t="str">
        <f>IFERROR(__xludf.DUMMYFUNCTION("GOOGLEFINANCE(""ASX:DLI"", ""price"")"),"#N/A")</f>
        <v>#N/A</v>
      </c>
      <c r="E648" s="8" t="str">
        <f>IFERROR(__xludf.DUMMYFUNCTION("GOOGLEFINANCE(""ASX:DLI"", ""closeyest"")"),"#N/A")</f>
        <v>#N/A</v>
      </c>
      <c r="F648" s="5" t="str">
        <f>IFERROR(__xludf.DUMMYFUNCTION("GOOGLEFINANCE(""ASX:DLI"", ""pe"")"),"#N/A")</f>
        <v>#N/A</v>
      </c>
      <c r="G648" s="5" t="str">
        <f>IFERROR(__xludf.DUMMYFUNCTION("GOOGLEFINANCE(""ASX:DLI"", ""high52"")"),"#N/A")</f>
        <v>#N/A</v>
      </c>
      <c r="H648" s="5" t="str">
        <f>IFERROR(__xludf.DUMMYFUNCTION("GOOGLEFINANCE(""ASX:DLI"", ""low52"")"),"#N/A")</f>
        <v>#N/A</v>
      </c>
      <c r="I648" s="9" t="str">
        <f>IFERROR(__xludf.DUMMYFUNCTION("GOOGLEFINANCE(""ASX:DLI"", ""marketcap"")"),"#N/A")</f>
        <v>#N/A</v>
      </c>
      <c r="J648" s="12">
        <v>0.235</v>
      </c>
      <c r="K648" s="12">
        <v>0.235</v>
      </c>
      <c r="L648" s="12">
        <v>0.255</v>
      </c>
      <c r="M648" s="12">
        <v>0.145</v>
      </c>
      <c r="N648" s="11" t="s">
        <v>19</v>
      </c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6" t="s">
        <v>1332</v>
      </c>
      <c r="B649" s="6" t="s">
        <v>1333</v>
      </c>
      <c r="C649" s="5" t="s">
        <v>18</v>
      </c>
      <c r="D649" s="7">
        <f>IFERROR(__xludf.DUMMYFUNCTION("GOOGLEFINANCE(""ASX:DM1"", ""price"")"),0.01)</f>
        <v>0.01</v>
      </c>
      <c r="E649" s="8">
        <f>IFERROR(__xludf.DUMMYFUNCTION("GOOGLEFINANCE(""ASX:DM1"", ""closeyest"")"),0.01)</f>
        <v>0.01</v>
      </c>
      <c r="F649" s="5" t="str">
        <f>IFERROR(__xludf.DUMMYFUNCTION("GOOGLEFINANCE(""ASX:DM1"", ""pe"")"),"#N/A")</f>
        <v>#N/A</v>
      </c>
      <c r="G649" s="9">
        <f>IFERROR(__xludf.DUMMYFUNCTION("GOOGLEFINANCE(""ASX:DM1"", ""high52"")"),0.03)</f>
        <v>0.03</v>
      </c>
      <c r="H649" s="9">
        <f>IFERROR(__xludf.DUMMYFUNCTION("GOOGLEFINANCE(""ASX:DM1"", ""low52"")"),0.01)</f>
        <v>0.01</v>
      </c>
      <c r="I649" s="9">
        <f>IFERROR(__xludf.DUMMYFUNCTION("GOOGLEFINANCE(""ASX:DM1"", ""marketcap"")"),4702009.0)</f>
        <v>4702009</v>
      </c>
      <c r="J649" s="5"/>
      <c r="K649" s="5"/>
      <c r="L649" s="5"/>
      <c r="M649" s="5"/>
      <c r="N649" s="11" t="s">
        <v>19</v>
      </c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6" t="s">
        <v>1334</v>
      </c>
      <c r="B650" s="6" t="s">
        <v>1335</v>
      </c>
      <c r="C650" s="5" t="s">
        <v>18</v>
      </c>
      <c r="D650" s="7">
        <f>IFERROR(__xludf.DUMMYFUNCTION("GOOGLEFINANCE(""ASX:DME"", ""price"")"),0.09)</f>
        <v>0.09</v>
      </c>
      <c r="E650" s="8">
        <f>IFERROR(__xludf.DUMMYFUNCTION("GOOGLEFINANCE(""ASX:DME"", ""closeyest"")"),0.08)</f>
        <v>0.08</v>
      </c>
      <c r="F650" s="5" t="str">
        <f>IFERROR(__xludf.DUMMYFUNCTION("GOOGLEFINANCE(""ASX:DME"", ""pe"")"),"#N/A")</f>
        <v>#N/A</v>
      </c>
      <c r="G650" s="9">
        <f>IFERROR(__xludf.DUMMYFUNCTION("GOOGLEFINANCE(""ASX:DME"", ""high52"")"),0.2)</f>
        <v>0.2</v>
      </c>
      <c r="H650" s="9">
        <f>IFERROR(__xludf.DUMMYFUNCTION("GOOGLEFINANCE(""ASX:DME"", ""low52"")"),0.08)</f>
        <v>0.08</v>
      </c>
      <c r="I650" s="9">
        <f>IFERROR(__xludf.DUMMYFUNCTION("GOOGLEFINANCE(""ASX:DME"", ""marketcap"")"),3.7717309E7)</f>
        <v>37717309</v>
      </c>
      <c r="J650" s="5"/>
      <c r="K650" s="5"/>
      <c r="L650" s="5"/>
      <c r="M650" s="5"/>
      <c r="N650" s="11" t="s">
        <v>19</v>
      </c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6" t="s">
        <v>1336</v>
      </c>
      <c r="B651" s="6" t="s">
        <v>1337</v>
      </c>
      <c r="C651" s="5" t="s">
        <v>88</v>
      </c>
      <c r="D651" s="7">
        <f>IFERROR(__xludf.DUMMYFUNCTION("GOOGLEFINANCE(""ASX:DMG"", ""price"")"),0.01)</f>
        <v>0.01</v>
      </c>
      <c r="E651" s="8">
        <f>IFERROR(__xludf.DUMMYFUNCTION("GOOGLEFINANCE(""ASX:DMG"", ""closeyest"")"),0.01)</f>
        <v>0.01</v>
      </c>
      <c r="F651" s="5" t="str">
        <f>IFERROR(__xludf.DUMMYFUNCTION("GOOGLEFINANCE(""ASX:DMG"", ""pe"")"),"#N/A")</f>
        <v>#N/A</v>
      </c>
      <c r="G651" s="9">
        <f>IFERROR(__xludf.DUMMYFUNCTION("GOOGLEFINANCE(""ASX:DMG"", ""high52"")"),0.02)</f>
        <v>0.02</v>
      </c>
      <c r="H651" s="9">
        <f>IFERROR(__xludf.DUMMYFUNCTION("GOOGLEFINANCE(""ASX:DMG"", ""low52"")"),0.0)</f>
        <v>0</v>
      </c>
      <c r="I651" s="9">
        <f>IFERROR(__xludf.DUMMYFUNCTION("GOOGLEFINANCE(""ASX:DMG"", ""marketcap"")"),2841632.0)</f>
        <v>2841632</v>
      </c>
      <c r="J651" s="5"/>
      <c r="K651" s="5"/>
      <c r="L651" s="5"/>
      <c r="M651" s="5"/>
      <c r="N651" s="11" t="s">
        <v>19</v>
      </c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6" t="s">
        <v>1338</v>
      </c>
      <c r="B652" s="6" t="s">
        <v>1339</v>
      </c>
      <c r="C652" s="5" t="s">
        <v>39</v>
      </c>
      <c r="D652" s="7">
        <f>IFERROR(__xludf.DUMMYFUNCTION("GOOGLEFINANCE(""ASX:DMM"", ""price"")"),0.06)</f>
        <v>0.06</v>
      </c>
      <c r="E652" s="8">
        <f>IFERROR(__xludf.DUMMYFUNCTION("GOOGLEFINANCE(""ASX:DMM"", ""closeyest"")"),0.06)</f>
        <v>0.06</v>
      </c>
      <c r="F652" s="5" t="str">
        <f>IFERROR(__xludf.DUMMYFUNCTION("GOOGLEFINANCE(""ASX:DMM"", ""pe"")"),"#N/A")</f>
        <v>#N/A</v>
      </c>
      <c r="G652" s="9">
        <f>IFERROR(__xludf.DUMMYFUNCTION("GOOGLEFINANCE(""ASX:DMM"", ""high52"")"),0.06)</f>
        <v>0.06</v>
      </c>
      <c r="H652" s="9">
        <f>IFERROR(__xludf.DUMMYFUNCTION("GOOGLEFINANCE(""ASX:DMM"", ""low52"")"),0.06)</f>
        <v>0.06</v>
      </c>
      <c r="I652" s="9">
        <f>IFERROR(__xludf.DUMMYFUNCTION("GOOGLEFINANCE(""ASX:DMM"", ""marketcap"")"),2598689.0)</f>
        <v>2598689</v>
      </c>
      <c r="J652" s="9">
        <v>0.0</v>
      </c>
      <c r="K652" s="5"/>
      <c r="L652" s="9">
        <v>115.0</v>
      </c>
      <c r="M652" s="9">
        <v>0.0</v>
      </c>
      <c r="N652" s="11" t="s">
        <v>19</v>
      </c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6" t="s">
        <v>1340</v>
      </c>
      <c r="B653" s="6" t="s">
        <v>1341</v>
      </c>
      <c r="C653" s="5" t="s">
        <v>1049</v>
      </c>
      <c r="D653" s="7">
        <f>IFERROR(__xludf.DUMMYFUNCTION("GOOGLEFINANCE(""ASX:DMP"", ""price"")"),22.26)</f>
        <v>22.26</v>
      </c>
      <c r="E653" s="8">
        <f>IFERROR(__xludf.DUMMYFUNCTION("GOOGLEFINANCE(""ASX:DMP"", ""closeyest"")"),21.21)</f>
        <v>21.21</v>
      </c>
      <c r="F653" s="5" t="str">
        <f>IFERROR(__xludf.DUMMYFUNCTION("GOOGLEFINANCE(""ASX:DMP"", ""pe"")"),"#N/A")</f>
        <v>#N/A</v>
      </c>
      <c r="G653" s="9">
        <f>IFERROR(__xludf.DUMMYFUNCTION("GOOGLEFINANCE(""ASX:DMP"", ""high52"")"),36.68)</f>
        <v>36.68</v>
      </c>
      <c r="H653" s="9">
        <f>IFERROR(__xludf.DUMMYFUNCTION("GOOGLEFINANCE(""ASX:DMP"", ""low52"")"),13.11)</f>
        <v>13.11</v>
      </c>
      <c r="I653" s="9">
        <f>IFERROR(__xludf.DUMMYFUNCTION("GOOGLEFINANCE(""ASX:DMP"", ""marketcap"")"),2.10584388E9)</f>
        <v>2105843880</v>
      </c>
      <c r="J653" s="5"/>
      <c r="K653" s="5"/>
      <c r="L653" s="5"/>
      <c r="M653" s="5"/>
      <c r="N653" s="11" t="s">
        <v>19</v>
      </c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6" t="s">
        <v>1342</v>
      </c>
      <c r="B654" s="6" t="s">
        <v>1343</v>
      </c>
      <c r="C654" s="5" t="s">
        <v>1344</v>
      </c>
      <c r="D654" s="7">
        <f>IFERROR(__xludf.DUMMYFUNCTION("GOOGLEFINANCE(""ASX:DN1"", ""price"")"),102.0)</f>
        <v>102</v>
      </c>
      <c r="E654" s="8">
        <f>IFERROR(__xludf.DUMMYFUNCTION("GOOGLEFINANCE(""ASX:DN1"", ""closeyest"")"),102.89)</f>
        <v>102.89</v>
      </c>
      <c r="F654" s="5" t="str">
        <f>IFERROR(__xludf.DUMMYFUNCTION("GOOGLEFINANCE(""ASX:DN1"", ""pe"")"),"#N/A")</f>
        <v>#N/A</v>
      </c>
      <c r="G654" s="9">
        <f>IFERROR(__xludf.DUMMYFUNCTION("GOOGLEFINANCE(""ASX:DN1"", ""high52"")"),106.76)</f>
        <v>106.76</v>
      </c>
      <c r="H654" s="9">
        <f>IFERROR(__xludf.DUMMYFUNCTION("GOOGLEFINANCE(""ASX:DN1"", ""low52"")"),97.24)</f>
        <v>97.24</v>
      </c>
      <c r="I654" s="9" t="str">
        <f>IFERROR(__xludf.DUMMYFUNCTION("GOOGLEFINANCE(""ASX:DN1"", ""marketcap"")"),"#N/A")</f>
        <v>#N/A</v>
      </c>
      <c r="J654" s="5"/>
      <c r="K654" s="5"/>
      <c r="L654" s="5"/>
      <c r="M654" s="5"/>
      <c r="N654" s="11" t="s">
        <v>19</v>
      </c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6" t="s">
        <v>1345</v>
      </c>
      <c r="B655" s="6" t="s">
        <v>1346</v>
      </c>
      <c r="C655" s="5" t="s">
        <v>106</v>
      </c>
      <c r="D655" s="7">
        <f>IFERROR(__xludf.DUMMYFUNCTION("GOOGLEFINANCE(""ASX:DNL"", ""price"")"),3.39)</f>
        <v>3.39</v>
      </c>
      <c r="E655" s="8">
        <f>IFERROR(__xludf.DUMMYFUNCTION("GOOGLEFINANCE(""ASX:DNL"", ""closeyest"")"),3.29)</f>
        <v>3.29</v>
      </c>
      <c r="F655" s="9">
        <f>IFERROR(__xludf.DUMMYFUNCTION("GOOGLEFINANCE(""ASX:DNL"", ""pe"")"),42.73)</f>
        <v>42.73</v>
      </c>
      <c r="G655" s="9">
        <f>IFERROR(__xludf.DUMMYFUNCTION("GOOGLEFINANCE(""ASX:DNL"", ""high52"")"),3.52)</f>
        <v>3.52</v>
      </c>
      <c r="H655" s="9">
        <f>IFERROR(__xludf.DUMMYFUNCTION("GOOGLEFINANCE(""ASX:DNL"", ""low52"")"),2.14)</f>
        <v>2.14</v>
      </c>
      <c r="I655" s="9">
        <f>IFERROR(__xludf.DUMMYFUNCTION("GOOGLEFINANCE(""ASX:DNL"", ""marketcap"")"),6.053190967E9)</f>
        <v>6053190967</v>
      </c>
      <c r="J655" s="5"/>
      <c r="K655" s="5"/>
      <c r="L655" s="5"/>
      <c r="M655" s="5"/>
      <c r="N655" s="10">
        <v>40.46</v>
      </c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6" t="s">
        <v>1347</v>
      </c>
      <c r="B656" s="6" t="s">
        <v>1348</v>
      </c>
      <c r="C656" s="5" t="s">
        <v>164</v>
      </c>
      <c r="D656" s="7">
        <f>IFERROR(__xludf.DUMMYFUNCTION("GOOGLEFINANCE(""ASX:DOC"", ""price"")"),0.15)</f>
        <v>0.15</v>
      </c>
      <c r="E656" s="8">
        <f>IFERROR(__xludf.DUMMYFUNCTION("GOOGLEFINANCE(""ASX:DOC"", ""closeyest"")"),0.14)</f>
        <v>0.14</v>
      </c>
      <c r="F656" s="5" t="str">
        <f>IFERROR(__xludf.DUMMYFUNCTION("GOOGLEFINANCE(""ASX:DOC"", ""pe"")"),"#N/A")</f>
        <v>#N/A</v>
      </c>
      <c r="G656" s="9">
        <f>IFERROR(__xludf.DUMMYFUNCTION("GOOGLEFINANCE(""ASX:DOC"", ""high52"")"),0.21)</f>
        <v>0.21</v>
      </c>
      <c r="H656" s="9">
        <f>IFERROR(__xludf.DUMMYFUNCTION("GOOGLEFINANCE(""ASX:DOC"", ""low52"")"),0.07)</f>
        <v>0.07</v>
      </c>
      <c r="I656" s="9">
        <f>IFERROR(__xludf.DUMMYFUNCTION("GOOGLEFINANCE(""ASX:DOC"", ""marketcap"")"),5.4996332E7)</f>
        <v>54996332</v>
      </c>
      <c r="J656" s="5"/>
      <c r="K656" s="5"/>
      <c r="L656" s="5"/>
      <c r="M656" s="5"/>
      <c r="N656" s="11" t="s">
        <v>19</v>
      </c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6" t="s">
        <v>1349</v>
      </c>
      <c r="B657" s="6" t="s">
        <v>1350</v>
      </c>
      <c r="C657" s="5" t="s">
        <v>123</v>
      </c>
      <c r="D657" s="7">
        <f>IFERROR(__xludf.DUMMYFUNCTION("GOOGLEFINANCE(""ASX:DOW"", ""price"")"),7.89)</f>
        <v>7.89</v>
      </c>
      <c r="E657" s="8">
        <f>IFERROR(__xludf.DUMMYFUNCTION("GOOGLEFINANCE(""ASX:DOW"", ""closeyest"")"),7.89)</f>
        <v>7.89</v>
      </c>
      <c r="F657" s="9">
        <f>IFERROR(__xludf.DUMMYFUNCTION("GOOGLEFINANCE(""ASX:DOW"", ""pe"")"),40.68)</f>
        <v>40.68</v>
      </c>
      <c r="G657" s="9">
        <f>IFERROR(__xludf.DUMMYFUNCTION("GOOGLEFINANCE(""ASX:DOW"", ""high52"")"),8.04)</f>
        <v>8.04</v>
      </c>
      <c r="H657" s="9">
        <f>IFERROR(__xludf.DUMMYFUNCTION("GOOGLEFINANCE(""ASX:DOW"", ""low52"")"),5.01)</f>
        <v>5.01</v>
      </c>
      <c r="I657" s="9">
        <f>IFERROR(__xludf.DUMMYFUNCTION("GOOGLEFINANCE(""ASX:DOW"", ""marketcap"")"),5.232200548E9)</f>
        <v>5232200548</v>
      </c>
      <c r="J657" s="5"/>
      <c r="K657" s="5"/>
      <c r="L657" s="5"/>
      <c r="M657" s="5"/>
      <c r="N657" s="10">
        <v>41.15</v>
      </c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6" t="s">
        <v>1351</v>
      </c>
      <c r="B658" s="6" t="s">
        <v>1352</v>
      </c>
      <c r="C658" s="5" t="s">
        <v>1353</v>
      </c>
      <c r="D658" s="7">
        <f>IFERROR(__xludf.DUMMYFUNCTION("GOOGLEFINANCE(""ASX:DPM"", ""price"")"),46.82)</f>
        <v>46.82</v>
      </c>
      <c r="E658" s="8">
        <f>IFERROR(__xludf.DUMMYFUNCTION("GOOGLEFINANCE(""ASX:DPM"", ""closeyest"")"),46.7)</f>
        <v>46.7</v>
      </c>
      <c r="F658" s="5" t="str">
        <f>IFERROR(__xludf.DUMMYFUNCTION("GOOGLEFINANCE(""ASX:DPM"", ""pe"")"),"#N/A")</f>
        <v>#N/A</v>
      </c>
      <c r="G658" s="9">
        <f>IFERROR(__xludf.DUMMYFUNCTION("GOOGLEFINANCE(""ASX:DPM"", ""high52"")"),50.99)</f>
        <v>50.99</v>
      </c>
      <c r="H658" s="9">
        <f>IFERROR(__xludf.DUMMYFUNCTION("GOOGLEFINANCE(""ASX:DPM"", ""low52"")"),30.45)</f>
        <v>30.45</v>
      </c>
      <c r="I658" s="9">
        <f>IFERROR(__xludf.DUMMYFUNCTION("GOOGLEFINANCE(""ASX:DPM"", ""marketcap"")"),9.858523894E9)</f>
        <v>9858523894</v>
      </c>
      <c r="J658" s="5"/>
      <c r="K658" s="5"/>
      <c r="L658" s="5"/>
      <c r="M658" s="5"/>
      <c r="N658" s="11" t="s">
        <v>19</v>
      </c>
      <c r="O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6" t="s">
        <v>1354</v>
      </c>
      <c r="B659" s="6" t="s">
        <v>1355</v>
      </c>
      <c r="C659" s="5" t="s">
        <v>18</v>
      </c>
      <c r="D659" s="7">
        <f>IFERROR(__xludf.DUMMYFUNCTION("GOOGLEFINANCE(""ASX:DRE"", ""price"")"),0.03)</f>
        <v>0.03</v>
      </c>
      <c r="E659" s="8">
        <f>IFERROR(__xludf.DUMMYFUNCTION("GOOGLEFINANCE(""ASX:DRE"", ""closeyest"")"),0.03)</f>
        <v>0.03</v>
      </c>
      <c r="F659" s="5" t="str">
        <f>IFERROR(__xludf.DUMMYFUNCTION("GOOGLEFINANCE(""ASX:DRE"", ""pe"")"),"#N/A")</f>
        <v>#N/A</v>
      </c>
      <c r="G659" s="9">
        <f>IFERROR(__xludf.DUMMYFUNCTION("GOOGLEFINANCE(""ASX:DRE"", ""high52"")"),0.05)</f>
        <v>0.05</v>
      </c>
      <c r="H659" s="9">
        <f>IFERROR(__xludf.DUMMYFUNCTION("GOOGLEFINANCE(""ASX:DRE"", ""low52"")"),0.01)</f>
        <v>0.01</v>
      </c>
      <c r="I659" s="9">
        <f>IFERROR(__xludf.DUMMYFUNCTION("GOOGLEFINANCE(""ASX:DRE"", ""marketcap"")"),1.37110944E8)</f>
        <v>137110944</v>
      </c>
      <c r="J659" s="5"/>
      <c r="K659" s="5"/>
      <c r="L659" s="5"/>
      <c r="M659" s="5"/>
      <c r="N659" s="11" t="s">
        <v>19</v>
      </c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6" t="s">
        <v>1356</v>
      </c>
      <c r="B660" s="6" t="s">
        <v>1357</v>
      </c>
      <c r="C660" s="5" t="s">
        <v>36</v>
      </c>
      <c r="D660" s="7">
        <f>IFERROR(__xludf.DUMMYFUNCTION("GOOGLEFINANCE(""ASX:DRGN"", ""price"")"),12.88)</f>
        <v>12.88</v>
      </c>
      <c r="E660" s="8">
        <f>IFERROR(__xludf.DUMMYFUNCTION("GOOGLEFINANCE(""ASX:DRGN"", ""closeyest"")"),13.16)</f>
        <v>13.16</v>
      </c>
      <c r="F660" s="5" t="str">
        <f>IFERROR(__xludf.DUMMYFUNCTION("GOOGLEFINANCE(""ASX:DRGN"", ""pe"")"),"#N/A")</f>
        <v>#N/A</v>
      </c>
      <c r="G660" s="9">
        <f>IFERROR(__xludf.DUMMYFUNCTION("GOOGLEFINANCE(""ASX:DRGN"", ""high52"")"),14.86)</f>
        <v>14.86</v>
      </c>
      <c r="H660" s="9">
        <f>IFERROR(__xludf.DUMMYFUNCTION("GOOGLEFINANCE(""ASX:DRGN"", ""low52"")"),9.65)</f>
        <v>9.65</v>
      </c>
      <c r="I660" s="9">
        <f>IFERROR(__xludf.DUMMYFUNCTION("GOOGLEFINANCE(""ASX:DRGN"", ""marketcap"")"),2.480254504E9)</f>
        <v>2480254504</v>
      </c>
      <c r="J660" s="5"/>
      <c r="K660" s="5"/>
      <c r="L660" s="5"/>
      <c r="M660" s="5"/>
      <c r="N660" s="11" t="s">
        <v>19</v>
      </c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6" t="s">
        <v>1358</v>
      </c>
      <c r="B661" s="6" t="s">
        <v>1359</v>
      </c>
      <c r="C661" s="5" t="s">
        <v>36</v>
      </c>
      <c r="D661" s="7">
        <f>IFERROR(__xludf.DUMMYFUNCTION("GOOGLEFINANCE(""ASX:DRIV"", ""price"")"),10.49)</f>
        <v>10.49</v>
      </c>
      <c r="E661" s="8">
        <f>IFERROR(__xludf.DUMMYFUNCTION("GOOGLEFINANCE(""ASX:DRIV"", ""closeyest"")"),10.49)</f>
        <v>10.49</v>
      </c>
      <c r="F661" s="5" t="str">
        <f>IFERROR(__xludf.DUMMYFUNCTION("GOOGLEFINANCE(""ASX:DRIV"", ""pe"")"),"#N/A")</f>
        <v>#N/A</v>
      </c>
      <c r="G661" s="9">
        <f>IFERROR(__xludf.DUMMYFUNCTION("GOOGLEFINANCE(""ASX:DRIV"", ""high52"")"),10.65)</f>
        <v>10.65</v>
      </c>
      <c r="H661" s="9">
        <f>IFERROR(__xludf.DUMMYFUNCTION("GOOGLEFINANCE(""ASX:DRIV"", ""low52"")"),7.62)</f>
        <v>7.62</v>
      </c>
      <c r="I661" s="9" t="str">
        <f>IFERROR(__xludf.DUMMYFUNCTION("GOOGLEFINANCE(""ASX:DRIV"", ""marketcap"")"),"#N/A")</f>
        <v>#N/A</v>
      </c>
      <c r="J661" s="5"/>
      <c r="K661" s="5"/>
      <c r="L661" s="5"/>
      <c r="M661" s="5"/>
      <c r="N661" s="11" t="s">
        <v>19</v>
      </c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6" t="s">
        <v>1360</v>
      </c>
      <c r="B662" s="6" t="s">
        <v>1361</v>
      </c>
      <c r="C662" s="5" t="s">
        <v>504</v>
      </c>
      <c r="D662" s="7">
        <f>IFERROR(__xludf.DUMMYFUNCTION("GOOGLEFINANCE(""ASX:DRO"", ""price"")"),3.89)</f>
        <v>3.89</v>
      </c>
      <c r="E662" s="8">
        <f>IFERROR(__xludf.DUMMYFUNCTION("GOOGLEFINANCE(""ASX:DRO"", ""closeyest"")"),3.92)</f>
        <v>3.92</v>
      </c>
      <c r="F662" s="9">
        <f>IFERROR(__xludf.DUMMYFUNCTION("GOOGLEFINANCE(""ASX:DRO"", ""pe"")"),499.36)</f>
        <v>499.36</v>
      </c>
      <c r="G662" s="9">
        <f>IFERROR(__xludf.DUMMYFUNCTION("GOOGLEFINANCE(""ASX:DRO"", ""high52"")"),6.71)</f>
        <v>6.71</v>
      </c>
      <c r="H662" s="9">
        <f>IFERROR(__xludf.DUMMYFUNCTION("GOOGLEFINANCE(""ASX:DRO"", ""low52"")"),0.59)</f>
        <v>0.59</v>
      </c>
      <c r="I662" s="9">
        <f>IFERROR(__xludf.DUMMYFUNCTION("GOOGLEFINANCE(""ASX:DRO"", ""marketcap"")"),3.553195337E9)</f>
        <v>3553195337</v>
      </c>
      <c r="J662" s="5"/>
      <c r="K662" s="5"/>
      <c r="L662" s="5"/>
      <c r="M662" s="5"/>
      <c r="N662" s="10">
        <v>427.47</v>
      </c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6" t="s">
        <v>1362</v>
      </c>
      <c r="B663" s="6" t="s">
        <v>1363</v>
      </c>
      <c r="C663" s="5" t="s">
        <v>171</v>
      </c>
      <c r="D663" s="7">
        <f>IFERROR(__xludf.DUMMYFUNCTION("GOOGLEFINANCE(""ASX:DRR"", ""price"")"),4.22)</f>
        <v>4.22</v>
      </c>
      <c r="E663" s="8">
        <f>IFERROR(__xludf.DUMMYFUNCTION("GOOGLEFINANCE(""ASX:DRR"", ""closeyest"")"),4.23)</f>
        <v>4.23</v>
      </c>
      <c r="F663" s="9">
        <f>IFERROR(__xludf.DUMMYFUNCTION("GOOGLEFINANCE(""ASX:DRR"", ""pe"")"),14.36)</f>
        <v>14.36</v>
      </c>
      <c r="G663" s="9">
        <f>IFERROR(__xludf.DUMMYFUNCTION("GOOGLEFINANCE(""ASX:DRR"", ""high52"")"),4.55)</f>
        <v>4.55</v>
      </c>
      <c r="H663" s="9">
        <f>IFERROR(__xludf.DUMMYFUNCTION("GOOGLEFINANCE(""ASX:DRR"", ""low52"")"),3.19)</f>
        <v>3.19</v>
      </c>
      <c r="I663" s="9">
        <f>IFERROR(__xludf.DUMMYFUNCTION("GOOGLEFINANCE(""ASX:DRR"", ""marketcap"")"),2.232934818E9)</f>
        <v>2232934818</v>
      </c>
      <c r="J663" s="5"/>
      <c r="K663" s="5"/>
      <c r="L663" s="5"/>
      <c r="M663" s="5"/>
      <c r="N663" s="10">
        <v>14.05</v>
      </c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6" t="s">
        <v>1364</v>
      </c>
      <c r="B664" s="6" t="s">
        <v>1365</v>
      </c>
      <c r="C664" s="5" t="s">
        <v>36</v>
      </c>
      <c r="D664" s="7">
        <f>IFERROR(__xludf.DUMMYFUNCTION("GOOGLEFINANCE(""ASX:DRUG"", ""price"")"),8.94)</f>
        <v>8.94</v>
      </c>
      <c r="E664" s="8">
        <f>IFERROR(__xludf.DUMMYFUNCTION("GOOGLEFINANCE(""ASX:DRUG"", ""closeyest"")"),8.76)</f>
        <v>8.76</v>
      </c>
      <c r="F664" s="5" t="str">
        <f>IFERROR(__xludf.DUMMYFUNCTION("GOOGLEFINANCE(""ASX:DRUG"", ""pe"")"),"#N/A")</f>
        <v>#N/A</v>
      </c>
      <c r="G664" s="9">
        <f>IFERROR(__xludf.DUMMYFUNCTION("GOOGLEFINANCE(""ASX:DRUG"", ""high52"")"),8.95)</f>
        <v>8.95</v>
      </c>
      <c r="H664" s="9">
        <f>IFERROR(__xludf.DUMMYFUNCTION("GOOGLEFINANCE(""ASX:DRUG"", ""low52"")"),7.27)</f>
        <v>7.27</v>
      </c>
      <c r="I664" s="9" t="str">
        <f>IFERROR(__xludf.DUMMYFUNCTION("GOOGLEFINANCE(""ASX:DRUG"", ""marketcap"")"),"#N/A")</f>
        <v>#N/A</v>
      </c>
      <c r="J664" s="5"/>
      <c r="K664" s="5"/>
      <c r="L664" s="5"/>
      <c r="M664" s="5"/>
      <c r="N664" s="11" t="s">
        <v>19</v>
      </c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6" t="s">
        <v>1366</v>
      </c>
      <c r="B665" s="6" t="s">
        <v>1367</v>
      </c>
      <c r="C665" s="5" t="s">
        <v>961</v>
      </c>
      <c r="D665" s="7">
        <f>IFERROR(__xludf.DUMMYFUNCTION("GOOGLEFINANCE(""ASX:DRX"", ""price"")"),0.02)</f>
        <v>0.02</v>
      </c>
      <c r="E665" s="8">
        <f>IFERROR(__xludf.DUMMYFUNCTION("GOOGLEFINANCE(""ASX:DRX"", ""closeyest"")"),0.02)</f>
        <v>0.02</v>
      </c>
      <c r="F665" s="5" t="str">
        <f>IFERROR(__xludf.DUMMYFUNCTION("GOOGLEFINANCE(""ASX:DRX"", ""pe"")"),"#N/A")</f>
        <v>#N/A</v>
      </c>
      <c r="G665" s="9">
        <f>IFERROR(__xludf.DUMMYFUNCTION("GOOGLEFINANCE(""ASX:DRX"", ""high52"")"),0.02)</f>
        <v>0.02</v>
      </c>
      <c r="H665" s="9">
        <f>IFERROR(__xludf.DUMMYFUNCTION("GOOGLEFINANCE(""ASX:DRX"", ""low52"")"),0.02)</f>
        <v>0.02</v>
      </c>
      <c r="I665" s="9">
        <f>IFERROR(__xludf.DUMMYFUNCTION("GOOGLEFINANCE(""ASX:DRX"", ""marketcap"")"),8.113415E7)</f>
        <v>81134150</v>
      </c>
      <c r="J665" s="5"/>
      <c r="K665" s="5"/>
      <c r="L665" s="5"/>
      <c r="M665" s="5"/>
      <c r="N665" s="11" t="s">
        <v>19</v>
      </c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6" t="s">
        <v>1368</v>
      </c>
      <c r="B666" s="6" t="s">
        <v>1369</v>
      </c>
      <c r="C666" s="5" t="s">
        <v>1370</v>
      </c>
      <c r="D666" s="7">
        <f>IFERROR(__xludf.DUMMYFUNCTION("GOOGLEFINANCE(""ASX:DSK"", ""price"")"),0.85)</f>
        <v>0.85</v>
      </c>
      <c r="E666" s="8">
        <f>IFERROR(__xludf.DUMMYFUNCTION("GOOGLEFINANCE(""ASX:DSK"", ""closeyest"")"),0.85)</f>
        <v>0.85</v>
      </c>
      <c r="F666" s="9">
        <f>IFERROR(__xludf.DUMMYFUNCTION("GOOGLEFINANCE(""ASX:DSK"", ""pe"")"),12.02)</f>
        <v>12.02</v>
      </c>
      <c r="G666" s="9">
        <f>IFERROR(__xludf.DUMMYFUNCTION("GOOGLEFINANCE(""ASX:DSK"", ""high52"")"),1.36)</f>
        <v>1.36</v>
      </c>
      <c r="H666" s="9">
        <f>IFERROR(__xludf.DUMMYFUNCTION("GOOGLEFINANCE(""ASX:DSK"", ""low52"")"),0.76)</f>
        <v>0.76</v>
      </c>
      <c r="I666" s="9">
        <f>IFERROR(__xludf.DUMMYFUNCTION("GOOGLEFINANCE(""ASX:DSK"", ""marketcap"")"),5.292769E7)</f>
        <v>52927690</v>
      </c>
      <c r="J666" s="5"/>
      <c r="K666" s="5"/>
      <c r="L666" s="5"/>
      <c r="M666" s="5"/>
      <c r="N666" s="10">
        <v>11.74</v>
      </c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6" t="s">
        <v>1371</v>
      </c>
      <c r="B667" s="6" t="s">
        <v>1372</v>
      </c>
      <c r="C667" s="5" t="s">
        <v>18</v>
      </c>
      <c r="D667" s="7">
        <f>IFERROR(__xludf.DUMMYFUNCTION("GOOGLEFINANCE(""ASX:DSM"", ""price"")"),0.23)</f>
        <v>0.23</v>
      </c>
      <c r="E667" s="8">
        <f>IFERROR(__xludf.DUMMYFUNCTION("GOOGLEFINANCE(""ASX:DSM"", ""closeyest"")"),0.25)</f>
        <v>0.25</v>
      </c>
      <c r="F667" s="5" t="str">
        <f>IFERROR(__xludf.DUMMYFUNCTION("GOOGLEFINANCE(""ASX:DSM"", ""pe"")"),"#N/A")</f>
        <v>#N/A</v>
      </c>
      <c r="G667" s="9">
        <f>IFERROR(__xludf.DUMMYFUNCTION("GOOGLEFINANCE(""ASX:DSM"", ""high52"")"),0.28)</f>
        <v>0.28</v>
      </c>
      <c r="H667" s="9">
        <f>IFERROR(__xludf.DUMMYFUNCTION("GOOGLEFINANCE(""ASX:DSM"", ""low52"")"),0.2)</f>
        <v>0.2</v>
      </c>
      <c r="I667" s="9">
        <f>IFERROR(__xludf.DUMMYFUNCTION("GOOGLEFINANCE(""ASX:DSM"", ""marketcap"")"),5750009.0)</f>
        <v>5750009</v>
      </c>
      <c r="J667" s="5"/>
      <c r="K667" s="5"/>
      <c r="L667" s="5"/>
      <c r="M667" s="5"/>
      <c r="N667" s="11" t="s">
        <v>19</v>
      </c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6" t="s">
        <v>1373</v>
      </c>
      <c r="B668" s="6" t="s">
        <v>1374</v>
      </c>
      <c r="C668" s="5" t="s">
        <v>36</v>
      </c>
      <c r="D668" s="7">
        <f>IFERROR(__xludf.DUMMYFUNCTION("GOOGLEFINANCE(""ASX:DTEC"", ""price"")"),18.84)</f>
        <v>18.84</v>
      </c>
      <c r="E668" s="8">
        <f>IFERROR(__xludf.DUMMYFUNCTION("GOOGLEFINANCE(""ASX:DTEC"", ""closeyest"")"),18.85)</f>
        <v>18.85</v>
      </c>
      <c r="F668" s="5" t="str">
        <f>IFERROR(__xludf.DUMMYFUNCTION("GOOGLEFINANCE(""ASX:DTEC"", ""pe"")"),"#N/A")</f>
        <v>#N/A</v>
      </c>
      <c r="G668" s="9">
        <f>IFERROR(__xludf.DUMMYFUNCTION("GOOGLEFINANCE(""ASX:DTEC"", ""high52"")"),19.53)</f>
        <v>19.53</v>
      </c>
      <c r="H668" s="9">
        <f>IFERROR(__xludf.DUMMYFUNCTION("GOOGLEFINANCE(""ASX:DTEC"", ""low52"")"),10.63)</f>
        <v>10.63</v>
      </c>
      <c r="I668" s="9" t="str">
        <f>IFERROR(__xludf.DUMMYFUNCTION("GOOGLEFINANCE(""ASX:DTEC"", ""marketcap"")"),"#N/A")</f>
        <v>#N/A</v>
      </c>
      <c r="J668" s="5"/>
      <c r="K668" s="5"/>
      <c r="L668" s="5"/>
      <c r="M668" s="5"/>
      <c r="N668" s="11" t="s">
        <v>19</v>
      </c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6" t="s">
        <v>1375</v>
      </c>
      <c r="B669" s="6" t="s">
        <v>1376</v>
      </c>
      <c r="C669" s="5" t="s">
        <v>158</v>
      </c>
      <c r="D669" s="7">
        <f>IFERROR(__xludf.DUMMYFUNCTION("GOOGLEFINANCE(""ASX:DTI"", ""price"")"),0.01)</f>
        <v>0.01</v>
      </c>
      <c r="E669" s="8">
        <f>IFERROR(__xludf.DUMMYFUNCTION("GOOGLEFINANCE(""ASX:DTI"", ""closeyest"")"),0.01)</f>
        <v>0.01</v>
      </c>
      <c r="F669" s="5" t="str">
        <f>IFERROR(__xludf.DUMMYFUNCTION("GOOGLEFINANCE(""ASX:DTI"", ""pe"")"),"#N/A")</f>
        <v>#N/A</v>
      </c>
      <c r="G669" s="9">
        <f>IFERROR(__xludf.DUMMYFUNCTION("GOOGLEFINANCE(""ASX:DTI"", ""high52"")"),0.05)</f>
        <v>0.05</v>
      </c>
      <c r="H669" s="9">
        <f>IFERROR(__xludf.DUMMYFUNCTION("GOOGLEFINANCE(""ASX:DTI"", ""low52"")"),0.0)</f>
        <v>0</v>
      </c>
      <c r="I669" s="9">
        <f>IFERROR(__xludf.DUMMYFUNCTION("GOOGLEFINANCE(""ASX:DTI"", ""marketcap"")"),1.0854942E7)</f>
        <v>10854942</v>
      </c>
      <c r="J669" s="5"/>
      <c r="K669" s="5"/>
      <c r="L669" s="5"/>
      <c r="M669" s="5"/>
      <c r="N669" s="11" t="s">
        <v>19</v>
      </c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6" t="s">
        <v>1377</v>
      </c>
      <c r="B670" s="6" t="s">
        <v>1378</v>
      </c>
      <c r="C670" s="5" t="s">
        <v>184</v>
      </c>
      <c r="D670" s="7">
        <f>IFERROR(__xludf.DUMMYFUNCTION("GOOGLEFINANCE(""ASX:DTL"", ""price"")"),9.45)</f>
        <v>9.45</v>
      </c>
      <c r="E670" s="8">
        <f>IFERROR(__xludf.DUMMYFUNCTION("GOOGLEFINANCE(""ASX:DTL"", ""closeyest"")"),9.02)</f>
        <v>9.02</v>
      </c>
      <c r="F670" s="9">
        <f>IFERROR(__xludf.DUMMYFUNCTION("GOOGLEFINANCE(""ASX:DTL"", ""pe"")"),30.46)</f>
        <v>30.46</v>
      </c>
      <c r="G670" s="9">
        <f>IFERROR(__xludf.DUMMYFUNCTION("GOOGLEFINANCE(""ASX:DTL"", ""high52"")"),9.74)</f>
        <v>9.74</v>
      </c>
      <c r="H670" s="9">
        <f>IFERROR(__xludf.DUMMYFUNCTION("GOOGLEFINANCE(""ASX:DTL"", ""low52"")"),6.12)</f>
        <v>6.12</v>
      </c>
      <c r="I670" s="9">
        <f>IFERROR(__xludf.DUMMYFUNCTION("GOOGLEFINANCE(""ASX:DTL"", ""marketcap"")"),1.465484235E9)</f>
        <v>1465484235</v>
      </c>
      <c r="J670" s="5"/>
      <c r="K670" s="5"/>
      <c r="L670" s="5"/>
      <c r="M670" s="5"/>
      <c r="N670" s="10">
        <v>29.14</v>
      </c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6" t="s">
        <v>1379</v>
      </c>
      <c r="B671" s="6" t="s">
        <v>1380</v>
      </c>
      <c r="C671" s="5" t="s">
        <v>18</v>
      </c>
      <c r="D671" s="7">
        <f>IFERROR(__xludf.DUMMYFUNCTION("GOOGLEFINANCE(""ASX:DTM"", ""price"")"),0.04)</f>
        <v>0.04</v>
      </c>
      <c r="E671" s="8">
        <f>IFERROR(__xludf.DUMMYFUNCTION("GOOGLEFINANCE(""ASX:DTM"", ""closeyest"")"),0.04)</f>
        <v>0.04</v>
      </c>
      <c r="F671" s="5" t="str">
        <f>IFERROR(__xludf.DUMMYFUNCTION("GOOGLEFINANCE(""ASX:DTM"", ""pe"")"),"#N/A")</f>
        <v>#N/A</v>
      </c>
      <c r="G671" s="9">
        <f>IFERROR(__xludf.DUMMYFUNCTION("GOOGLEFINANCE(""ASX:DTM"", ""high52"")"),0.17)</f>
        <v>0.17</v>
      </c>
      <c r="H671" s="9">
        <f>IFERROR(__xludf.DUMMYFUNCTION("GOOGLEFINANCE(""ASX:DTM"", ""low52"")"),0.03)</f>
        <v>0.03</v>
      </c>
      <c r="I671" s="9">
        <f>IFERROR(__xludf.DUMMYFUNCTION("GOOGLEFINANCE(""ASX:DTM"", ""marketcap"")"),7177278.0)</f>
        <v>7177278</v>
      </c>
      <c r="J671" s="5"/>
      <c r="K671" s="5"/>
      <c r="L671" s="5"/>
      <c r="M671" s="5"/>
      <c r="N671" s="11" t="s">
        <v>19</v>
      </c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6" t="s">
        <v>1381</v>
      </c>
      <c r="B672" s="6" t="s">
        <v>1382</v>
      </c>
      <c r="C672" s="5" t="s">
        <v>88</v>
      </c>
      <c r="D672" s="7">
        <f>IFERROR(__xludf.DUMMYFUNCTION("GOOGLEFINANCE(""ASX:DTR"", ""price"")"),0.28)</f>
        <v>0.28</v>
      </c>
      <c r="E672" s="8">
        <f>IFERROR(__xludf.DUMMYFUNCTION("GOOGLEFINANCE(""ASX:DTR"", ""closeyest"")"),0.23)</f>
        <v>0.23</v>
      </c>
      <c r="F672" s="5" t="str">
        <f>IFERROR(__xludf.DUMMYFUNCTION("GOOGLEFINANCE(""ASX:DTR"", ""pe"")"),"#N/A")</f>
        <v>#N/A</v>
      </c>
      <c r="G672" s="9">
        <f>IFERROR(__xludf.DUMMYFUNCTION("GOOGLEFINANCE(""ASX:DTR"", ""high52"")"),0.68)</f>
        <v>0.68</v>
      </c>
      <c r="H672" s="9">
        <f>IFERROR(__xludf.DUMMYFUNCTION("GOOGLEFINANCE(""ASX:DTR"", ""low52"")"),0.0)</f>
        <v>0</v>
      </c>
      <c r="I672" s="9">
        <f>IFERROR(__xludf.DUMMYFUNCTION("GOOGLEFINANCE(""ASX:DTR"", ""marketcap"")"),9.54759404E8)</f>
        <v>954759404</v>
      </c>
      <c r="J672" s="5"/>
      <c r="K672" s="5"/>
      <c r="L672" s="5"/>
      <c r="M672" s="5"/>
      <c r="N672" s="11" t="s">
        <v>19</v>
      </c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6" t="s">
        <v>1383</v>
      </c>
      <c r="B673" s="6" t="s">
        <v>1384</v>
      </c>
      <c r="C673" s="5" t="s">
        <v>103</v>
      </c>
      <c r="D673" s="7">
        <f>IFERROR(__xludf.DUMMYFUNCTION("GOOGLEFINANCE(""ASX:DTZ"", ""price"")"),0.04)</f>
        <v>0.04</v>
      </c>
      <c r="E673" s="8">
        <f>IFERROR(__xludf.DUMMYFUNCTION("GOOGLEFINANCE(""ASX:DTZ"", ""closeyest"")"),0.04)</f>
        <v>0.04</v>
      </c>
      <c r="F673" s="5" t="str">
        <f>IFERROR(__xludf.DUMMYFUNCTION("GOOGLEFINANCE(""ASX:DTZ"", ""pe"")"),"#N/A")</f>
        <v>#N/A</v>
      </c>
      <c r="G673" s="9">
        <f>IFERROR(__xludf.DUMMYFUNCTION("GOOGLEFINANCE(""ASX:DTZ"", ""high52"")"),0.11)</f>
        <v>0.11</v>
      </c>
      <c r="H673" s="9">
        <f>IFERROR(__xludf.DUMMYFUNCTION("GOOGLEFINANCE(""ASX:DTZ"", ""low52"")"),0.03)</f>
        <v>0.03</v>
      </c>
      <c r="I673" s="9">
        <f>IFERROR(__xludf.DUMMYFUNCTION("GOOGLEFINANCE(""ASX:DTZ"", ""marketcap"")"),2.9127487E7)</f>
        <v>29127487</v>
      </c>
      <c r="J673" s="5"/>
      <c r="K673" s="5"/>
      <c r="L673" s="5"/>
      <c r="M673" s="5"/>
      <c r="N673" s="11" t="s">
        <v>19</v>
      </c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6" t="s">
        <v>1385</v>
      </c>
      <c r="B674" s="6" t="s">
        <v>1386</v>
      </c>
      <c r="C674" s="5" t="s">
        <v>15</v>
      </c>
      <c r="D674" s="7">
        <f>IFERROR(__xludf.DUMMYFUNCTION("GOOGLEFINANCE(""ASX:DUB"", ""price"")"),0.02)</f>
        <v>0.02</v>
      </c>
      <c r="E674" s="8">
        <f>IFERROR(__xludf.DUMMYFUNCTION("GOOGLEFINANCE(""ASX:DUB"", ""closeyest"")"),0.02)</f>
        <v>0.02</v>
      </c>
      <c r="F674" s="5" t="str">
        <f>IFERROR(__xludf.DUMMYFUNCTION("GOOGLEFINANCE(""ASX:DUB"", ""pe"")"),"#N/A")</f>
        <v>#N/A</v>
      </c>
      <c r="G674" s="9">
        <f>IFERROR(__xludf.DUMMYFUNCTION("GOOGLEFINANCE(""ASX:DUB"", ""high52"")"),0.06)</f>
        <v>0.06</v>
      </c>
      <c r="H674" s="9">
        <f>IFERROR(__xludf.DUMMYFUNCTION("GOOGLEFINANCE(""ASX:DUB"", ""low52"")"),0.01)</f>
        <v>0.01</v>
      </c>
      <c r="I674" s="9">
        <f>IFERROR(__xludf.DUMMYFUNCTION("GOOGLEFINANCE(""ASX:DUB"", ""marketcap"")"),4.6137812E7)</f>
        <v>46137812</v>
      </c>
      <c r="J674" s="9">
        <v>0.004</v>
      </c>
      <c r="K674" s="9">
        <v>0.004</v>
      </c>
      <c r="L674" s="9">
        <v>0.047</v>
      </c>
      <c r="M674" s="9">
        <v>0.003</v>
      </c>
      <c r="N674" s="11" t="s">
        <v>19</v>
      </c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6" t="s">
        <v>1387</v>
      </c>
      <c r="B675" s="6" t="s">
        <v>1388</v>
      </c>
      <c r="C675" s="5" t="s">
        <v>184</v>
      </c>
      <c r="D675" s="7">
        <f>IFERROR(__xludf.DUMMYFUNCTION("GOOGLEFINANCE(""ASX:DUG"", ""price"")"),2.08)</f>
        <v>2.08</v>
      </c>
      <c r="E675" s="8">
        <f>IFERROR(__xludf.DUMMYFUNCTION("GOOGLEFINANCE(""ASX:DUG"", ""closeyest"")"),2.14)</f>
        <v>2.14</v>
      </c>
      <c r="F675" s="5" t="str">
        <f>IFERROR(__xludf.DUMMYFUNCTION("GOOGLEFINANCE(""ASX:DUG"", ""pe"")"),"#N/A")</f>
        <v>#N/A</v>
      </c>
      <c r="G675" s="9">
        <f>IFERROR(__xludf.DUMMYFUNCTION("GOOGLEFINANCE(""ASX:DUG"", ""high52"")"),2.85)</f>
        <v>2.85</v>
      </c>
      <c r="H675" s="9">
        <f>IFERROR(__xludf.DUMMYFUNCTION("GOOGLEFINANCE(""ASX:DUG"", ""low52"")"),0.85)</f>
        <v>0.85</v>
      </c>
      <c r="I675" s="9">
        <f>IFERROR(__xludf.DUMMYFUNCTION("GOOGLEFINANCE(""ASX:DUG"", ""marketcap"")"),2.81656949E8)</f>
        <v>281656949</v>
      </c>
      <c r="J675" s="5"/>
      <c r="K675" s="5"/>
      <c r="L675" s="5"/>
      <c r="M675" s="5"/>
      <c r="N675" s="11" t="s">
        <v>19</v>
      </c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6" t="s">
        <v>1389</v>
      </c>
      <c r="B676" s="6" t="s">
        <v>1390</v>
      </c>
      <c r="C676" s="5" t="s">
        <v>171</v>
      </c>
      <c r="D676" s="7">
        <f>IFERROR(__xludf.DUMMYFUNCTION("GOOGLEFINANCE(""ASX:DUI"", ""price"")"),5.34)</f>
        <v>5.34</v>
      </c>
      <c r="E676" s="8">
        <f>IFERROR(__xludf.DUMMYFUNCTION("GOOGLEFINANCE(""ASX:DUI"", ""closeyest"")"),5.34)</f>
        <v>5.34</v>
      </c>
      <c r="F676" s="9">
        <f>IFERROR(__xludf.DUMMYFUNCTION("GOOGLEFINANCE(""ASX:DUI"", ""pe"")"),30.3)</f>
        <v>30.3</v>
      </c>
      <c r="G676" s="9">
        <f>IFERROR(__xludf.DUMMYFUNCTION("GOOGLEFINANCE(""ASX:DUI"", ""high52"")"),5.6)</f>
        <v>5.6</v>
      </c>
      <c r="H676" s="9">
        <f>IFERROR(__xludf.DUMMYFUNCTION("GOOGLEFINANCE(""ASX:DUI"", ""low52"")"),4.88)</f>
        <v>4.88</v>
      </c>
      <c r="I676" s="9">
        <f>IFERROR(__xludf.DUMMYFUNCTION("GOOGLEFINANCE(""ASX:DUI"", ""marketcap"")"),1.144241882E9)</f>
        <v>1144241882</v>
      </c>
      <c r="J676" s="5"/>
      <c r="K676" s="5"/>
      <c r="L676" s="5"/>
      <c r="M676" s="5"/>
      <c r="N676" s="10">
        <v>30.64</v>
      </c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6" t="s">
        <v>1391</v>
      </c>
      <c r="B677" s="6" t="s">
        <v>1392</v>
      </c>
      <c r="C677" s="5" t="s">
        <v>88</v>
      </c>
      <c r="D677" s="7" t="str">
        <f>IFERROR(__xludf.DUMMYFUNCTION("GOOGLEFINANCE(""ASX:DUN"", ""price"")"),"#N/A")</f>
        <v>#N/A</v>
      </c>
      <c r="E677" s="8" t="str">
        <f>IFERROR(__xludf.DUMMYFUNCTION("GOOGLEFINANCE(""ASX:DUN"", ""closeyest"")"),"#N/A")</f>
        <v>#N/A</v>
      </c>
      <c r="F677" s="5" t="str">
        <f>IFERROR(__xludf.DUMMYFUNCTION("GOOGLEFINANCE(""ASX:DUN"", ""pe"")"),"#N/A")</f>
        <v>#N/A</v>
      </c>
      <c r="G677" s="5" t="str">
        <f>IFERROR(__xludf.DUMMYFUNCTION("GOOGLEFINANCE(""ASX:DUN"", ""high52"")"),"#N/A")</f>
        <v>#N/A</v>
      </c>
      <c r="H677" s="5" t="str">
        <f>IFERROR(__xludf.DUMMYFUNCTION("GOOGLEFINANCE(""ASX:DUN"", ""low52"")"),"#N/A")</f>
        <v>#N/A</v>
      </c>
      <c r="I677" s="9" t="str">
        <f>IFERROR(__xludf.DUMMYFUNCTION("GOOGLEFINANCE(""ASX:DUN"", ""marketcap"")"),"#N/A")</f>
        <v>#N/A</v>
      </c>
      <c r="J677" s="12">
        <v>0.042</v>
      </c>
      <c r="K677" s="12">
        <v>0.042</v>
      </c>
      <c r="L677" s="12">
        <v>0.05</v>
      </c>
      <c r="M677" s="12">
        <v>0.015</v>
      </c>
      <c r="N677" s="11" t="s">
        <v>19</v>
      </c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6" t="s">
        <v>1393</v>
      </c>
      <c r="B678" s="6" t="s">
        <v>1394</v>
      </c>
      <c r="C678" s="5" t="s">
        <v>123</v>
      </c>
      <c r="D678" s="7">
        <f>IFERROR(__xludf.DUMMYFUNCTION("GOOGLEFINANCE(""ASX:DUR"", ""price"")"),1.87)</f>
        <v>1.87</v>
      </c>
      <c r="E678" s="8">
        <f>IFERROR(__xludf.DUMMYFUNCTION("GOOGLEFINANCE(""ASX:DUR"", ""closeyest"")"),1.84)</f>
        <v>1.84</v>
      </c>
      <c r="F678" s="9">
        <f>IFERROR(__xludf.DUMMYFUNCTION("GOOGLEFINANCE(""ASX:DUR"", ""pe"")"),21.51)</f>
        <v>21.51</v>
      </c>
      <c r="G678" s="9">
        <f>IFERROR(__xludf.DUMMYFUNCTION("GOOGLEFINANCE(""ASX:DUR"", ""high52"")"),2.23)</f>
        <v>2.23</v>
      </c>
      <c r="H678" s="9">
        <f>IFERROR(__xludf.DUMMYFUNCTION("GOOGLEFINANCE(""ASX:DUR"", ""low52"")"),1.35)</f>
        <v>1.35</v>
      </c>
      <c r="I678" s="9">
        <f>IFERROR(__xludf.DUMMYFUNCTION("GOOGLEFINANCE(""ASX:DUR"", ""marketcap"")"),4.80889692E8)</f>
        <v>480889692</v>
      </c>
      <c r="J678" s="5"/>
      <c r="K678" s="5"/>
      <c r="L678" s="5"/>
      <c r="M678" s="5"/>
      <c r="N678" s="10">
        <v>21.16</v>
      </c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6" t="s">
        <v>1395</v>
      </c>
      <c r="B679" s="6" t="s">
        <v>1396</v>
      </c>
      <c r="C679" s="5" t="s">
        <v>36</v>
      </c>
      <c r="D679" s="7">
        <f>IFERROR(__xludf.DUMMYFUNCTION("GOOGLEFINANCE(""ASX:DVDY"", ""price"")"),21.47)</f>
        <v>21.47</v>
      </c>
      <c r="E679" s="8">
        <f>IFERROR(__xludf.DUMMYFUNCTION("GOOGLEFINANCE(""ASX:DVDY"", ""closeyest"")"),21.42)</f>
        <v>21.42</v>
      </c>
      <c r="F679" s="5" t="str">
        <f>IFERROR(__xludf.DUMMYFUNCTION("GOOGLEFINANCE(""ASX:DVDY"", ""pe"")"),"#N/A")</f>
        <v>#N/A</v>
      </c>
      <c r="G679" s="9">
        <f>IFERROR(__xludf.DUMMYFUNCTION("GOOGLEFINANCE(""ASX:DVDY"", ""high52"")"),24.2)</f>
        <v>24.2</v>
      </c>
      <c r="H679" s="9">
        <f>IFERROR(__xludf.DUMMYFUNCTION("GOOGLEFINANCE(""ASX:DVDY"", ""low52"")"),19.67)</f>
        <v>19.67</v>
      </c>
      <c r="I679" s="9" t="str">
        <f>IFERROR(__xludf.DUMMYFUNCTION("GOOGLEFINANCE(""ASX:DVDY"", ""marketcap"")"),"#N/A")</f>
        <v>#N/A</v>
      </c>
      <c r="J679" s="5"/>
      <c r="K679" s="5"/>
      <c r="L679" s="5"/>
      <c r="M679" s="5"/>
      <c r="N679" s="11" t="s">
        <v>19</v>
      </c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6" t="s">
        <v>1397</v>
      </c>
      <c r="B680" s="6" t="s">
        <v>1398</v>
      </c>
      <c r="C680" s="5" t="s">
        <v>52</v>
      </c>
      <c r="D680" s="7">
        <f>IFERROR(__xludf.DUMMYFUNCTION("GOOGLEFINANCE(""ASX:DVL"", ""price"")"),0.03)</f>
        <v>0.03</v>
      </c>
      <c r="E680" s="8">
        <f>IFERROR(__xludf.DUMMYFUNCTION("GOOGLEFINANCE(""ASX:DVL"", ""closeyest"")"),0.03)</f>
        <v>0.03</v>
      </c>
      <c r="F680" s="5" t="str">
        <f>IFERROR(__xludf.DUMMYFUNCTION("GOOGLEFINANCE(""ASX:DVL"", ""pe"")"),"#N/A")</f>
        <v>#N/A</v>
      </c>
      <c r="G680" s="9">
        <f>IFERROR(__xludf.DUMMYFUNCTION("GOOGLEFINANCE(""ASX:DVL"", ""high52"")"),0.07)</f>
        <v>0.07</v>
      </c>
      <c r="H680" s="9">
        <f>IFERROR(__xludf.DUMMYFUNCTION("GOOGLEFINANCE(""ASX:DVL"", ""low52"")"),0.01)</f>
        <v>0.01</v>
      </c>
      <c r="I680" s="9">
        <f>IFERROR(__xludf.DUMMYFUNCTION("GOOGLEFINANCE(""ASX:DVL"", ""marketcap"")"),3.9696986E7)</f>
        <v>39696986</v>
      </c>
      <c r="J680" s="5"/>
      <c r="K680" s="5"/>
      <c r="L680" s="5"/>
      <c r="M680" s="5"/>
      <c r="N680" s="11" t="s">
        <v>19</v>
      </c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6" t="s">
        <v>1399</v>
      </c>
      <c r="B681" s="6" t="s">
        <v>1400</v>
      </c>
      <c r="C681" s="5" t="s">
        <v>18</v>
      </c>
      <c r="D681" s="7">
        <f>IFERROR(__xludf.DUMMYFUNCTION("GOOGLEFINANCE(""ASX:DVP"", ""price"")"),5.02)</f>
        <v>5.02</v>
      </c>
      <c r="E681" s="8">
        <f>IFERROR(__xludf.DUMMYFUNCTION("GOOGLEFINANCE(""ASX:DVP"", ""closeyest"")"),4.97)</f>
        <v>4.97</v>
      </c>
      <c r="F681" s="9">
        <f>IFERROR(__xludf.DUMMYFUNCTION("GOOGLEFINANCE(""ASX:DVP"", ""pe"")"),18.7)</f>
        <v>18.7</v>
      </c>
      <c r="G681" s="9">
        <f>IFERROR(__xludf.DUMMYFUNCTION("GOOGLEFINANCE(""ASX:DVP"", ""high52"")"),5.19)</f>
        <v>5.19</v>
      </c>
      <c r="H681" s="9">
        <f>IFERROR(__xludf.DUMMYFUNCTION("GOOGLEFINANCE(""ASX:DVP"", ""low52"")"),2.02)</f>
        <v>2.02</v>
      </c>
      <c r="I681" s="9">
        <f>IFERROR(__xludf.DUMMYFUNCTION("GOOGLEFINANCE(""ASX:DVP"", ""marketcap"")"),1.656527203E9)</f>
        <v>1656527203</v>
      </c>
      <c r="J681" s="5"/>
      <c r="K681" s="5"/>
      <c r="L681" s="5"/>
      <c r="M681" s="5"/>
      <c r="N681" s="10">
        <v>16.91</v>
      </c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6" t="s">
        <v>1401</v>
      </c>
      <c r="B682" s="6" t="s">
        <v>1402</v>
      </c>
      <c r="C682" s="5" t="s">
        <v>15</v>
      </c>
      <c r="D682" s="7">
        <f>IFERROR(__xludf.DUMMYFUNCTION("GOOGLEFINANCE(""ASX:DWG"", ""price"")"),0.09)</f>
        <v>0.09</v>
      </c>
      <c r="E682" s="8">
        <f>IFERROR(__xludf.DUMMYFUNCTION("GOOGLEFINANCE(""ASX:DWG"", ""closeyest"")"),0.09)</f>
        <v>0.09</v>
      </c>
      <c r="F682" s="5" t="str">
        <f>IFERROR(__xludf.DUMMYFUNCTION("GOOGLEFINANCE(""ASX:DWG"", ""pe"")"),"#N/A")</f>
        <v>#N/A</v>
      </c>
      <c r="G682" s="9">
        <f>IFERROR(__xludf.DUMMYFUNCTION("GOOGLEFINANCE(""ASX:DWG"", ""high52"")"),0.2)</f>
        <v>0.2</v>
      </c>
      <c r="H682" s="9">
        <f>IFERROR(__xludf.DUMMYFUNCTION("GOOGLEFINANCE(""ASX:DWG"", ""low52"")"),0.05)</f>
        <v>0.05</v>
      </c>
      <c r="I682" s="9">
        <f>IFERROR(__xludf.DUMMYFUNCTION("GOOGLEFINANCE(""ASX:DWG"", ""marketcap"")"),9691684.0)</f>
        <v>9691684</v>
      </c>
      <c r="J682" s="5"/>
      <c r="K682" s="5"/>
      <c r="L682" s="5"/>
      <c r="M682" s="5"/>
      <c r="N682" s="11" t="s">
        <v>19</v>
      </c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6" t="s">
        <v>1403</v>
      </c>
      <c r="B683" s="6" t="s">
        <v>1404</v>
      </c>
      <c r="C683" s="5" t="s">
        <v>25</v>
      </c>
      <c r="D683" s="7">
        <f>IFERROR(__xludf.DUMMYFUNCTION("GOOGLEFINANCE(""ASX:DXB"", ""price"")"),0.56)</f>
        <v>0.56</v>
      </c>
      <c r="E683" s="8">
        <f>IFERROR(__xludf.DUMMYFUNCTION("GOOGLEFINANCE(""ASX:DXB"", ""closeyest"")"),0.54)</f>
        <v>0.54</v>
      </c>
      <c r="F683" s="5" t="str">
        <f>IFERROR(__xludf.DUMMYFUNCTION("GOOGLEFINANCE(""ASX:DXB"", ""pe"")"),"#N/A")</f>
        <v>#N/A</v>
      </c>
      <c r="G683" s="9">
        <f>IFERROR(__xludf.DUMMYFUNCTION("GOOGLEFINANCE(""ASX:DXB"", ""high52"")"),0.79)</f>
        <v>0.79</v>
      </c>
      <c r="H683" s="9">
        <f>IFERROR(__xludf.DUMMYFUNCTION("GOOGLEFINANCE(""ASX:DXB"", ""low52"")"),0.34)</f>
        <v>0.34</v>
      </c>
      <c r="I683" s="9">
        <f>IFERROR(__xludf.DUMMYFUNCTION("GOOGLEFINANCE(""ASX:DXB"", ""marketcap"")"),3.30244984E8)</f>
        <v>330244984</v>
      </c>
      <c r="J683" s="9">
        <v>7.29</v>
      </c>
      <c r="K683" s="9">
        <v>7.15</v>
      </c>
      <c r="L683" s="9">
        <v>7.64</v>
      </c>
      <c r="M683" s="9">
        <v>5.73</v>
      </c>
      <c r="N683" s="11" t="s">
        <v>19</v>
      </c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6" t="s">
        <v>1405</v>
      </c>
      <c r="B684" s="6" t="s">
        <v>1406</v>
      </c>
      <c r="C684" s="5" t="s">
        <v>418</v>
      </c>
      <c r="D684" s="7">
        <f>IFERROR(__xludf.DUMMYFUNCTION("GOOGLEFINANCE(""ASX:DXC"", ""price"")"),2.9)</f>
        <v>2.9</v>
      </c>
      <c r="E684" s="8">
        <f>IFERROR(__xludf.DUMMYFUNCTION("GOOGLEFINANCE(""ASX:DXC"", ""closeyest"")"),2.86)</f>
        <v>2.86</v>
      </c>
      <c r="F684" s="9">
        <f>IFERROR(__xludf.DUMMYFUNCTION("GOOGLEFINANCE(""ASX:DXC"", ""pe"")"),10.15)</f>
        <v>10.15</v>
      </c>
      <c r="G684" s="9">
        <f>IFERROR(__xludf.DUMMYFUNCTION("GOOGLEFINANCE(""ASX:DXC"", ""high52"")"),3.14)</f>
        <v>3.14</v>
      </c>
      <c r="H684" s="9">
        <f>IFERROR(__xludf.DUMMYFUNCTION("GOOGLEFINANCE(""ASX:DXC"", ""low52"")"),2.66)</f>
        <v>2.66</v>
      </c>
      <c r="I684" s="9">
        <f>IFERROR(__xludf.DUMMYFUNCTION("GOOGLEFINANCE(""ASX:DXC"", ""marketcap"")"),3.99493863E8)</f>
        <v>399493863</v>
      </c>
      <c r="J684" s="5"/>
      <c r="K684" s="5"/>
      <c r="L684" s="5"/>
      <c r="M684" s="5"/>
      <c r="N684" s="10">
        <v>9.9</v>
      </c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6" t="s">
        <v>1407</v>
      </c>
      <c r="B685" s="6" t="s">
        <v>1408</v>
      </c>
      <c r="C685" s="5" t="s">
        <v>418</v>
      </c>
      <c r="D685" s="7">
        <f>IFERROR(__xludf.DUMMYFUNCTION("GOOGLEFINANCE(""ASX:DXI"", ""price"")"),2.65)</f>
        <v>2.65</v>
      </c>
      <c r="E685" s="8">
        <f>IFERROR(__xludf.DUMMYFUNCTION("GOOGLEFINANCE(""ASX:DXI"", ""closeyest"")"),2.64)</f>
        <v>2.64</v>
      </c>
      <c r="F685" s="9">
        <f>IFERROR(__xludf.DUMMYFUNCTION("GOOGLEFINANCE(""ASX:DXI"", ""pe"")"),9.99)</f>
        <v>9.99</v>
      </c>
      <c r="G685" s="9">
        <f>IFERROR(__xludf.DUMMYFUNCTION("GOOGLEFINANCE(""ASX:DXI"", ""high52"")"),3.0)</f>
        <v>3</v>
      </c>
      <c r="H685" s="9">
        <f>IFERROR(__xludf.DUMMYFUNCTION("GOOGLEFINANCE(""ASX:DXI"", ""low52"")"),2.46)</f>
        <v>2.46</v>
      </c>
      <c r="I685" s="9">
        <f>IFERROR(__xludf.DUMMYFUNCTION("GOOGLEFINANCE(""ASX:DXI"", ""marketcap"")"),8.40765265E8)</f>
        <v>840765265</v>
      </c>
      <c r="J685" s="5"/>
      <c r="K685" s="5"/>
      <c r="L685" s="5"/>
      <c r="M685" s="5"/>
      <c r="N685" s="10">
        <v>10.1</v>
      </c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6" t="s">
        <v>1409</v>
      </c>
      <c r="B686" s="6" t="s">
        <v>1410</v>
      </c>
      <c r="C686" s="5" t="s">
        <v>184</v>
      </c>
      <c r="D686" s="7">
        <f>IFERROR(__xludf.DUMMYFUNCTION("GOOGLEFINANCE(""ASX:DXN"", ""price"")"),0.04)</f>
        <v>0.04</v>
      </c>
      <c r="E686" s="8">
        <f>IFERROR(__xludf.DUMMYFUNCTION("GOOGLEFINANCE(""ASX:DXN"", ""closeyest"")"),0.04)</f>
        <v>0.04</v>
      </c>
      <c r="F686" s="5" t="str">
        <f>IFERROR(__xludf.DUMMYFUNCTION("GOOGLEFINANCE(""ASX:DXN"", ""pe"")"),"#N/A")</f>
        <v>#N/A</v>
      </c>
      <c r="G686" s="9">
        <f>IFERROR(__xludf.DUMMYFUNCTION("GOOGLEFINANCE(""ASX:DXN"", ""high52"")"),0.08)</f>
        <v>0.08</v>
      </c>
      <c r="H686" s="9">
        <f>IFERROR(__xludf.DUMMYFUNCTION("GOOGLEFINANCE(""ASX:DXN"", ""low52"")"),0.03)</f>
        <v>0.03</v>
      </c>
      <c r="I686" s="9">
        <f>IFERROR(__xludf.DUMMYFUNCTION("GOOGLEFINANCE(""ASX:DXN"", ""marketcap"")"),1.1865204E7)</f>
        <v>11865204</v>
      </c>
      <c r="J686" s="5"/>
      <c r="K686" s="5"/>
      <c r="L686" s="5"/>
      <c r="M686" s="5"/>
      <c r="N686" s="11" t="s">
        <v>19</v>
      </c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6" t="s">
        <v>1411</v>
      </c>
      <c r="B687" s="6" t="s">
        <v>1412</v>
      </c>
      <c r="C687" s="5" t="s">
        <v>418</v>
      </c>
      <c r="D687" s="7">
        <f>IFERROR(__xludf.DUMMYFUNCTION("GOOGLEFINANCE(""ASX:DXS"", ""price"")"),6.94)</f>
        <v>6.94</v>
      </c>
      <c r="E687" s="8">
        <f>IFERROR(__xludf.DUMMYFUNCTION("GOOGLEFINANCE(""ASX:DXS"", ""closeyest"")"),6.88)</f>
        <v>6.88</v>
      </c>
      <c r="F687" s="9">
        <f>IFERROR(__xludf.DUMMYFUNCTION("GOOGLEFINANCE(""ASX:DXS"", ""pe"")"),50.28)</f>
        <v>50.28</v>
      </c>
      <c r="G687" s="9">
        <f>IFERROR(__xludf.DUMMYFUNCTION("GOOGLEFINANCE(""ASX:DXS"", ""high52"")"),7.89)</f>
        <v>7.89</v>
      </c>
      <c r="H687" s="9">
        <f>IFERROR(__xludf.DUMMYFUNCTION("GOOGLEFINANCE(""ASX:DXS"", ""low52"")"),6.5)</f>
        <v>6.5</v>
      </c>
      <c r="I687" s="9">
        <f>IFERROR(__xludf.DUMMYFUNCTION("GOOGLEFINANCE(""ASX:DXS"", ""marketcap"")"),7.464421161E9)</f>
        <v>7464421161</v>
      </c>
      <c r="J687" s="5"/>
      <c r="K687" s="5"/>
      <c r="L687" s="5"/>
      <c r="M687" s="5"/>
      <c r="N687" s="10">
        <v>50.42</v>
      </c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6" t="s">
        <v>1413</v>
      </c>
      <c r="B688" s="6" t="s">
        <v>1414</v>
      </c>
      <c r="C688" s="5" t="s">
        <v>28</v>
      </c>
      <c r="D688" s="7">
        <f>IFERROR(__xludf.DUMMYFUNCTION("GOOGLEFINANCE(""ASX:DYL"", ""price"")"),2.08)</f>
        <v>2.08</v>
      </c>
      <c r="E688" s="8">
        <f>IFERROR(__xludf.DUMMYFUNCTION("GOOGLEFINANCE(""ASX:DYL"", ""closeyest"")"),2.05)</f>
        <v>2.05</v>
      </c>
      <c r="F688" s="9">
        <f>IFERROR(__xludf.DUMMYFUNCTION("GOOGLEFINANCE(""ASX:DYL"", ""pe"")"),283.77)</f>
        <v>283.77</v>
      </c>
      <c r="G688" s="9">
        <f>IFERROR(__xludf.DUMMYFUNCTION("GOOGLEFINANCE(""ASX:DYL"", ""high52"")"),2.49)</f>
        <v>2.49</v>
      </c>
      <c r="H688" s="9">
        <f>IFERROR(__xludf.DUMMYFUNCTION("GOOGLEFINANCE(""ASX:DYL"", ""low52"")"),0.75)</f>
        <v>0.75</v>
      </c>
      <c r="I688" s="9">
        <f>IFERROR(__xludf.DUMMYFUNCTION("GOOGLEFINANCE(""ASX:DYL"", ""marketcap"")"),2.026241077E9)</f>
        <v>2026241077</v>
      </c>
      <c r="J688" s="5"/>
      <c r="K688" s="5"/>
      <c r="L688" s="5"/>
      <c r="M688" s="5"/>
      <c r="N688" s="10">
        <v>265.35</v>
      </c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6" t="s">
        <v>1413</v>
      </c>
      <c r="B689" s="6" t="s">
        <v>1414</v>
      </c>
      <c r="C689" s="5" t="s">
        <v>28</v>
      </c>
      <c r="D689" s="7">
        <f>IFERROR(__xludf.DUMMYFUNCTION("GOOGLEFINANCE(""ASX:DYL"", ""price"")"),2.08)</f>
        <v>2.08</v>
      </c>
      <c r="E689" s="8">
        <f>IFERROR(__xludf.DUMMYFUNCTION("GOOGLEFINANCE(""ASX:DYL"", ""closeyest"")"),2.05)</f>
        <v>2.05</v>
      </c>
      <c r="F689" s="9">
        <f>IFERROR(__xludf.DUMMYFUNCTION("GOOGLEFINANCE(""ASX:DYL"", ""pe"")"),283.77)</f>
        <v>283.77</v>
      </c>
      <c r="G689" s="9">
        <f>IFERROR(__xludf.DUMMYFUNCTION("GOOGLEFINANCE(""ASX:DYL"", ""high52"")"),2.49)</f>
        <v>2.49</v>
      </c>
      <c r="H689" s="9">
        <f>IFERROR(__xludf.DUMMYFUNCTION("GOOGLEFINANCE(""ASX:DYL"", ""low52"")"),0.75)</f>
        <v>0.75</v>
      </c>
      <c r="I689" s="9">
        <f>IFERROR(__xludf.DUMMYFUNCTION("GOOGLEFINANCE(""ASX:DYL"", ""marketcap"")"),2.026241077E9)</f>
        <v>2026241077</v>
      </c>
      <c r="J689" s="5"/>
      <c r="K689" s="5"/>
      <c r="L689" s="5"/>
      <c r="M689" s="5"/>
      <c r="N689" s="10">
        <v>265.35</v>
      </c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13" t="s">
        <v>1413</v>
      </c>
      <c r="B690" s="13" t="s">
        <v>1414</v>
      </c>
      <c r="C690" s="14" t="s">
        <v>28</v>
      </c>
      <c r="D690" s="15">
        <f>IFERROR(__xludf.DUMMYFUNCTION("GOOGLEFINANCE(""ASX:DYL"", ""price"")"),2.08)</f>
        <v>2.08</v>
      </c>
      <c r="E690" s="8">
        <f>IFERROR(__xludf.DUMMYFUNCTION("GOOGLEFINANCE(""ASX:DYL"", ""closeyest"")"),2.05)</f>
        <v>2.05</v>
      </c>
      <c r="F690" s="9">
        <f>IFERROR(__xludf.DUMMYFUNCTION("GOOGLEFINANCE(""ASX:DYL"", ""pe"")"),283.77)</f>
        <v>283.77</v>
      </c>
      <c r="G690" s="9">
        <f>IFERROR(__xludf.DUMMYFUNCTION("GOOGLEFINANCE(""ASX:DYL"", ""high52"")"),2.49)</f>
        <v>2.49</v>
      </c>
      <c r="H690" s="9">
        <f>IFERROR(__xludf.DUMMYFUNCTION("GOOGLEFINANCE(""ASX:DYL"", ""low52"")"),0.75)</f>
        <v>0.75</v>
      </c>
      <c r="I690" s="9">
        <f>IFERROR(__xludf.DUMMYFUNCTION("GOOGLEFINANCE(""ASX:DYL"", ""marketcap"")"),2.026241077E9)</f>
        <v>2026241077</v>
      </c>
      <c r="J690" s="5"/>
      <c r="K690" s="5"/>
      <c r="L690" s="5"/>
      <c r="M690" s="5"/>
      <c r="N690" s="10">
        <v>265.35</v>
      </c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6" t="s">
        <v>1415</v>
      </c>
      <c r="B691" s="6" t="s">
        <v>1416</v>
      </c>
      <c r="C691" s="5" t="s">
        <v>18</v>
      </c>
      <c r="D691" s="7">
        <f>IFERROR(__xludf.DUMMYFUNCTION("GOOGLEFINANCE(""ASX:DYM"", ""price"")"),0.48)</f>
        <v>0.48</v>
      </c>
      <c r="E691" s="8">
        <f>IFERROR(__xludf.DUMMYFUNCTION("GOOGLEFINANCE(""ASX:DYM"", ""closeyest"")"),0.47)</f>
        <v>0.47</v>
      </c>
      <c r="F691" s="5" t="str">
        <f>IFERROR(__xludf.DUMMYFUNCTION("GOOGLEFINANCE(""ASX:DYM"", ""pe"")"),"#N/A")</f>
        <v>#N/A</v>
      </c>
      <c r="G691" s="9">
        <f>IFERROR(__xludf.DUMMYFUNCTION("GOOGLEFINANCE(""ASX:DYM"", ""high52"")"),0.48)</f>
        <v>0.48</v>
      </c>
      <c r="H691" s="9">
        <f>IFERROR(__xludf.DUMMYFUNCTION("GOOGLEFINANCE(""ASX:DYM"", ""low52"")"),0.2)</f>
        <v>0.2</v>
      </c>
      <c r="I691" s="9">
        <f>IFERROR(__xludf.DUMMYFUNCTION("GOOGLEFINANCE(""ASX:DYM"", ""marketcap"")"),2.4867532E7)</f>
        <v>24867532</v>
      </c>
      <c r="J691" s="5"/>
      <c r="K691" s="5"/>
      <c r="L691" s="5"/>
      <c r="M691" s="5"/>
      <c r="N691" s="11" t="s">
        <v>19</v>
      </c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6" t="s">
        <v>1417</v>
      </c>
      <c r="B692" s="6" t="s">
        <v>1418</v>
      </c>
      <c r="C692" s="5" t="s">
        <v>36</v>
      </c>
      <c r="D692" s="7">
        <f>IFERROR(__xludf.DUMMYFUNCTION("GOOGLEFINANCE(""ASX:DZZF"", ""price"")"),31.14)</f>
        <v>31.14</v>
      </c>
      <c r="E692" s="8">
        <f>IFERROR(__xludf.DUMMYFUNCTION("GOOGLEFINANCE(""ASX:DZZF"", ""closeyest"")"),30.97)</f>
        <v>30.97</v>
      </c>
      <c r="F692" s="5" t="str">
        <f>IFERROR(__xludf.DUMMYFUNCTION("GOOGLEFINANCE(""ASX:DZZF"", ""pe"")"),"#N/A")</f>
        <v>#N/A</v>
      </c>
      <c r="G692" s="9">
        <f>IFERROR(__xludf.DUMMYFUNCTION("GOOGLEFINANCE(""ASX:DZZF"", ""high52"")"),32.67)</f>
        <v>32.67</v>
      </c>
      <c r="H692" s="9">
        <f>IFERROR(__xludf.DUMMYFUNCTION("GOOGLEFINANCE(""ASX:DZZF"", ""low52"")"),27.25)</f>
        <v>27.25</v>
      </c>
      <c r="I692" s="9" t="str">
        <f>IFERROR(__xludf.DUMMYFUNCTION("GOOGLEFINANCE(""ASX:DZZF"", ""marketcap"")"),"#N/A")</f>
        <v>#N/A</v>
      </c>
      <c r="J692" s="5"/>
      <c r="K692" s="5"/>
      <c r="L692" s="5"/>
      <c r="M692" s="5"/>
      <c r="N692" s="11" t="s">
        <v>19</v>
      </c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6" t="s">
        <v>1419</v>
      </c>
      <c r="B693" s="6" t="s">
        <v>1420</v>
      </c>
      <c r="C693" s="5" t="s">
        <v>36</v>
      </c>
      <c r="D693" s="7">
        <f>IFERROR(__xludf.DUMMYFUNCTION("GOOGLEFINANCE(""ASX:E200"", ""price"")"),26.75)</f>
        <v>26.75</v>
      </c>
      <c r="E693" s="8">
        <f>IFERROR(__xludf.DUMMYFUNCTION("GOOGLEFINANCE(""ASX:E200"", ""closeyest"")"),26.7)</f>
        <v>26.7</v>
      </c>
      <c r="F693" s="5" t="str">
        <f>IFERROR(__xludf.DUMMYFUNCTION("GOOGLEFINANCE(""ASX:E200"", ""pe"")"),"#N/A")</f>
        <v>#N/A</v>
      </c>
      <c r="G693" s="9">
        <f>IFERROR(__xludf.DUMMYFUNCTION("GOOGLEFINANCE(""ASX:E200"", ""high52"")"),28.0)</f>
        <v>28</v>
      </c>
      <c r="H693" s="9">
        <f>IFERROR(__xludf.DUMMYFUNCTION("GOOGLEFINANCE(""ASX:E200"", ""low52"")"),23.14)</f>
        <v>23.14</v>
      </c>
      <c r="I693" s="9" t="str">
        <f>IFERROR(__xludf.DUMMYFUNCTION("GOOGLEFINANCE(""ASX:E200"", ""marketcap"")"),"#N/A")</f>
        <v>#N/A</v>
      </c>
      <c r="J693" s="5"/>
      <c r="K693" s="5"/>
      <c r="L693" s="5"/>
      <c r="M693" s="5"/>
      <c r="N693" s="11" t="s">
        <v>19</v>
      </c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6" t="s">
        <v>1421</v>
      </c>
      <c r="B694" s="6" t="s">
        <v>1422</v>
      </c>
      <c r="C694" s="5" t="s">
        <v>18</v>
      </c>
      <c r="D694" s="7">
        <f>IFERROR(__xludf.DUMMYFUNCTION("GOOGLEFINANCE(""ASX:E25"", ""price"")"),0.37)</f>
        <v>0.37</v>
      </c>
      <c r="E694" s="8">
        <f>IFERROR(__xludf.DUMMYFUNCTION("GOOGLEFINANCE(""ASX:E25"", ""closeyest"")"),0.34)</f>
        <v>0.34</v>
      </c>
      <c r="F694" s="5" t="str">
        <f>IFERROR(__xludf.DUMMYFUNCTION("GOOGLEFINANCE(""ASX:E25"", ""pe"")"),"#N/A")</f>
        <v>#N/A</v>
      </c>
      <c r="G694" s="9">
        <f>IFERROR(__xludf.DUMMYFUNCTION("GOOGLEFINANCE(""ASX:E25"", ""high52"")"),0.5)</f>
        <v>0.5</v>
      </c>
      <c r="H694" s="9">
        <f>IFERROR(__xludf.DUMMYFUNCTION("GOOGLEFINANCE(""ASX:E25"", ""low52"")"),0.19)</f>
        <v>0.19</v>
      </c>
      <c r="I694" s="9">
        <f>IFERROR(__xludf.DUMMYFUNCTION("GOOGLEFINANCE(""ASX:E25"", ""marketcap"")"),9.8337417E7)</f>
        <v>98337417</v>
      </c>
      <c r="J694" s="5"/>
      <c r="K694" s="5"/>
      <c r="L694" s="5"/>
      <c r="M694" s="5"/>
      <c r="N694" s="11" t="s">
        <v>19</v>
      </c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6" t="s">
        <v>1423</v>
      </c>
      <c r="B695" s="6" t="s">
        <v>1424</v>
      </c>
      <c r="C695" s="5" t="s">
        <v>88</v>
      </c>
      <c r="D695" s="7">
        <f>IFERROR(__xludf.DUMMYFUNCTION("GOOGLEFINANCE(""ASX:E79"", ""price"")"),0.03)</f>
        <v>0.03</v>
      </c>
      <c r="E695" s="8">
        <f>IFERROR(__xludf.DUMMYFUNCTION("GOOGLEFINANCE(""ASX:E79"", ""closeyest"")"),0.03)</f>
        <v>0.03</v>
      </c>
      <c r="F695" s="5" t="str">
        <f>IFERROR(__xludf.DUMMYFUNCTION("GOOGLEFINANCE(""ASX:E79"", ""pe"")"),"#N/A")</f>
        <v>#N/A</v>
      </c>
      <c r="G695" s="9">
        <f>IFERROR(__xludf.DUMMYFUNCTION("GOOGLEFINANCE(""ASX:E79"", ""high52"")"),0.05)</f>
        <v>0.05</v>
      </c>
      <c r="H695" s="9">
        <f>IFERROR(__xludf.DUMMYFUNCTION("GOOGLEFINANCE(""ASX:E79"", ""low52"")"),0.02)</f>
        <v>0.02</v>
      </c>
      <c r="I695" s="9">
        <f>IFERROR(__xludf.DUMMYFUNCTION("GOOGLEFINANCE(""ASX:E79"", ""marketcap"")"),8482082.0)</f>
        <v>8482082</v>
      </c>
      <c r="J695" s="5"/>
      <c r="K695" s="5"/>
      <c r="L695" s="5"/>
      <c r="M695" s="5"/>
      <c r="N695" s="11" t="s">
        <v>19</v>
      </c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6" t="s">
        <v>1425</v>
      </c>
      <c r="B696" s="6" t="s">
        <v>1426</v>
      </c>
      <c r="C696" s="5" t="s">
        <v>36</v>
      </c>
      <c r="D696" s="7" t="str">
        <f>IFERROR(__xludf.DUMMYFUNCTION("GOOGLEFINANCE(""ASX:EAFZ"", ""price"")"),"#N/A")</f>
        <v>#N/A</v>
      </c>
      <c r="E696" s="8" t="str">
        <f>IFERROR(__xludf.DUMMYFUNCTION("GOOGLEFINANCE(""ASX:EAFZ"", ""closeyest"")"),"#N/A")</f>
        <v>#N/A</v>
      </c>
      <c r="F696" s="5" t="str">
        <f>IFERROR(__xludf.DUMMYFUNCTION("GOOGLEFINANCE(""ASX:EAFZ"", ""pe"")"),"#N/A")</f>
        <v>#N/A</v>
      </c>
      <c r="G696" s="5" t="str">
        <f>IFERROR(__xludf.DUMMYFUNCTION("GOOGLEFINANCE(""ASX:EAFZ"", ""high52"")"),"#N/A")</f>
        <v>#N/A</v>
      </c>
      <c r="H696" s="5" t="str">
        <f>IFERROR(__xludf.DUMMYFUNCTION("GOOGLEFINANCE(""ASX:EAFZ"", ""low52"")"),"#N/A")</f>
        <v>#N/A</v>
      </c>
      <c r="I696" s="9" t="str">
        <f>IFERROR(__xludf.DUMMYFUNCTION("GOOGLEFINANCE(""ASX:EAFZ"", ""marketcap"")"),"#N/A")</f>
        <v>#N/A</v>
      </c>
      <c r="J696" s="12">
        <v>7.86</v>
      </c>
      <c r="K696" s="12">
        <v>7.97</v>
      </c>
      <c r="L696" s="12">
        <v>8.11</v>
      </c>
      <c r="M696" s="12">
        <v>6.76</v>
      </c>
      <c r="N696" s="11" t="s">
        <v>19</v>
      </c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6" t="s">
        <v>1427</v>
      </c>
      <c r="B697" s="6" t="s">
        <v>1428</v>
      </c>
      <c r="C697" s="5" t="s">
        <v>36</v>
      </c>
      <c r="D697" s="7">
        <f>IFERROR(__xludf.DUMMYFUNCTION("GOOGLEFINANCE(""ASX:EARN"", ""price"")"),20.03)</f>
        <v>20.03</v>
      </c>
      <c r="E697" s="8">
        <f>IFERROR(__xludf.DUMMYFUNCTION("GOOGLEFINANCE(""ASX:EARN"", ""closeyest"")"),20.03)</f>
        <v>20.03</v>
      </c>
      <c r="F697" s="5" t="str">
        <f>IFERROR(__xludf.DUMMYFUNCTION("GOOGLEFINANCE(""ASX:EARN"", ""pe"")"),"#N/A")</f>
        <v>#N/A</v>
      </c>
      <c r="G697" s="9">
        <f>IFERROR(__xludf.DUMMYFUNCTION("GOOGLEFINANCE(""ASX:EARN"", ""high52"")"),20.08)</f>
        <v>20.08</v>
      </c>
      <c r="H697" s="9">
        <f>IFERROR(__xludf.DUMMYFUNCTION("GOOGLEFINANCE(""ASX:EARN"", ""low52"")"),19.98)</f>
        <v>19.98</v>
      </c>
      <c r="I697" s="9" t="str">
        <f>IFERROR(__xludf.DUMMYFUNCTION("GOOGLEFINANCE(""ASX:EARN"", ""marketcap"")"),"#N/A")</f>
        <v>#N/A</v>
      </c>
      <c r="J697" s="9">
        <v>0.004</v>
      </c>
      <c r="K697" s="9">
        <v>0.004</v>
      </c>
      <c r="L697" s="9">
        <v>0.008</v>
      </c>
      <c r="M697" s="9">
        <v>0.003</v>
      </c>
      <c r="N697" s="11" t="s">
        <v>19</v>
      </c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6" t="s">
        <v>1429</v>
      </c>
      <c r="B698" s="6" t="s">
        <v>1430</v>
      </c>
      <c r="C698" s="5" t="s">
        <v>33</v>
      </c>
      <c r="D698" s="7">
        <f>IFERROR(__xludf.DUMMYFUNCTION("GOOGLEFINANCE(""ASX:EAT"", ""price"")"),0.02)</f>
        <v>0.02</v>
      </c>
      <c r="E698" s="8">
        <f>IFERROR(__xludf.DUMMYFUNCTION("GOOGLEFINANCE(""ASX:EAT"", ""closeyest"")"),0.02)</f>
        <v>0.02</v>
      </c>
      <c r="F698" s="5" t="str">
        <f>IFERROR(__xludf.DUMMYFUNCTION("GOOGLEFINANCE(""ASX:EAT"", ""pe"")"),"#N/A")</f>
        <v>#N/A</v>
      </c>
      <c r="G698" s="9">
        <f>IFERROR(__xludf.DUMMYFUNCTION("GOOGLEFINANCE(""ASX:EAT"", ""high52"")"),0.02)</f>
        <v>0.02</v>
      </c>
      <c r="H698" s="9">
        <f>IFERROR(__xludf.DUMMYFUNCTION("GOOGLEFINANCE(""ASX:EAT"", ""low52"")"),0.0)</f>
        <v>0</v>
      </c>
      <c r="I698" s="9">
        <f>IFERROR(__xludf.DUMMYFUNCTION("GOOGLEFINANCE(""ASX:EAT"", ""marketcap"")"),2.748451E7)</f>
        <v>27484510</v>
      </c>
      <c r="J698" s="5"/>
      <c r="K698" s="5"/>
      <c r="L698" s="5"/>
      <c r="M698" s="5"/>
      <c r="N698" s="11" t="s">
        <v>19</v>
      </c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6" t="s">
        <v>1431</v>
      </c>
      <c r="B699" s="6" t="s">
        <v>1432</v>
      </c>
      <c r="C699" s="5" t="s">
        <v>161</v>
      </c>
      <c r="D699" s="7">
        <f>IFERROR(__xludf.DUMMYFUNCTION("GOOGLEFINANCE(""ASX:EAX"", ""price"")"),0.49)</f>
        <v>0.49</v>
      </c>
      <c r="E699" s="8">
        <f>IFERROR(__xludf.DUMMYFUNCTION("GOOGLEFINANCE(""ASX:EAX"", ""closeyest"")"),0.49)</f>
        <v>0.49</v>
      </c>
      <c r="F699" s="9">
        <f>IFERROR(__xludf.DUMMYFUNCTION("GOOGLEFINANCE(""ASX:EAX"", ""pe"")"),9.77)</f>
        <v>9.77</v>
      </c>
      <c r="G699" s="9">
        <f>IFERROR(__xludf.DUMMYFUNCTION("GOOGLEFINANCE(""ASX:EAX"", ""high52"")"),0.56)</f>
        <v>0.56</v>
      </c>
      <c r="H699" s="9">
        <f>IFERROR(__xludf.DUMMYFUNCTION("GOOGLEFINANCE(""ASX:EAX"", ""low52"")"),0.27)</f>
        <v>0.27</v>
      </c>
      <c r="I699" s="9">
        <f>IFERROR(__xludf.DUMMYFUNCTION("GOOGLEFINANCE(""ASX:EAX"", ""marketcap"")"),1.952842E7)</f>
        <v>19528420</v>
      </c>
      <c r="J699" s="5"/>
      <c r="K699" s="5"/>
      <c r="L699" s="5"/>
      <c r="M699" s="5"/>
      <c r="N699" s="10">
        <v>9.77</v>
      </c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6" t="s">
        <v>1433</v>
      </c>
      <c r="B700" s="6" t="s">
        <v>1434</v>
      </c>
      <c r="C700" s="5" t="s">
        <v>36</v>
      </c>
      <c r="D700" s="7" t="str">
        <f>IFERROR(__xludf.DUMMYFUNCTION("GOOGLEFINANCE(""ASX:EBND"", ""price"")"),"#N/A")</f>
        <v>#N/A</v>
      </c>
      <c r="E700" s="8" t="str">
        <f>IFERROR(__xludf.DUMMYFUNCTION("GOOGLEFINANCE(""ASX:EBND"", ""closeyest"")"),"#N/A")</f>
        <v>#N/A</v>
      </c>
      <c r="F700" s="5" t="str">
        <f>IFERROR(__xludf.DUMMYFUNCTION("GOOGLEFINANCE(""ASX:EBND"", ""pe"")"),"#N/A")</f>
        <v>#N/A</v>
      </c>
      <c r="G700" s="5" t="str">
        <f>IFERROR(__xludf.DUMMYFUNCTION("GOOGLEFINANCE(""ASX:EBND"", ""high52"")"),"#N/A")</f>
        <v>#N/A</v>
      </c>
      <c r="H700" s="5" t="str">
        <f>IFERROR(__xludf.DUMMYFUNCTION("GOOGLEFINANCE(""ASX:EBND"", ""low52"")"),"#N/A")</f>
        <v>#N/A</v>
      </c>
      <c r="I700" s="9" t="str">
        <f>IFERROR(__xludf.DUMMYFUNCTION("GOOGLEFINANCE(""ASX:EBND"", ""marketcap"")"),"#N/A")</f>
        <v>#N/A</v>
      </c>
      <c r="J700" s="12">
        <v>10.95</v>
      </c>
      <c r="K700" s="12">
        <v>10.97</v>
      </c>
      <c r="L700" s="12">
        <v>11.15</v>
      </c>
      <c r="M700" s="12">
        <v>10.13</v>
      </c>
      <c r="N700" s="11" t="s">
        <v>19</v>
      </c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6" t="s">
        <v>1435</v>
      </c>
      <c r="B701" s="6" t="s">
        <v>1436</v>
      </c>
      <c r="C701" s="5" t="s">
        <v>174</v>
      </c>
      <c r="D701" s="7">
        <f>IFERROR(__xludf.DUMMYFUNCTION("GOOGLEFINANCE(""ASX:EBO"", ""price"")"),23.63)</f>
        <v>23.63</v>
      </c>
      <c r="E701" s="8">
        <f>IFERROR(__xludf.DUMMYFUNCTION("GOOGLEFINANCE(""ASX:EBO"", ""closeyest"")"),23.59)</f>
        <v>23.59</v>
      </c>
      <c r="F701" s="5" t="str">
        <f>IFERROR(__xludf.DUMMYFUNCTION("GOOGLEFINANCE(""ASX:EBO"", ""pe"")"),"#N/A")</f>
        <v>#N/A</v>
      </c>
      <c r="G701" s="9">
        <f>IFERROR(__xludf.DUMMYFUNCTION("GOOGLEFINANCE(""ASX:EBO"", ""high52"")"),38.23)</f>
        <v>38.23</v>
      </c>
      <c r="H701" s="9">
        <f>IFERROR(__xludf.DUMMYFUNCTION("GOOGLEFINANCE(""ASX:EBO"", ""low52"")"),23.0)</f>
        <v>23</v>
      </c>
      <c r="I701" s="9">
        <f>IFERROR(__xludf.DUMMYFUNCTION("GOOGLEFINANCE(""ASX:EBO"", ""marketcap"")"),5.650031E9)</f>
        <v>5650031000</v>
      </c>
      <c r="J701" s="5"/>
      <c r="K701" s="5"/>
      <c r="L701" s="5"/>
      <c r="M701" s="5"/>
      <c r="N701" s="11" t="s">
        <v>19</v>
      </c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6" t="s">
        <v>1437</v>
      </c>
      <c r="B702" s="6" t="s">
        <v>1438</v>
      </c>
      <c r="C702" s="5" t="s">
        <v>62</v>
      </c>
      <c r="D702" s="7">
        <f>IFERROR(__xludf.DUMMYFUNCTION("GOOGLEFINANCE(""ASX:EBR"", ""price"")"),0.93)</f>
        <v>0.93</v>
      </c>
      <c r="E702" s="8">
        <f>IFERROR(__xludf.DUMMYFUNCTION("GOOGLEFINANCE(""ASX:EBR"", ""closeyest"")"),0.88)</f>
        <v>0.88</v>
      </c>
      <c r="F702" s="5" t="str">
        <f>IFERROR(__xludf.DUMMYFUNCTION("GOOGLEFINANCE(""ASX:EBR"", ""pe"")"),"#N/A")</f>
        <v>#N/A</v>
      </c>
      <c r="G702" s="9">
        <f>IFERROR(__xludf.DUMMYFUNCTION("GOOGLEFINANCE(""ASX:EBR"", ""high52"")"),2.08)</f>
        <v>2.08</v>
      </c>
      <c r="H702" s="9">
        <f>IFERROR(__xludf.DUMMYFUNCTION("GOOGLEFINANCE(""ASX:EBR"", ""low52"")"),0.83)</f>
        <v>0.83</v>
      </c>
      <c r="I702" s="9">
        <f>IFERROR(__xludf.DUMMYFUNCTION("GOOGLEFINANCE(""ASX:EBR"", ""marketcap"")"),4.16234616E8)</f>
        <v>416234616</v>
      </c>
      <c r="J702" s="5"/>
      <c r="K702" s="5"/>
      <c r="L702" s="5"/>
      <c r="M702" s="5"/>
      <c r="N702" s="11" t="s">
        <v>19</v>
      </c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6" t="s">
        <v>1439</v>
      </c>
      <c r="B703" s="6" t="s">
        <v>1440</v>
      </c>
      <c r="C703" s="5" t="s">
        <v>418</v>
      </c>
      <c r="D703" s="7">
        <f>IFERROR(__xludf.DUMMYFUNCTION("GOOGLEFINANCE(""ASX:ECF"", ""price"")"),0.63)</f>
        <v>0.63</v>
      </c>
      <c r="E703" s="8">
        <f>IFERROR(__xludf.DUMMYFUNCTION("GOOGLEFINANCE(""ASX:ECF"", ""closeyest"")"),0.63)</f>
        <v>0.63</v>
      </c>
      <c r="F703" s="5" t="str">
        <f>IFERROR(__xludf.DUMMYFUNCTION("GOOGLEFINANCE(""ASX:ECF"", ""pe"")"),"#N/A")</f>
        <v>#N/A</v>
      </c>
      <c r="G703" s="9">
        <f>IFERROR(__xludf.DUMMYFUNCTION("GOOGLEFINANCE(""ASX:ECF"", ""high52"")"),0.72)</f>
        <v>0.72</v>
      </c>
      <c r="H703" s="9">
        <f>IFERROR(__xludf.DUMMYFUNCTION("GOOGLEFINANCE(""ASX:ECF"", ""low52"")"),0.54)</f>
        <v>0.54</v>
      </c>
      <c r="I703" s="9">
        <f>IFERROR(__xludf.DUMMYFUNCTION("GOOGLEFINANCE(""ASX:ECF"", ""marketcap"")"),2.54408236E8)</f>
        <v>254408236</v>
      </c>
      <c r="J703" s="5"/>
      <c r="K703" s="5"/>
      <c r="L703" s="5"/>
      <c r="M703" s="5"/>
      <c r="N703" s="11" t="s">
        <v>19</v>
      </c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6" t="s">
        <v>1441</v>
      </c>
      <c r="B704" s="6" t="s">
        <v>1442</v>
      </c>
      <c r="C704" s="5" t="s">
        <v>78</v>
      </c>
      <c r="D704" s="7">
        <f>IFERROR(__xludf.DUMMYFUNCTION("GOOGLEFINANCE(""ASX:ECH"", ""price"")"),0.35)</f>
        <v>0.35</v>
      </c>
      <c r="E704" s="8">
        <f>IFERROR(__xludf.DUMMYFUNCTION("GOOGLEFINANCE(""ASX:ECH"", ""closeyest"")"),0.34)</f>
        <v>0.34</v>
      </c>
      <c r="F704" s="9">
        <f>IFERROR(__xludf.DUMMYFUNCTION("GOOGLEFINANCE(""ASX:ECH"", ""pe"")"),19.05)</f>
        <v>19.05</v>
      </c>
      <c r="G704" s="9">
        <f>IFERROR(__xludf.DUMMYFUNCTION("GOOGLEFINANCE(""ASX:ECH"", ""high52"")"),0.42)</f>
        <v>0.42</v>
      </c>
      <c r="H704" s="9">
        <f>IFERROR(__xludf.DUMMYFUNCTION("GOOGLEFINANCE(""ASX:ECH"", ""low52"")"),0.32)</f>
        <v>0.32</v>
      </c>
      <c r="I704" s="9">
        <f>IFERROR(__xludf.DUMMYFUNCTION("GOOGLEFINANCE(""ASX:ECH"", ""marketcap"")"),7.7263025E7)</f>
        <v>77263025</v>
      </c>
      <c r="J704" s="5"/>
      <c r="K704" s="5"/>
      <c r="L704" s="5"/>
      <c r="M704" s="5"/>
      <c r="N704" s="10">
        <v>18.77</v>
      </c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6" t="s">
        <v>1443</v>
      </c>
      <c r="B705" s="6" t="s">
        <v>1444</v>
      </c>
      <c r="C705" s="5" t="s">
        <v>171</v>
      </c>
      <c r="D705" s="7">
        <f>IFERROR(__xludf.DUMMYFUNCTION("GOOGLEFINANCE(""ASX:ECL"", ""price"")"),4.34)</f>
        <v>4.34</v>
      </c>
      <c r="E705" s="8">
        <f>IFERROR(__xludf.DUMMYFUNCTION("GOOGLEFINANCE(""ASX:ECL"", ""closeyest"")"),4.35)</f>
        <v>4.35</v>
      </c>
      <c r="F705" s="9">
        <f>IFERROR(__xludf.DUMMYFUNCTION("GOOGLEFINANCE(""ASX:ECL"", ""pe"")"),125.58)</f>
        <v>125.58</v>
      </c>
      <c r="G705" s="9">
        <f>IFERROR(__xludf.DUMMYFUNCTION("GOOGLEFINANCE(""ASX:ECL"", ""high52"")"),4.53)</f>
        <v>4.53</v>
      </c>
      <c r="H705" s="9">
        <f>IFERROR(__xludf.DUMMYFUNCTION("GOOGLEFINANCE(""ASX:ECL"", ""low52"")"),2.99)</f>
        <v>2.99</v>
      </c>
      <c r="I705" s="9">
        <f>IFERROR(__xludf.DUMMYFUNCTION("GOOGLEFINANCE(""ASX:ECL"", ""marketcap"")"),1.25835917E8)</f>
        <v>125835917</v>
      </c>
      <c r="J705" s="5"/>
      <c r="K705" s="5"/>
      <c r="L705" s="5"/>
      <c r="M705" s="5"/>
      <c r="N705" s="10">
        <v>125.87</v>
      </c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6" t="s">
        <v>1445</v>
      </c>
      <c r="B706" s="6" t="s">
        <v>1446</v>
      </c>
      <c r="C706" s="5" t="s">
        <v>171</v>
      </c>
      <c r="D706" s="7">
        <f>IFERROR(__xludf.DUMMYFUNCTION("GOOGLEFINANCE(""ASX:ECP"", ""price"")"),1.11)</f>
        <v>1.11</v>
      </c>
      <c r="E706" s="8">
        <f>IFERROR(__xludf.DUMMYFUNCTION("GOOGLEFINANCE(""ASX:ECP"", ""closeyest"")"),1.11)</f>
        <v>1.11</v>
      </c>
      <c r="F706" s="5" t="str">
        <f>IFERROR(__xludf.DUMMYFUNCTION("GOOGLEFINANCE(""ASX:ECP"", ""pe"")"),"#N/A")</f>
        <v>#N/A</v>
      </c>
      <c r="G706" s="9">
        <f>IFERROR(__xludf.DUMMYFUNCTION("GOOGLEFINANCE(""ASX:ECP"", ""high52"")"),1.5)</f>
        <v>1.5</v>
      </c>
      <c r="H706" s="9">
        <f>IFERROR(__xludf.DUMMYFUNCTION("GOOGLEFINANCE(""ASX:ECP"", ""low52"")"),1.11)</f>
        <v>1.11</v>
      </c>
      <c r="I706" s="9">
        <f>IFERROR(__xludf.DUMMYFUNCTION("GOOGLEFINANCE(""ASX:ECP"", ""marketcap"")"),2.0412567E7)</f>
        <v>20412567</v>
      </c>
      <c r="J706" s="5"/>
      <c r="K706" s="5"/>
      <c r="L706" s="5"/>
      <c r="M706" s="5"/>
      <c r="N706" s="11" t="s">
        <v>19</v>
      </c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6" t="s">
        <v>1447</v>
      </c>
      <c r="B707" s="6" t="s">
        <v>1448</v>
      </c>
      <c r="C707" s="5" t="s">
        <v>36</v>
      </c>
      <c r="D707" s="7">
        <f>IFERROR(__xludf.DUMMYFUNCTION("GOOGLEFINANCE(""ASX:ECRD"", ""price"")"),25.29)</f>
        <v>25.29</v>
      </c>
      <c r="E707" s="8">
        <f>IFERROR(__xludf.DUMMYFUNCTION("GOOGLEFINANCE(""ASX:ECRD"", ""closeyest"")"),25.31)</f>
        <v>25.31</v>
      </c>
      <c r="F707" s="5" t="str">
        <f>IFERROR(__xludf.DUMMYFUNCTION("GOOGLEFINANCE(""ASX:ECRD"", ""pe"")"),"#N/A")</f>
        <v>#N/A</v>
      </c>
      <c r="G707" s="9">
        <f>IFERROR(__xludf.DUMMYFUNCTION("GOOGLEFINANCE(""ASX:ECRD"", ""high52"")"),25.5)</f>
        <v>25.5</v>
      </c>
      <c r="H707" s="9">
        <f>IFERROR(__xludf.DUMMYFUNCTION("GOOGLEFINANCE(""ASX:ECRD"", ""low52"")"),25.08)</f>
        <v>25.08</v>
      </c>
      <c r="I707" s="9" t="str">
        <f>IFERROR(__xludf.DUMMYFUNCTION("GOOGLEFINANCE(""ASX:ECRD"", ""marketcap"")"),"#N/A")</f>
        <v>#N/A</v>
      </c>
      <c r="J707" s="5"/>
      <c r="K707" s="5"/>
      <c r="L707" s="5"/>
      <c r="M707" s="5"/>
      <c r="N707" s="11" t="s">
        <v>19</v>
      </c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6" t="s">
        <v>1449</v>
      </c>
      <c r="B708" s="6" t="s">
        <v>1450</v>
      </c>
      <c r="C708" s="5" t="s">
        <v>164</v>
      </c>
      <c r="D708" s="7">
        <f>IFERROR(__xludf.DUMMYFUNCTION("GOOGLEFINANCE(""ASX:ECS"", ""price"")"),0.01)</f>
        <v>0.01</v>
      </c>
      <c r="E708" s="8">
        <f>IFERROR(__xludf.DUMMYFUNCTION("GOOGLEFINANCE(""ASX:ECS"", ""closeyest"")"),0.01)</f>
        <v>0.01</v>
      </c>
      <c r="F708" s="5" t="str">
        <f>IFERROR(__xludf.DUMMYFUNCTION("GOOGLEFINANCE(""ASX:ECS"", ""pe"")"),"#N/A")</f>
        <v>#N/A</v>
      </c>
      <c r="G708" s="9">
        <f>IFERROR(__xludf.DUMMYFUNCTION("GOOGLEFINANCE(""ASX:ECS"", ""high52"")"),0.02)</f>
        <v>0.02</v>
      </c>
      <c r="H708" s="9">
        <f>IFERROR(__xludf.DUMMYFUNCTION("GOOGLEFINANCE(""ASX:ECS"", ""low52"")"),0.01)</f>
        <v>0.01</v>
      </c>
      <c r="I708" s="9">
        <f>IFERROR(__xludf.DUMMYFUNCTION("GOOGLEFINANCE(""ASX:ECS"", ""marketcap"")"),5745780.0)</f>
        <v>5745780</v>
      </c>
      <c r="J708" s="5"/>
      <c r="K708" s="5"/>
      <c r="L708" s="5"/>
      <c r="M708" s="5"/>
      <c r="N708" s="11" t="s">
        <v>19</v>
      </c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6" t="s">
        <v>1451</v>
      </c>
      <c r="B709" s="6" t="s">
        <v>1452</v>
      </c>
      <c r="C709" s="5" t="s">
        <v>223</v>
      </c>
      <c r="D709" s="7">
        <f>IFERROR(__xludf.DUMMYFUNCTION("GOOGLEFINANCE(""ASX:ECT"", ""price"")"),0.17)</f>
        <v>0.17</v>
      </c>
      <c r="E709" s="8">
        <f>IFERROR(__xludf.DUMMYFUNCTION("GOOGLEFINANCE(""ASX:ECT"", ""closeyest"")"),0.17)</f>
        <v>0.17</v>
      </c>
      <c r="F709" s="5" t="str">
        <f>IFERROR(__xludf.DUMMYFUNCTION("GOOGLEFINANCE(""ASX:ECT"", ""pe"")"),"#N/A")</f>
        <v>#N/A</v>
      </c>
      <c r="G709" s="9">
        <f>IFERROR(__xludf.DUMMYFUNCTION("GOOGLEFINANCE(""ASX:ECT"", ""high52"")"),0.2)</f>
        <v>0.2</v>
      </c>
      <c r="H709" s="9">
        <f>IFERROR(__xludf.DUMMYFUNCTION("GOOGLEFINANCE(""ASX:ECT"", ""low52"")"),0.02)</f>
        <v>0.02</v>
      </c>
      <c r="I709" s="9">
        <f>IFERROR(__xludf.DUMMYFUNCTION("GOOGLEFINANCE(""ASX:ECT"", ""marketcap"")"),7.0735283E7)</f>
        <v>70735283</v>
      </c>
      <c r="J709" s="5"/>
      <c r="K709" s="5"/>
      <c r="L709" s="5"/>
      <c r="M709" s="5"/>
      <c r="N709" s="11" t="s">
        <v>19</v>
      </c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6" t="s">
        <v>1453</v>
      </c>
      <c r="B710" s="6" t="s">
        <v>1454</v>
      </c>
      <c r="C710" s="5" t="s">
        <v>961</v>
      </c>
      <c r="D710" s="7">
        <f>IFERROR(__xludf.DUMMYFUNCTION("GOOGLEFINANCE(""ASX:EDE"", ""price"")"),0.06)</f>
        <v>0.06</v>
      </c>
      <c r="E710" s="8">
        <f>IFERROR(__xludf.DUMMYFUNCTION("GOOGLEFINANCE(""ASX:EDE"", ""closeyest"")"),0.06)</f>
        <v>0.06</v>
      </c>
      <c r="F710" s="5" t="str">
        <f>IFERROR(__xludf.DUMMYFUNCTION("GOOGLEFINANCE(""ASX:EDE"", ""pe"")"),"#N/A")</f>
        <v>#N/A</v>
      </c>
      <c r="G710" s="9">
        <f>IFERROR(__xludf.DUMMYFUNCTION("GOOGLEFINANCE(""ASX:EDE"", ""high52"")"),0.09)</f>
        <v>0.09</v>
      </c>
      <c r="H710" s="9">
        <f>IFERROR(__xludf.DUMMYFUNCTION("GOOGLEFINANCE(""ASX:EDE"", ""low52"")"),0.02)</f>
        <v>0.02</v>
      </c>
      <c r="I710" s="9">
        <f>IFERROR(__xludf.DUMMYFUNCTION("GOOGLEFINANCE(""ASX:EDE"", ""marketcap"")"),3.2954897E7)</f>
        <v>32954897</v>
      </c>
      <c r="J710" s="5"/>
      <c r="K710" s="5"/>
      <c r="L710" s="5"/>
      <c r="M710" s="5"/>
      <c r="N710" s="11" t="s">
        <v>19</v>
      </c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6" t="s">
        <v>1455</v>
      </c>
      <c r="B711" s="6" t="s">
        <v>1456</v>
      </c>
      <c r="C711" s="5" t="s">
        <v>1457</v>
      </c>
      <c r="D711" s="7">
        <f>IFERROR(__xludf.DUMMYFUNCTION("GOOGLEFINANCE(""ASX:EDU"", ""price"")"),0.95)</f>
        <v>0.95</v>
      </c>
      <c r="E711" s="8">
        <f>IFERROR(__xludf.DUMMYFUNCTION("GOOGLEFINANCE(""ASX:EDU"", ""closeyest"")"),0.95)</f>
        <v>0.95</v>
      </c>
      <c r="F711" s="9">
        <f>IFERROR(__xludf.DUMMYFUNCTION("GOOGLEFINANCE(""ASX:EDU"", ""pe"")"),18.22)</f>
        <v>18.22</v>
      </c>
      <c r="G711" s="9">
        <f>IFERROR(__xludf.DUMMYFUNCTION("GOOGLEFINANCE(""ASX:EDU"", ""high52"")"),1.02)</f>
        <v>1.02</v>
      </c>
      <c r="H711" s="9">
        <f>IFERROR(__xludf.DUMMYFUNCTION("GOOGLEFINANCE(""ASX:EDU"", ""low52"")"),0.1)</f>
        <v>0.1</v>
      </c>
      <c r="I711" s="9">
        <f>IFERROR(__xludf.DUMMYFUNCTION("GOOGLEFINANCE(""ASX:EDU"", ""marketcap"")"),1.3523394E8)</f>
        <v>135233940</v>
      </c>
      <c r="J711" s="5"/>
      <c r="K711" s="5"/>
      <c r="L711" s="5"/>
      <c r="M711" s="5"/>
      <c r="N711" s="10">
        <v>15.81</v>
      </c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6" t="s">
        <v>1458</v>
      </c>
      <c r="B712" s="6" t="s">
        <v>1459</v>
      </c>
      <c r="C712" s="5" t="s">
        <v>580</v>
      </c>
      <c r="D712" s="7">
        <f>IFERROR(__xludf.DUMMYFUNCTION("GOOGLEFINANCE(""ASX:EDV"", ""price"")"),3.68)</f>
        <v>3.68</v>
      </c>
      <c r="E712" s="8">
        <f>IFERROR(__xludf.DUMMYFUNCTION("GOOGLEFINANCE(""ASX:EDV"", ""closeyest"")"),3.64)</f>
        <v>3.64</v>
      </c>
      <c r="F712" s="9">
        <f>IFERROR(__xludf.DUMMYFUNCTION("GOOGLEFINANCE(""ASX:EDV"", ""pe"")"),15.47)</f>
        <v>15.47</v>
      </c>
      <c r="G712" s="9">
        <f>IFERROR(__xludf.DUMMYFUNCTION("GOOGLEFINANCE(""ASX:EDV"", ""high52"")"),4.57)</f>
        <v>4.57</v>
      </c>
      <c r="H712" s="9">
        <f>IFERROR(__xludf.DUMMYFUNCTION("GOOGLEFINANCE(""ASX:EDV"", ""low52"")"),3.45)</f>
        <v>3.45</v>
      </c>
      <c r="I712" s="9">
        <f>IFERROR(__xludf.DUMMYFUNCTION("GOOGLEFINANCE(""ASX:EDV"", ""marketcap"")"),6.608268119E9)</f>
        <v>6608268119</v>
      </c>
      <c r="J712" s="5"/>
      <c r="K712" s="5"/>
      <c r="L712" s="5"/>
      <c r="M712" s="5"/>
      <c r="N712" s="10">
        <v>15.47</v>
      </c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6" t="s">
        <v>1460</v>
      </c>
      <c r="B713" s="6" t="s">
        <v>1461</v>
      </c>
      <c r="C713" s="5" t="s">
        <v>954</v>
      </c>
      <c r="D713" s="7">
        <f>IFERROR(__xludf.DUMMYFUNCTION("GOOGLEFINANCE(""ASX:EE1"", ""price"")"),0.01)</f>
        <v>0.01</v>
      </c>
      <c r="E713" s="8">
        <f>IFERROR(__xludf.DUMMYFUNCTION("GOOGLEFINANCE(""ASX:EE1"", ""closeyest"")"),0.01)</f>
        <v>0.01</v>
      </c>
      <c r="F713" s="5" t="str">
        <f>IFERROR(__xludf.DUMMYFUNCTION("GOOGLEFINANCE(""ASX:EE1"", ""pe"")"),"#N/A")</f>
        <v>#N/A</v>
      </c>
      <c r="G713" s="9">
        <f>IFERROR(__xludf.DUMMYFUNCTION("GOOGLEFINANCE(""ASX:EE1"", ""high52"")"),0.01)</f>
        <v>0.01</v>
      </c>
      <c r="H713" s="9">
        <f>IFERROR(__xludf.DUMMYFUNCTION("GOOGLEFINANCE(""ASX:EE1"", ""low52"")"),0.0)</f>
        <v>0</v>
      </c>
      <c r="I713" s="9">
        <f>IFERROR(__xludf.DUMMYFUNCTION("GOOGLEFINANCE(""ASX:EE1"", ""marketcap"")"),3815744.0)</f>
        <v>3815744</v>
      </c>
      <c r="J713" s="5"/>
      <c r="K713" s="5"/>
      <c r="L713" s="5"/>
      <c r="M713" s="5"/>
      <c r="N713" s="11" t="s">
        <v>19</v>
      </c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6" t="s">
        <v>1462</v>
      </c>
      <c r="B714" s="6" t="s">
        <v>1463</v>
      </c>
      <c r="C714" s="5" t="s">
        <v>39</v>
      </c>
      <c r="D714" s="7">
        <f>IFERROR(__xludf.DUMMYFUNCTION("GOOGLEFINANCE(""ASX:EEL"", ""price"")"),0.0)</f>
        <v>0</v>
      </c>
      <c r="E714" s="8">
        <f>IFERROR(__xludf.DUMMYFUNCTION("GOOGLEFINANCE(""ASX:EEL"", ""closeyest"")"),0.0)</f>
        <v>0</v>
      </c>
      <c r="F714" s="5" t="str">
        <f>IFERROR(__xludf.DUMMYFUNCTION("GOOGLEFINANCE(""ASX:EEL"", ""pe"")"),"#N/A")</f>
        <v>#N/A</v>
      </c>
      <c r="G714" s="9">
        <f>IFERROR(__xludf.DUMMYFUNCTION("GOOGLEFINANCE(""ASX:EEL"", ""high52"")"),0.0)</f>
        <v>0</v>
      </c>
      <c r="H714" s="9">
        <f>IFERROR(__xludf.DUMMYFUNCTION("GOOGLEFINANCE(""ASX:EEL"", ""low52"")"),0.0)</f>
        <v>0</v>
      </c>
      <c r="I714" s="9">
        <f>IFERROR(__xludf.DUMMYFUNCTION("GOOGLEFINANCE(""ASX:EEL"", ""marketcap"")"),504983.0)</f>
        <v>504983</v>
      </c>
      <c r="J714" s="12">
        <v>0.001</v>
      </c>
      <c r="K714" s="12">
        <v>0.001</v>
      </c>
      <c r="L714" s="12">
        <v>0.002</v>
      </c>
      <c r="M714" s="12">
        <v>0.001</v>
      </c>
      <c r="N714" s="11" t="s">
        <v>19</v>
      </c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6" t="s">
        <v>1464</v>
      </c>
      <c r="B715" s="6" t="s">
        <v>1465</v>
      </c>
      <c r="C715" s="5" t="s">
        <v>18</v>
      </c>
      <c r="D715" s="7">
        <f>IFERROR(__xludf.DUMMYFUNCTION("GOOGLEFINANCE(""ASX:EFE"", ""price"")"),0.04)</f>
        <v>0.04</v>
      </c>
      <c r="E715" s="8">
        <f>IFERROR(__xludf.DUMMYFUNCTION("GOOGLEFINANCE(""ASX:EFE"", ""closeyest"")"),0.04)</f>
        <v>0.04</v>
      </c>
      <c r="F715" s="5" t="str">
        <f>IFERROR(__xludf.DUMMYFUNCTION("GOOGLEFINANCE(""ASX:EFE"", ""pe"")"),"#N/A")</f>
        <v>#N/A</v>
      </c>
      <c r="G715" s="9">
        <f>IFERROR(__xludf.DUMMYFUNCTION("GOOGLEFINANCE(""ASX:EFE"", ""high52"")"),0.06)</f>
        <v>0.06</v>
      </c>
      <c r="H715" s="9">
        <f>IFERROR(__xludf.DUMMYFUNCTION("GOOGLEFINANCE(""ASX:EFE"", ""low52"")"),0.02)</f>
        <v>0.02</v>
      </c>
      <c r="I715" s="9">
        <f>IFERROR(__xludf.DUMMYFUNCTION("GOOGLEFINANCE(""ASX:EFE"", ""marketcap"")"),5448969.0)</f>
        <v>5448969</v>
      </c>
      <c r="J715" s="5"/>
      <c r="K715" s="5"/>
      <c r="L715" s="5"/>
      <c r="M715" s="5"/>
      <c r="N715" s="11" t="s">
        <v>19</v>
      </c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6" t="s">
        <v>1466</v>
      </c>
      <c r="B716" s="6" t="s">
        <v>1467</v>
      </c>
      <c r="C716" s="5" t="s">
        <v>18</v>
      </c>
      <c r="D716" s="7">
        <f>IFERROR(__xludf.DUMMYFUNCTION("GOOGLEFINANCE(""ASX:EG1"", ""price"")"),0.03)</f>
        <v>0.03</v>
      </c>
      <c r="E716" s="8">
        <f>IFERROR(__xludf.DUMMYFUNCTION("GOOGLEFINANCE(""ASX:EG1"", ""closeyest"")"),0.03)</f>
        <v>0.03</v>
      </c>
      <c r="F716" s="5" t="str">
        <f>IFERROR(__xludf.DUMMYFUNCTION("GOOGLEFINANCE(""ASX:EG1"", ""pe"")"),"#N/A")</f>
        <v>#N/A</v>
      </c>
      <c r="G716" s="9">
        <f>IFERROR(__xludf.DUMMYFUNCTION("GOOGLEFINANCE(""ASX:EG1"", ""high52"")"),0.09)</f>
        <v>0.09</v>
      </c>
      <c r="H716" s="9">
        <f>IFERROR(__xludf.DUMMYFUNCTION("GOOGLEFINANCE(""ASX:EG1"", ""low52"")"),0.02)</f>
        <v>0.02</v>
      </c>
      <c r="I716" s="9">
        <f>IFERROR(__xludf.DUMMYFUNCTION("GOOGLEFINANCE(""ASX:EG1"", ""marketcap"")"),7548808.0)</f>
        <v>7548808</v>
      </c>
      <c r="J716" s="5"/>
      <c r="K716" s="5"/>
      <c r="L716" s="5"/>
      <c r="M716" s="5"/>
      <c r="N716" s="11" t="s">
        <v>19</v>
      </c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6" t="s">
        <v>1468</v>
      </c>
      <c r="B717" s="6" t="s">
        <v>1469</v>
      </c>
      <c r="C717" s="5" t="s">
        <v>1470</v>
      </c>
      <c r="D717" s="7">
        <f>IFERROR(__xludf.DUMMYFUNCTION("GOOGLEFINANCE(""ASX:EGG"", ""price"")"),0.62)</f>
        <v>0.62</v>
      </c>
      <c r="E717" s="8">
        <f>IFERROR(__xludf.DUMMYFUNCTION("GOOGLEFINANCE(""ASX:EGG"", ""closeyest"")"),0.63)</f>
        <v>0.63</v>
      </c>
      <c r="F717" s="5" t="str">
        <f>IFERROR(__xludf.DUMMYFUNCTION("GOOGLEFINANCE(""ASX:EGG"", ""pe"")"),"#N/A")</f>
        <v>#N/A</v>
      </c>
      <c r="G717" s="9">
        <f>IFERROR(__xludf.DUMMYFUNCTION("GOOGLEFINANCE(""ASX:EGG"", ""high52"")"),1.11)</f>
        <v>1.11</v>
      </c>
      <c r="H717" s="9">
        <f>IFERROR(__xludf.DUMMYFUNCTION("GOOGLEFINANCE(""ASX:EGG"", ""low52"")"),0.56)</f>
        <v>0.56</v>
      </c>
      <c r="I717" s="9">
        <f>IFERROR(__xludf.DUMMYFUNCTION("GOOGLEFINANCE(""ASX:EGG"", ""marketcap"")"),5.5802099E7)</f>
        <v>55802099</v>
      </c>
      <c r="J717" s="5"/>
      <c r="K717" s="5"/>
      <c r="L717" s="5"/>
      <c r="M717" s="5"/>
      <c r="N717" s="11" t="s">
        <v>19</v>
      </c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6" t="s">
        <v>1471</v>
      </c>
      <c r="B718" s="6" t="s">
        <v>1472</v>
      </c>
      <c r="C718" s="5" t="s">
        <v>164</v>
      </c>
      <c r="D718" s="7">
        <f>IFERROR(__xludf.DUMMYFUNCTION("GOOGLEFINANCE(""ASX:EGH"", ""price"")"),0.48)</f>
        <v>0.48</v>
      </c>
      <c r="E718" s="8">
        <f>IFERROR(__xludf.DUMMYFUNCTION("GOOGLEFINANCE(""ASX:EGH"", ""closeyest"")"),0.48)</f>
        <v>0.48</v>
      </c>
      <c r="F718" s="9">
        <f>IFERROR(__xludf.DUMMYFUNCTION("GOOGLEFINANCE(""ASX:EGH"", ""pe"")"),9.21)</f>
        <v>9.21</v>
      </c>
      <c r="G718" s="9">
        <f>IFERROR(__xludf.DUMMYFUNCTION("GOOGLEFINANCE(""ASX:EGH"", ""high52"")"),0.62)</f>
        <v>0.62</v>
      </c>
      <c r="H718" s="9">
        <f>IFERROR(__xludf.DUMMYFUNCTION("GOOGLEFINANCE(""ASX:EGH"", ""low52"")"),0.44)</f>
        <v>0.44</v>
      </c>
      <c r="I718" s="9">
        <f>IFERROR(__xludf.DUMMYFUNCTION("GOOGLEFINANCE(""ASX:EGH"", ""marketcap"")"),2.04757867E8)</f>
        <v>204757867</v>
      </c>
      <c r="J718" s="9">
        <v>2.06</v>
      </c>
      <c r="K718" s="9">
        <v>2.0</v>
      </c>
      <c r="L718" s="9">
        <v>2.7</v>
      </c>
      <c r="M718" s="9">
        <v>2.0</v>
      </c>
      <c r="N718" s="10">
        <v>9.21</v>
      </c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6" t="s">
        <v>1473</v>
      </c>
      <c r="B719" s="6" t="s">
        <v>1474</v>
      </c>
      <c r="C719" s="5" t="s">
        <v>223</v>
      </c>
      <c r="D719" s="7">
        <f>IFERROR(__xludf.DUMMYFUNCTION("GOOGLEFINANCE(""ASX:EGL"", ""price"")"),0.24)</f>
        <v>0.24</v>
      </c>
      <c r="E719" s="8">
        <f>IFERROR(__xludf.DUMMYFUNCTION("GOOGLEFINANCE(""ASX:EGL"", ""closeyest"")"),0.24)</f>
        <v>0.24</v>
      </c>
      <c r="F719" s="9">
        <f>IFERROR(__xludf.DUMMYFUNCTION("GOOGLEFINANCE(""ASX:EGL"", ""pe"")"),19.15)</f>
        <v>19.15</v>
      </c>
      <c r="G719" s="9">
        <f>IFERROR(__xludf.DUMMYFUNCTION("GOOGLEFINANCE(""ASX:EGL"", ""high52"")"),0.3)</f>
        <v>0.3</v>
      </c>
      <c r="H719" s="9">
        <f>IFERROR(__xludf.DUMMYFUNCTION("GOOGLEFINANCE(""ASX:EGL"", ""low52"")"),0.19)</f>
        <v>0.19</v>
      </c>
      <c r="I719" s="9">
        <f>IFERROR(__xludf.DUMMYFUNCTION("GOOGLEFINANCE(""ASX:EGL"", ""marketcap"")"),8.7554114E7)</f>
        <v>87554114</v>
      </c>
      <c r="J719" s="5"/>
      <c r="K719" s="5"/>
      <c r="L719" s="5"/>
      <c r="M719" s="5"/>
      <c r="N719" s="10">
        <v>19.15</v>
      </c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6" t="s">
        <v>1475</v>
      </c>
      <c r="B720" s="6" t="s">
        <v>1476</v>
      </c>
      <c r="C720" s="5" t="s">
        <v>22</v>
      </c>
      <c r="D720" s="7">
        <f>IFERROR(__xludf.DUMMYFUNCTION("GOOGLEFINANCE(""ASX:EGR"", ""price"")"),0.38)</f>
        <v>0.38</v>
      </c>
      <c r="E720" s="8">
        <f>IFERROR(__xludf.DUMMYFUNCTION("GOOGLEFINANCE(""ASX:EGR"", ""closeyest"")"),0.38)</f>
        <v>0.38</v>
      </c>
      <c r="F720" s="5" t="str">
        <f>IFERROR(__xludf.DUMMYFUNCTION("GOOGLEFINANCE(""ASX:EGR"", ""pe"")"),"#N/A")</f>
        <v>#N/A</v>
      </c>
      <c r="G720" s="9">
        <f>IFERROR(__xludf.DUMMYFUNCTION("GOOGLEFINANCE(""ASX:EGR"", ""high52"")"),0.68)</f>
        <v>0.68</v>
      </c>
      <c r="H720" s="9">
        <f>IFERROR(__xludf.DUMMYFUNCTION("GOOGLEFINANCE(""ASX:EGR"", ""low52"")"),0.09)</f>
        <v>0.09</v>
      </c>
      <c r="I720" s="9">
        <f>IFERROR(__xludf.DUMMYFUNCTION("GOOGLEFINANCE(""ASX:EGR"", ""marketcap"")"),1.70862675E8)</f>
        <v>170862675</v>
      </c>
      <c r="J720" s="5"/>
      <c r="K720" s="5"/>
      <c r="L720" s="5"/>
      <c r="M720" s="5"/>
      <c r="N720" s="11" t="s">
        <v>19</v>
      </c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6" t="s">
        <v>1477</v>
      </c>
      <c r="B721" s="6" t="s">
        <v>1478</v>
      </c>
      <c r="C721" s="5" t="s">
        <v>22</v>
      </c>
      <c r="D721" s="7">
        <f>IFERROR(__xludf.DUMMYFUNCTION("GOOGLEFINANCE(""ASX:EGY"", ""price"")"),0.02)</f>
        <v>0.02</v>
      </c>
      <c r="E721" s="8">
        <f>IFERROR(__xludf.DUMMYFUNCTION("GOOGLEFINANCE(""ASX:EGY"", ""closeyest"")"),0.02)</f>
        <v>0.02</v>
      </c>
      <c r="F721" s="5" t="str">
        <f>IFERROR(__xludf.DUMMYFUNCTION("GOOGLEFINANCE(""ASX:EGY"", ""pe"")"),"#N/A")</f>
        <v>#N/A</v>
      </c>
      <c r="G721" s="9">
        <f>IFERROR(__xludf.DUMMYFUNCTION("GOOGLEFINANCE(""ASX:EGY"", ""high52"")"),0.04)</f>
        <v>0.04</v>
      </c>
      <c r="H721" s="9">
        <f>IFERROR(__xludf.DUMMYFUNCTION("GOOGLEFINANCE(""ASX:EGY"", ""low52"")"),0.02)</f>
        <v>0.02</v>
      </c>
      <c r="I721" s="9">
        <f>IFERROR(__xludf.DUMMYFUNCTION("GOOGLEFINANCE(""ASX:EGY"", ""marketcap"")"),1.0499E7)</f>
        <v>10499000</v>
      </c>
      <c r="J721" s="5"/>
      <c r="K721" s="5"/>
      <c r="L721" s="5"/>
      <c r="M721" s="5"/>
      <c r="N721" s="11" t="s">
        <v>19</v>
      </c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6" t="s">
        <v>1479</v>
      </c>
      <c r="B722" s="6" t="s">
        <v>1480</v>
      </c>
      <c r="C722" s="5" t="s">
        <v>161</v>
      </c>
      <c r="D722" s="7">
        <f>IFERROR(__xludf.DUMMYFUNCTION("GOOGLEFINANCE(""ASX:EHL"", ""price"")"),1.23)</f>
        <v>1.23</v>
      </c>
      <c r="E722" s="8">
        <f>IFERROR(__xludf.DUMMYFUNCTION("GOOGLEFINANCE(""ASX:EHL"", ""closeyest"")"),1.24)</f>
        <v>1.24</v>
      </c>
      <c r="F722" s="9">
        <f>IFERROR(__xludf.DUMMYFUNCTION("GOOGLEFINANCE(""ASX:EHL"", ""pe"")"),8.69)</f>
        <v>8.69</v>
      </c>
      <c r="G722" s="9">
        <f>IFERROR(__xludf.DUMMYFUNCTION("GOOGLEFINANCE(""ASX:EHL"", ""high52"")"),1.42)</f>
        <v>1.42</v>
      </c>
      <c r="H722" s="9">
        <f>IFERROR(__xludf.DUMMYFUNCTION("GOOGLEFINANCE(""ASX:EHL"", ""low52"")"),0.69)</f>
        <v>0.69</v>
      </c>
      <c r="I722" s="9">
        <f>IFERROR(__xludf.DUMMYFUNCTION("GOOGLEFINANCE(""ASX:EHL"", ""marketcap"")"),6.3760089E8)</f>
        <v>637600890</v>
      </c>
      <c r="J722" s="5"/>
      <c r="K722" s="5"/>
      <c r="L722" s="5"/>
      <c r="M722" s="5"/>
      <c r="N722" s="10">
        <v>8.69</v>
      </c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6" t="s">
        <v>1481</v>
      </c>
      <c r="B723" s="6" t="s">
        <v>1482</v>
      </c>
      <c r="C723" s="5" t="s">
        <v>36</v>
      </c>
      <c r="D723" s="7" t="str">
        <f>IFERROR(__xludf.DUMMYFUNCTION("GOOGLEFINANCE(""ASX:EIGA"", ""price"")"),"#N/A")</f>
        <v>#N/A</v>
      </c>
      <c r="E723" s="8" t="str">
        <f>IFERROR(__xludf.DUMMYFUNCTION("GOOGLEFINANCE(""ASX:EIGA"", ""closeyest"")"),"#N/A")</f>
        <v>#N/A</v>
      </c>
      <c r="F723" s="5" t="str">
        <f>IFERROR(__xludf.DUMMYFUNCTION("GOOGLEFINANCE(""ASX:EIGA"", ""pe"")"),"#N/A")</f>
        <v>#N/A</v>
      </c>
      <c r="G723" s="5" t="str">
        <f>IFERROR(__xludf.DUMMYFUNCTION("GOOGLEFINANCE(""ASX:EIGA"", ""high52"")"),"#N/A")</f>
        <v>#N/A</v>
      </c>
      <c r="H723" s="5" t="str">
        <f>IFERROR(__xludf.DUMMYFUNCTION("GOOGLEFINANCE(""ASX:EIGA"", ""low52"")"),"#N/A")</f>
        <v>#N/A</v>
      </c>
      <c r="I723" s="9" t="str">
        <f>IFERROR(__xludf.DUMMYFUNCTION("GOOGLEFINANCE(""ASX:EIGA"", ""marketcap"")"),"#N/A")</f>
        <v>#N/A</v>
      </c>
      <c r="J723" s="12">
        <v>3.66</v>
      </c>
      <c r="K723" s="12">
        <v>3.66</v>
      </c>
      <c r="L723" s="12">
        <v>3.94</v>
      </c>
      <c r="M723" s="12">
        <v>3.37</v>
      </c>
      <c r="N723" s="11" t="s">
        <v>19</v>
      </c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6" t="s">
        <v>1483</v>
      </c>
      <c r="B724" s="6" t="s">
        <v>1484</v>
      </c>
      <c r="C724" s="5" t="s">
        <v>62</v>
      </c>
      <c r="D724" s="7">
        <f>IFERROR(__xludf.DUMMYFUNCTION("GOOGLEFINANCE(""ASX:EIQ"", ""price"")"),0.27)</f>
        <v>0.27</v>
      </c>
      <c r="E724" s="8">
        <f>IFERROR(__xludf.DUMMYFUNCTION("GOOGLEFINANCE(""ASX:EIQ"", ""closeyest"")"),0.25)</f>
        <v>0.25</v>
      </c>
      <c r="F724" s="5" t="str">
        <f>IFERROR(__xludf.DUMMYFUNCTION("GOOGLEFINANCE(""ASX:EIQ"", ""pe"")"),"#N/A")</f>
        <v>#N/A</v>
      </c>
      <c r="G724" s="9">
        <f>IFERROR(__xludf.DUMMYFUNCTION("GOOGLEFINANCE(""ASX:EIQ"", ""high52"")"),0.37)</f>
        <v>0.37</v>
      </c>
      <c r="H724" s="9">
        <f>IFERROR(__xludf.DUMMYFUNCTION("GOOGLEFINANCE(""ASX:EIQ"", ""low52"")"),0.17)</f>
        <v>0.17</v>
      </c>
      <c r="I724" s="9">
        <f>IFERROR(__xludf.DUMMYFUNCTION("GOOGLEFINANCE(""ASX:EIQ"", ""marketcap"")"),1.77333415E8)</f>
        <v>177333415</v>
      </c>
      <c r="J724" s="5"/>
      <c r="K724" s="5"/>
      <c r="L724" s="5"/>
      <c r="M724" s="5"/>
      <c r="N724" s="11" t="s">
        <v>19</v>
      </c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6" t="s">
        <v>1485</v>
      </c>
      <c r="B725" s="6" t="s">
        <v>1486</v>
      </c>
      <c r="C725" s="5" t="s">
        <v>28</v>
      </c>
      <c r="D725" s="7">
        <f>IFERROR(__xludf.DUMMYFUNCTION("GOOGLEFINANCE(""ASX:EL8"", ""price"")"),0.34)</f>
        <v>0.34</v>
      </c>
      <c r="E725" s="8">
        <f>IFERROR(__xludf.DUMMYFUNCTION("GOOGLEFINANCE(""ASX:EL8"", ""closeyest"")"),0.34)</f>
        <v>0.34</v>
      </c>
      <c r="F725" s="5" t="str">
        <f>IFERROR(__xludf.DUMMYFUNCTION("GOOGLEFINANCE(""ASX:EL8"", ""pe"")"),"#N/A")</f>
        <v>#N/A</v>
      </c>
      <c r="G725" s="9">
        <f>IFERROR(__xludf.DUMMYFUNCTION("GOOGLEFINANCE(""ASX:EL8"", ""high52"")"),0.5)</f>
        <v>0.5</v>
      </c>
      <c r="H725" s="9">
        <f>IFERROR(__xludf.DUMMYFUNCTION("GOOGLEFINANCE(""ASX:EL8"", ""low52"")"),0.19)</f>
        <v>0.19</v>
      </c>
      <c r="I725" s="9">
        <f>IFERROR(__xludf.DUMMYFUNCTION("GOOGLEFINANCE(""ASX:EL8"", ""marketcap"")"),1.58429155E8)</f>
        <v>158429155</v>
      </c>
      <c r="J725" s="5"/>
      <c r="K725" s="5"/>
      <c r="L725" s="5"/>
      <c r="M725" s="5"/>
      <c r="N725" s="11" t="s">
        <v>19</v>
      </c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6" t="s">
        <v>1485</v>
      </c>
      <c r="B726" s="6" t="s">
        <v>1486</v>
      </c>
      <c r="C726" s="5" t="s">
        <v>28</v>
      </c>
      <c r="D726" s="7">
        <f>IFERROR(__xludf.DUMMYFUNCTION("GOOGLEFINANCE(""ASX:EL8"", ""price"")"),0.34)</f>
        <v>0.34</v>
      </c>
      <c r="E726" s="8">
        <f>IFERROR(__xludf.DUMMYFUNCTION("GOOGLEFINANCE(""ASX:EL8"", ""closeyest"")"),0.34)</f>
        <v>0.34</v>
      </c>
      <c r="F726" s="5" t="str">
        <f>IFERROR(__xludf.DUMMYFUNCTION("GOOGLEFINANCE(""ASX:EL8"", ""pe"")"),"#N/A")</f>
        <v>#N/A</v>
      </c>
      <c r="G726" s="9">
        <f>IFERROR(__xludf.DUMMYFUNCTION("GOOGLEFINANCE(""ASX:EL8"", ""high52"")"),0.5)</f>
        <v>0.5</v>
      </c>
      <c r="H726" s="9">
        <f>IFERROR(__xludf.DUMMYFUNCTION("GOOGLEFINANCE(""ASX:EL8"", ""low52"")"),0.19)</f>
        <v>0.19</v>
      </c>
      <c r="I726" s="9">
        <f>IFERROR(__xludf.DUMMYFUNCTION("GOOGLEFINANCE(""ASX:EL8"", ""marketcap"")"),1.58429155E8)</f>
        <v>158429155</v>
      </c>
      <c r="J726" s="5"/>
      <c r="K726" s="5"/>
      <c r="L726" s="5"/>
      <c r="M726" s="5"/>
      <c r="N726" s="11" t="s">
        <v>19</v>
      </c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13" t="s">
        <v>1485</v>
      </c>
      <c r="B727" s="13" t="s">
        <v>1486</v>
      </c>
      <c r="C727" s="14" t="s">
        <v>28</v>
      </c>
      <c r="D727" s="15">
        <f>IFERROR(__xludf.DUMMYFUNCTION("GOOGLEFINANCE(""ASX:EL8"", ""price"")"),0.34)</f>
        <v>0.34</v>
      </c>
      <c r="E727" s="8">
        <f>IFERROR(__xludf.DUMMYFUNCTION("GOOGLEFINANCE(""ASX:EL8"", ""closeyest"")"),0.34)</f>
        <v>0.34</v>
      </c>
      <c r="F727" s="5" t="str">
        <f>IFERROR(__xludf.DUMMYFUNCTION("GOOGLEFINANCE(""ASX:EL8"", ""pe"")"),"#N/A")</f>
        <v>#N/A</v>
      </c>
      <c r="G727" s="9">
        <f>IFERROR(__xludf.DUMMYFUNCTION("GOOGLEFINANCE(""ASX:EL8"", ""high52"")"),0.5)</f>
        <v>0.5</v>
      </c>
      <c r="H727" s="9">
        <f>IFERROR(__xludf.DUMMYFUNCTION("GOOGLEFINANCE(""ASX:EL8"", ""low52"")"),0.19)</f>
        <v>0.19</v>
      </c>
      <c r="I727" s="9">
        <f>IFERROR(__xludf.DUMMYFUNCTION("GOOGLEFINANCE(""ASX:EL8"", ""marketcap"")"),1.58429155E8)</f>
        <v>158429155</v>
      </c>
      <c r="J727" s="5"/>
      <c r="K727" s="5"/>
      <c r="L727" s="5"/>
      <c r="M727" s="5"/>
      <c r="N727" s="11" t="s">
        <v>19</v>
      </c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6" t="s">
        <v>1487</v>
      </c>
      <c r="B728" s="6" t="s">
        <v>1488</v>
      </c>
      <c r="C728" s="5" t="s">
        <v>128</v>
      </c>
      <c r="D728" s="7">
        <f>IFERROR(__xludf.DUMMYFUNCTION("GOOGLEFINANCE(""ASX:ELD"", ""price"")"),7.3)</f>
        <v>7.3</v>
      </c>
      <c r="E728" s="8">
        <f>IFERROR(__xludf.DUMMYFUNCTION("GOOGLEFINANCE(""ASX:ELD"", ""closeyest"")"),7.24)</f>
        <v>7.24</v>
      </c>
      <c r="F728" s="9">
        <f>IFERROR(__xludf.DUMMYFUNCTION("GOOGLEFINANCE(""ASX:ELD"", ""pe"")"),26.82)</f>
        <v>26.82</v>
      </c>
      <c r="G728" s="9">
        <f>IFERROR(__xludf.DUMMYFUNCTION("GOOGLEFINANCE(""ASX:ELD"", ""high52"")"),7.91)</f>
        <v>7.91</v>
      </c>
      <c r="H728" s="9">
        <f>IFERROR(__xludf.DUMMYFUNCTION("GOOGLEFINANCE(""ASX:ELD"", ""low52"")"),5.73)</f>
        <v>5.73</v>
      </c>
      <c r="I728" s="9">
        <f>IFERROR(__xludf.DUMMYFUNCTION("GOOGLEFINANCE(""ASX:ELD"", ""marketcap"")"),1.56569455E9)</f>
        <v>1565694550</v>
      </c>
      <c r="J728" s="5"/>
      <c r="K728" s="5"/>
      <c r="L728" s="5"/>
      <c r="M728" s="5"/>
      <c r="N728" s="10">
        <v>25.02</v>
      </c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6" t="s">
        <v>1489</v>
      </c>
      <c r="B729" s="6" t="s">
        <v>1490</v>
      </c>
      <c r="C729" s="5" t="s">
        <v>158</v>
      </c>
      <c r="D729" s="7">
        <f>IFERROR(__xludf.DUMMYFUNCTION("GOOGLEFINANCE(""ASX:ELS"", ""price"")"),3.58)</f>
        <v>3.58</v>
      </c>
      <c r="E729" s="8">
        <f>IFERROR(__xludf.DUMMYFUNCTION("GOOGLEFINANCE(""ASX:ELS"", ""closeyest"")"),3.46)</f>
        <v>3.46</v>
      </c>
      <c r="F729" s="5" t="str">
        <f>IFERROR(__xludf.DUMMYFUNCTION("GOOGLEFINANCE(""ASX:ELS"", ""pe"")"),"#N/A")</f>
        <v>#N/A</v>
      </c>
      <c r="G729" s="9">
        <f>IFERROR(__xludf.DUMMYFUNCTION("GOOGLEFINANCE(""ASX:ELS"", ""high52"")"),3.63)</f>
        <v>3.63</v>
      </c>
      <c r="H729" s="9">
        <f>IFERROR(__xludf.DUMMYFUNCTION("GOOGLEFINANCE(""ASX:ELS"", ""low52"")"),0.29)</f>
        <v>0.29</v>
      </c>
      <c r="I729" s="9">
        <f>IFERROR(__xludf.DUMMYFUNCTION("GOOGLEFINANCE(""ASX:ELS"", ""marketcap"")"),7.86432545E8)</f>
        <v>786432545</v>
      </c>
      <c r="J729" s="5"/>
      <c r="K729" s="5"/>
      <c r="L729" s="5"/>
      <c r="M729" s="5"/>
      <c r="N729" s="11" t="s">
        <v>19</v>
      </c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6" t="s">
        <v>1491</v>
      </c>
      <c r="B730" s="6" t="s">
        <v>1492</v>
      </c>
      <c r="C730" s="5" t="s">
        <v>39</v>
      </c>
      <c r="D730" s="7">
        <f>IFERROR(__xludf.DUMMYFUNCTION("GOOGLEFINANCE(""ASX:ELT"", ""price"")"),0.34)</f>
        <v>0.34</v>
      </c>
      <c r="E730" s="8">
        <f>IFERROR(__xludf.DUMMYFUNCTION("GOOGLEFINANCE(""ASX:ELT"", ""closeyest"")"),0.34)</f>
        <v>0.34</v>
      </c>
      <c r="F730" s="5" t="str">
        <f>IFERROR(__xludf.DUMMYFUNCTION("GOOGLEFINANCE(""ASX:ELT"", ""pe"")"),"#N/A")</f>
        <v>#N/A</v>
      </c>
      <c r="G730" s="9">
        <f>IFERROR(__xludf.DUMMYFUNCTION("GOOGLEFINANCE(""ASX:ELT"", ""high52"")"),0.39)</f>
        <v>0.39</v>
      </c>
      <c r="H730" s="9">
        <f>IFERROR(__xludf.DUMMYFUNCTION("GOOGLEFINANCE(""ASX:ELT"", ""low52"")"),0.05)</f>
        <v>0.05</v>
      </c>
      <c r="I730" s="9">
        <f>IFERROR(__xludf.DUMMYFUNCTION("GOOGLEFINANCE(""ASX:ELT"", ""marketcap"")"),1.13207557E8)</f>
        <v>113207557</v>
      </c>
      <c r="J730" s="5"/>
      <c r="K730" s="5"/>
      <c r="L730" s="5"/>
      <c r="M730" s="5"/>
      <c r="N730" s="11" t="s">
        <v>19</v>
      </c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6" t="s">
        <v>1493</v>
      </c>
      <c r="B731" s="6" t="s">
        <v>1494</v>
      </c>
      <c r="C731" s="5" t="s">
        <v>39</v>
      </c>
      <c r="D731" s="7">
        <f>IFERROR(__xludf.DUMMYFUNCTION("GOOGLEFINANCE(""ASX:ELV"", ""price"")"),8.83)</f>
        <v>8.83</v>
      </c>
      <c r="E731" s="8">
        <f>IFERROR(__xludf.DUMMYFUNCTION("GOOGLEFINANCE(""ASX:ELV"", ""closeyest"")"),8.02)</f>
        <v>8.02</v>
      </c>
      <c r="F731" s="5" t="str">
        <f>IFERROR(__xludf.DUMMYFUNCTION("GOOGLEFINANCE(""ASX:ELV"", ""pe"")"),"#N/A")</f>
        <v>#N/A</v>
      </c>
      <c r="G731" s="9">
        <f>IFERROR(__xludf.DUMMYFUNCTION("GOOGLEFINANCE(""ASX:ELV"", ""high52"")"),8.85)</f>
        <v>8.85</v>
      </c>
      <c r="H731" s="9">
        <f>IFERROR(__xludf.DUMMYFUNCTION("GOOGLEFINANCE(""ASX:ELV"", ""low52"")"),3.44)</f>
        <v>3.44</v>
      </c>
      <c r="I731" s="9">
        <f>IFERROR(__xludf.DUMMYFUNCTION("GOOGLEFINANCE(""ASX:ELV"", ""marketcap"")"),1.495175057E9)</f>
        <v>1495175057</v>
      </c>
      <c r="J731" s="5"/>
      <c r="K731" s="5"/>
      <c r="L731" s="5"/>
      <c r="M731" s="5"/>
      <c r="N731" s="11" t="s">
        <v>19</v>
      </c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6" t="s">
        <v>1495</v>
      </c>
      <c r="B732" s="6" t="s">
        <v>1496</v>
      </c>
      <c r="C732" s="5" t="s">
        <v>18</v>
      </c>
      <c r="D732" s="7">
        <f>IFERROR(__xludf.DUMMYFUNCTION("GOOGLEFINANCE(""ASX:EM2"", ""price"")"),0.01)</f>
        <v>0.01</v>
      </c>
      <c r="E732" s="8">
        <f>IFERROR(__xludf.DUMMYFUNCTION("GOOGLEFINANCE(""ASX:EM2"", ""closeyest"")"),0.01)</f>
        <v>0.01</v>
      </c>
      <c r="F732" s="5" t="str">
        <f>IFERROR(__xludf.DUMMYFUNCTION("GOOGLEFINANCE(""ASX:EM2"", ""pe"")"),"#N/A")</f>
        <v>#N/A</v>
      </c>
      <c r="G732" s="9">
        <f>IFERROR(__xludf.DUMMYFUNCTION("GOOGLEFINANCE(""ASX:EM2"", ""high52"")"),0.01)</f>
        <v>0.01</v>
      </c>
      <c r="H732" s="9">
        <f>IFERROR(__xludf.DUMMYFUNCTION("GOOGLEFINANCE(""ASX:EM2"", ""low52"")"),0.0)</f>
        <v>0</v>
      </c>
      <c r="I732" s="9">
        <f>IFERROR(__xludf.DUMMYFUNCTION("GOOGLEFINANCE(""ASX:EM2"", ""marketcap"")"),1.3848839E7)</f>
        <v>13848839</v>
      </c>
      <c r="J732" s="5"/>
      <c r="K732" s="5"/>
      <c r="L732" s="5"/>
      <c r="M732" s="5"/>
      <c r="N732" s="11" t="s">
        <v>19</v>
      </c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6" t="s">
        <v>1497</v>
      </c>
      <c r="B733" s="6" t="s">
        <v>1498</v>
      </c>
      <c r="C733" s="5" t="s">
        <v>88</v>
      </c>
      <c r="D733" s="7">
        <f>IFERROR(__xludf.DUMMYFUNCTION("GOOGLEFINANCE(""ASX:EM3"", ""price"")"),0.09)</f>
        <v>0.09</v>
      </c>
      <c r="E733" s="8">
        <f>IFERROR(__xludf.DUMMYFUNCTION("GOOGLEFINANCE(""ASX:EM3"", ""closeyest"")"),0.09)</f>
        <v>0.09</v>
      </c>
      <c r="F733" s="5" t="str">
        <f>IFERROR(__xludf.DUMMYFUNCTION("GOOGLEFINANCE(""ASX:EM3"", ""pe"")"),"#N/A")</f>
        <v>#N/A</v>
      </c>
      <c r="G733" s="9">
        <f>IFERROR(__xludf.DUMMYFUNCTION("GOOGLEFINANCE(""ASX:EM3"", ""high52"")"),0.09)</f>
        <v>0.09</v>
      </c>
      <c r="H733" s="9">
        <f>IFERROR(__xludf.DUMMYFUNCTION("GOOGLEFINANCE(""ASX:EM3"", ""low52"")"),0.08)</f>
        <v>0.08</v>
      </c>
      <c r="I733" s="9" t="str">
        <f>IFERROR(__xludf.DUMMYFUNCTION("GOOGLEFINANCE(""ASX:EM3"", ""marketcap"")"),"#N/A")</f>
        <v>#N/A</v>
      </c>
      <c r="J733" s="5"/>
      <c r="K733" s="5"/>
      <c r="L733" s="5"/>
      <c r="M733" s="5"/>
      <c r="N733" s="11" t="s">
        <v>19</v>
      </c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6" t="s">
        <v>1499</v>
      </c>
      <c r="B734" s="6" t="s">
        <v>1500</v>
      </c>
      <c r="C734" s="5" t="s">
        <v>212</v>
      </c>
      <c r="D734" s="7">
        <f>IFERROR(__xludf.DUMMYFUNCTION("GOOGLEFINANCE(""ASX:EMA"", ""price"")"),0.06)</f>
        <v>0.06</v>
      </c>
      <c r="E734" s="8">
        <f>IFERROR(__xludf.DUMMYFUNCTION("GOOGLEFINANCE(""ASX:EMA"", ""closeyest"")"),0.06)</f>
        <v>0.06</v>
      </c>
      <c r="F734" s="5" t="str">
        <f>IFERROR(__xludf.DUMMYFUNCTION("GOOGLEFINANCE(""ASX:EMA"", ""pe"")"),"#N/A")</f>
        <v>#N/A</v>
      </c>
      <c r="G734" s="9">
        <f>IFERROR(__xludf.DUMMYFUNCTION("GOOGLEFINANCE(""ASX:EMA"", ""high52"")"),0.08)</f>
        <v>0.08</v>
      </c>
      <c r="H734" s="9">
        <f>IFERROR(__xludf.DUMMYFUNCTION("GOOGLEFINANCE(""ASX:EMA"", ""low52"")"),0.05)</f>
        <v>0.05</v>
      </c>
      <c r="I734" s="9">
        <f>IFERROR(__xludf.DUMMYFUNCTION("GOOGLEFINANCE(""ASX:EMA"", ""marketcap"")"),8959774.0)</f>
        <v>8959774</v>
      </c>
      <c r="J734" s="5"/>
      <c r="K734" s="5"/>
      <c r="L734" s="5"/>
      <c r="M734" s="5"/>
      <c r="N734" s="11" t="s">
        <v>19</v>
      </c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6" t="s">
        <v>1499</v>
      </c>
      <c r="B735" s="6" t="s">
        <v>1500</v>
      </c>
      <c r="C735" s="5" t="s">
        <v>212</v>
      </c>
      <c r="D735" s="7">
        <f>IFERROR(__xludf.DUMMYFUNCTION("GOOGLEFINANCE(""ASX:EMA"", ""price"")"),0.06)</f>
        <v>0.06</v>
      </c>
      <c r="E735" s="8">
        <f>IFERROR(__xludf.DUMMYFUNCTION("GOOGLEFINANCE(""ASX:EMA"", ""closeyest"")"),0.06)</f>
        <v>0.06</v>
      </c>
      <c r="F735" s="5" t="str">
        <f>IFERROR(__xludf.DUMMYFUNCTION("GOOGLEFINANCE(""ASX:EMA"", ""pe"")"),"#N/A")</f>
        <v>#N/A</v>
      </c>
      <c r="G735" s="9">
        <f>IFERROR(__xludf.DUMMYFUNCTION("GOOGLEFINANCE(""ASX:EMA"", ""high52"")"),0.08)</f>
        <v>0.08</v>
      </c>
      <c r="H735" s="9">
        <f>IFERROR(__xludf.DUMMYFUNCTION("GOOGLEFINANCE(""ASX:EMA"", ""low52"")"),0.05)</f>
        <v>0.05</v>
      </c>
      <c r="I735" s="9">
        <f>IFERROR(__xludf.DUMMYFUNCTION("GOOGLEFINANCE(""ASX:EMA"", ""marketcap"")"),8959774.0)</f>
        <v>8959774</v>
      </c>
      <c r="J735" s="5"/>
      <c r="K735" s="5"/>
      <c r="L735" s="5"/>
      <c r="M735" s="5"/>
      <c r="N735" s="11" t="s">
        <v>19</v>
      </c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6" t="s">
        <v>1501</v>
      </c>
      <c r="B736" s="6" t="s">
        <v>1502</v>
      </c>
      <c r="C736" s="5" t="s">
        <v>769</v>
      </c>
      <c r="D736" s="7">
        <f>IFERROR(__xludf.DUMMYFUNCTION("GOOGLEFINANCE(""ASX:EMB"", ""price"")"),8.08)</f>
        <v>8.08</v>
      </c>
      <c r="E736" s="8">
        <f>IFERROR(__xludf.DUMMYFUNCTION("GOOGLEFINANCE(""ASX:EMB"", ""closeyest"")"),8.1)</f>
        <v>8.1</v>
      </c>
      <c r="F736" s="9">
        <f>IFERROR(__xludf.DUMMYFUNCTION("GOOGLEFINANCE(""ASX:EMB"", ""pe"")"),18.85)</f>
        <v>18.85</v>
      </c>
      <c r="G736" s="9">
        <f>IFERROR(__xludf.DUMMYFUNCTION("GOOGLEFINANCE(""ASX:EMB"", ""high52"")"),8.7)</f>
        <v>8.7</v>
      </c>
      <c r="H736" s="9">
        <f>IFERROR(__xludf.DUMMYFUNCTION("GOOGLEFINANCE(""ASX:EMB"", ""low52"")"),7.45)</f>
        <v>7.45</v>
      </c>
      <c r="I736" s="9">
        <f>IFERROR(__xludf.DUMMYFUNCTION("GOOGLEFINANCE(""ASX:EMB"", ""marketcap"")"),1.747864E7)</f>
        <v>17478640</v>
      </c>
      <c r="J736" s="5"/>
      <c r="K736" s="5"/>
      <c r="L736" s="5"/>
      <c r="M736" s="5"/>
      <c r="N736" s="10">
        <v>18.89</v>
      </c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6" t="s">
        <v>1503</v>
      </c>
      <c r="B737" s="6" t="s">
        <v>1504</v>
      </c>
      <c r="C737" s="5" t="s">
        <v>18</v>
      </c>
      <c r="D737" s="7">
        <f>IFERROR(__xludf.DUMMYFUNCTION("GOOGLEFINANCE(""ASX:EMC"", ""price"")"),0.12)</f>
        <v>0.12</v>
      </c>
      <c r="E737" s="8">
        <f>IFERROR(__xludf.DUMMYFUNCTION("GOOGLEFINANCE(""ASX:EMC"", ""closeyest"")"),0.12)</f>
        <v>0.12</v>
      </c>
      <c r="F737" s="5" t="str">
        <f>IFERROR(__xludf.DUMMYFUNCTION("GOOGLEFINANCE(""ASX:EMC"", ""pe"")"),"#N/A")</f>
        <v>#N/A</v>
      </c>
      <c r="G737" s="9">
        <f>IFERROR(__xludf.DUMMYFUNCTION("GOOGLEFINANCE(""ASX:EMC"", ""high52"")"),0.18)</f>
        <v>0.18</v>
      </c>
      <c r="H737" s="9">
        <f>IFERROR(__xludf.DUMMYFUNCTION("GOOGLEFINANCE(""ASX:EMC"", ""low52"")"),0.1)</f>
        <v>0.1</v>
      </c>
      <c r="I737" s="9">
        <f>IFERROR(__xludf.DUMMYFUNCTION("GOOGLEFINANCE(""ASX:EMC"", ""marketcap"")"),3.2364839E7)</f>
        <v>32364839</v>
      </c>
      <c r="J737" s="5"/>
      <c r="K737" s="5"/>
      <c r="L737" s="5"/>
      <c r="M737" s="5"/>
      <c r="N737" s="11" t="s">
        <v>19</v>
      </c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6" t="s">
        <v>1505</v>
      </c>
      <c r="B738" s="6" t="s">
        <v>1506</v>
      </c>
      <c r="C738" s="5" t="s">
        <v>25</v>
      </c>
      <c r="D738" s="7" t="str">
        <f>IFERROR(__xludf.DUMMYFUNCTION("GOOGLEFINANCE(""ASX:EMD"", ""price"")"),"#N/A")</f>
        <v>#N/A</v>
      </c>
      <c r="E738" s="8" t="str">
        <f>IFERROR(__xludf.DUMMYFUNCTION("GOOGLEFINANCE(""ASX:EMD"", ""closeyest"")"),"#N/A")</f>
        <v>#N/A</v>
      </c>
      <c r="F738" s="5" t="str">
        <f>IFERROR(__xludf.DUMMYFUNCTION("GOOGLEFINANCE(""ASX:EMD"", ""pe"")"),"#N/A")</f>
        <v>#N/A</v>
      </c>
      <c r="G738" s="5" t="str">
        <f>IFERROR(__xludf.DUMMYFUNCTION("GOOGLEFINANCE(""ASX:EMD"", ""high52"")"),"#N/A")</f>
        <v>#N/A</v>
      </c>
      <c r="H738" s="5" t="str">
        <f>IFERROR(__xludf.DUMMYFUNCTION("GOOGLEFINANCE(""ASX:EMD"", ""low52"")"),"#N/A")</f>
        <v>#N/A</v>
      </c>
      <c r="I738" s="9" t="str">
        <f>IFERROR(__xludf.DUMMYFUNCTION("GOOGLEFINANCE(""ASX:EMD"", ""marketcap"")"),"#N/A")</f>
        <v>#N/A</v>
      </c>
      <c r="J738" s="12">
        <v>0.056</v>
      </c>
      <c r="K738" s="12">
        <v>0.059</v>
      </c>
      <c r="L738" s="12">
        <v>0.078</v>
      </c>
      <c r="M738" s="12">
        <v>0.021</v>
      </c>
      <c r="N738" s="11" t="s">
        <v>19</v>
      </c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6" t="s">
        <v>1507</v>
      </c>
      <c r="B739" s="6" t="s">
        <v>1508</v>
      </c>
      <c r="C739" s="5" t="s">
        <v>28</v>
      </c>
      <c r="D739" s="7">
        <f>IFERROR(__xludf.DUMMYFUNCTION("GOOGLEFINANCE(""ASX:EME"", ""price"")"),0.08)</f>
        <v>0.08</v>
      </c>
      <c r="E739" s="8">
        <f>IFERROR(__xludf.DUMMYFUNCTION("GOOGLEFINANCE(""ASX:EME"", ""closeyest"")"),0.08)</f>
        <v>0.08</v>
      </c>
      <c r="F739" s="5" t="str">
        <f>IFERROR(__xludf.DUMMYFUNCTION("GOOGLEFINANCE(""ASX:EME"", ""pe"")"),"#N/A")</f>
        <v>#N/A</v>
      </c>
      <c r="G739" s="9">
        <f>IFERROR(__xludf.DUMMYFUNCTION("GOOGLEFINANCE(""ASX:EME"", ""high52"")"),0.12)</f>
        <v>0.12</v>
      </c>
      <c r="H739" s="9">
        <f>IFERROR(__xludf.DUMMYFUNCTION("GOOGLEFINANCE(""ASX:EME"", ""low52"")"),0.06)</f>
        <v>0.06</v>
      </c>
      <c r="I739" s="9">
        <f>IFERROR(__xludf.DUMMYFUNCTION("GOOGLEFINANCE(""ASX:EME"", ""marketcap"")"),1.7623875E7)</f>
        <v>17623875</v>
      </c>
      <c r="J739" s="5"/>
      <c r="K739" s="5"/>
      <c r="L739" s="5"/>
      <c r="M739" s="5"/>
      <c r="N739" s="11" t="s">
        <v>19</v>
      </c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6" t="s">
        <v>1507</v>
      </c>
      <c r="B740" s="6" t="s">
        <v>1508</v>
      </c>
      <c r="C740" s="5" t="s">
        <v>28</v>
      </c>
      <c r="D740" s="7">
        <f>IFERROR(__xludf.DUMMYFUNCTION("GOOGLEFINANCE(""ASX:EME"", ""price"")"),0.08)</f>
        <v>0.08</v>
      </c>
      <c r="E740" s="8">
        <f>IFERROR(__xludf.DUMMYFUNCTION("GOOGLEFINANCE(""ASX:EME"", ""closeyest"")"),0.08)</f>
        <v>0.08</v>
      </c>
      <c r="F740" s="5" t="str">
        <f>IFERROR(__xludf.DUMMYFUNCTION("GOOGLEFINANCE(""ASX:EME"", ""pe"")"),"#N/A")</f>
        <v>#N/A</v>
      </c>
      <c r="G740" s="9">
        <f>IFERROR(__xludf.DUMMYFUNCTION("GOOGLEFINANCE(""ASX:EME"", ""high52"")"),0.12)</f>
        <v>0.12</v>
      </c>
      <c r="H740" s="9">
        <f>IFERROR(__xludf.DUMMYFUNCTION("GOOGLEFINANCE(""ASX:EME"", ""low52"")"),0.06)</f>
        <v>0.06</v>
      </c>
      <c r="I740" s="9">
        <f>IFERROR(__xludf.DUMMYFUNCTION("GOOGLEFINANCE(""ASX:EME"", ""marketcap"")"),1.7623875E7)</f>
        <v>17623875</v>
      </c>
      <c r="J740" s="5"/>
      <c r="K740" s="5"/>
      <c r="L740" s="5"/>
      <c r="M740" s="5"/>
      <c r="N740" s="11" t="s">
        <v>19</v>
      </c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13" t="s">
        <v>1507</v>
      </c>
      <c r="B741" s="13" t="s">
        <v>1508</v>
      </c>
      <c r="C741" s="14" t="s">
        <v>28</v>
      </c>
      <c r="D741" s="15">
        <f>IFERROR(__xludf.DUMMYFUNCTION("GOOGLEFINANCE(""ASX:EME"", ""price"")"),0.08)</f>
        <v>0.08</v>
      </c>
      <c r="E741" s="8">
        <f>IFERROR(__xludf.DUMMYFUNCTION("GOOGLEFINANCE(""ASX:EME"", ""closeyest"")"),0.08)</f>
        <v>0.08</v>
      </c>
      <c r="F741" s="5" t="str">
        <f>IFERROR(__xludf.DUMMYFUNCTION("GOOGLEFINANCE(""ASX:EME"", ""pe"")"),"#N/A")</f>
        <v>#N/A</v>
      </c>
      <c r="G741" s="9">
        <f>IFERROR(__xludf.DUMMYFUNCTION("GOOGLEFINANCE(""ASX:EME"", ""high52"")"),0.12)</f>
        <v>0.12</v>
      </c>
      <c r="H741" s="9">
        <f>IFERROR(__xludf.DUMMYFUNCTION("GOOGLEFINANCE(""ASX:EME"", ""low52"")"),0.06)</f>
        <v>0.06</v>
      </c>
      <c r="I741" s="9">
        <f>IFERROR(__xludf.DUMMYFUNCTION("GOOGLEFINANCE(""ASX:EME"", ""marketcap"")"),1.7623875E7)</f>
        <v>17623875</v>
      </c>
      <c r="J741" s="5"/>
      <c r="K741" s="5"/>
      <c r="L741" s="5"/>
      <c r="M741" s="5"/>
      <c r="N741" s="11" t="s">
        <v>19</v>
      </c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6" t="s">
        <v>1509</v>
      </c>
      <c r="B742" s="6" t="s">
        <v>1510</v>
      </c>
      <c r="C742" s="5" t="s">
        <v>39</v>
      </c>
      <c r="D742" s="7">
        <f>IFERROR(__xludf.DUMMYFUNCTION("GOOGLEFINANCE(""ASX:EMH"", ""price"")"),0.36)</f>
        <v>0.36</v>
      </c>
      <c r="E742" s="8">
        <f>IFERROR(__xludf.DUMMYFUNCTION("GOOGLEFINANCE(""ASX:EMH"", ""closeyest"")"),0.34)</f>
        <v>0.34</v>
      </c>
      <c r="F742" s="5" t="str">
        <f>IFERROR(__xludf.DUMMYFUNCTION("GOOGLEFINANCE(""ASX:EMH"", ""pe"")"),"#N/A")</f>
        <v>#N/A</v>
      </c>
      <c r="G742" s="9">
        <f>IFERROR(__xludf.DUMMYFUNCTION("GOOGLEFINANCE(""ASX:EMH"", ""high52"")"),0.55)</f>
        <v>0.55</v>
      </c>
      <c r="H742" s="9">
        <f>IFERROR(__xludf.DUMMYFUNCTION("GOOGLEFINANCE(""ASX:EMH"", ""low52"")"),0.11)</f>
        <v>0.11</v>
      </c>
      <c r="I742" s="9">
        <f>IFERROR(__xludf.DUMMYFUNCTION("GOOGLEFINANCE(""ASX:EMH"", ""marketcap"")"),3.8666903E7)</f>
        <v>38666903</v>
      </c>
      <c r="J742" s="5"/>
      <c r="K742" s="5"/>
      <c r="L742" s="5"/>
      <c r="M742" s="5"/>
      <c r="N742" s="11" t="s">
        <v>19</v>
      </c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6" t="s">
        <v>1511</v>
      </c>
      <c r="B743" s="6" t="s">
        <v>1512</v>
      </c>
      <c r="C743" s="5" t="s">
        <v>36</v>
      </c>
      <c r="D743" s="7">
        <f>IFERROR(__xludf.DUMMYFUNCTION("GOOGLEFINANCE(""ASX:EMKT"", ""price"")"),32.14)</f>
        <v>32.14</v>
      </c>
      <c r="E743" s="8">
        <f>IFERROR(__xludf.DUMMYFUNCTION("GOOGLEFINANCE(""ASX:EMKT"", ""closeyest"")"),32.13)</f>
        <v>32.13</v>
      </c>
      <c r="F743" s="5" t="str">
        <f>IFERROR(__xludf.DUMMYFUNCTION("GOOGLEFINANCE(""ASX:EMKT"", ""pe"")"),"#N/A")</f>
        <v>#N/A</v>
      </c>
      <c r="G743" s="9">
        <f>IFERROR(__xludf.DUMMYFUNCTION("GOOGLEFINANCE(""ASX:EMKT"", ""high52"")"),33.15)</f>
        <v>33.15</v>
      </c>
      <c r="H743" s="9">
        <f>IFERROR(__xludf.DUMMYFUNCTION("GOOGLEFINANCE(""ASX:EMKT"", ""low52"")"),24.21)</f>
        <v>24.21</v>
      </c>
      <c r="I743" s="9" t="str">
        <f>IFERROR(__xludf.DUMMYFUNCTION("GOOGLEFINANCE(""ASX:EMKT"", ""marketcap"")"),"#N/A")</f>
        <v>#N/A</v>
      </c>
      <c r="J743" s="5"/>
      <c r="K743" s="5"/>
      <c r="L743" s="5"/>
      <c r="M743" s="5"/>
      <c r="N743" s="11" t="s">
        <v>19</v>
      </c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6" t="s">
        <v>1513</v>
      </c>
      <c r="B744" s="6" t="s">
        <v>1514</v>
      </c>
      <c r="C744" s="5" t="s">
        <v>161</v>
      </c>
      <c r="D744" s="7">
        <f>IFERROR(__xludf.DUMMYFUNCTION("GOOGLEFINANCE(""ASX:EML"", ""price"")"),0.9)</f>
        <v>0.9</v>
      </c>
      <c r="E744" s="8">
        <f>IFERROR(__xludf.DUMMYFUNCTION("GOOGLEFINANCE(""ASX:EML"", ""closeyest"")"),0.91)</f>
        <v>0.91</v>
      </c>
      <c r="F744" s="5" t="str">
        <f>IFERROR(__xludf.DUMMYFUNCTION("GOOGLEFINANCE(""ASX:EML"", ""pe"")"),"#N/A")</f>
        <v>#N/A</v>
      </c>
      <c r="G744" s="9">
        <f>IFERROR(__xludf.DUMMYFUNCTION("GOOGLEFINANCE(""ASX:EML"", ""high52"")"),1.2)</f>
        <v>1.2</v>
      </c>
      <c r="H744" s="9">
        <f>IFERROR(__xludf.DUMMYFUNCTION("GOOGLEFINANCE(""ASX:EML"", ""low52"")"),0.76)</f>
        <v>0.76</v>
      </c>
      <c r="I744" s="9">
        <f>IFERROR(__xludf.DUMMYFUNCTION("GOOGLEFINANCE(""ASX:EML"", ""marketcap"")"),3.45086127E8)</f>
        <v>345086127</v>
      </c>
      <c r="J744" s="5"/>
      <c r="K744" s="5"/>
      <c r="L744" s="5"/>
      <c r="M744" s="5"/>
      <c r="N744" s="11" t="s">
        <v>19</v>
      </c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6" t="s">
        <v>1515</v>
      </c>
      <c r="B745" s="6" t="s">
        <v>1516</v>
      </c>
      <c r="C745" s="5" t="s">
        <v>450</v>
      </c>
      <c r="D745" s="7">
        <f>IFERROR(__xludf.DUMMYFUNCTION("GOOGLEFINANCE(""ASX:EMN"", ""price"")"),0.17)</f>
        <v>0.17</v>
      </c>
      <c r="E745" s="8">
        <f>IFERROR(__xludf.DUMMYFUNCTION("GOOGLEFINANCE(""ASX:EMN"", ""closeyest"")"),0.17)</f>
        <v>0.17</v>
      </c>
      <c r="F745" s="5" t="str">
        <f>IFERROR(__xludf.DUMMYFUNCTION("GOOGLEFINANCE(""ASX:EMN"", ""pe"")"),"#N/A")</f>
        <v>#N/A</v>
      </c>
      <c r="G745" s="9">
        <f>IFERROR(__xludf.DUMMYFUNCTION("GOOGLEFINANCE(""ASX:EMN"", ""high52"")"),0.34)</f>
        <v>0.34</v>
      </c>
      <c r="H745" s="9">
        <f>IFERROR(__xludf.DUMMYFUNCTION("GOOGLEFINANCE(""ASX:EMN"", ""low52"")"),0.14)</f>
        <v>0.14</v>
      </c>
      <c r="I745" s="9">
        <f>IFERROR(__xludf.DUMMYFUNCTION("GOOGLEFINANCE(""ASX:EMN"", ""marketcap"")"),2.4276765E7)</f>
        <v>24276765</v>
      </c>
      <c r="J745" s="5"/>
      <c r="K745" s="5"/>
      <c r="L745" s="5"/>
      <c r="M745" s="5"/>
      <c r="N745" s="11" t="s">
        <v>19</v>
      </c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6" t="s">
        <v>1517</v>
      </c>
      <c r="B746" s="6" t="s">
        <v>1518</v>
      </c>
      <c r="C746" s="5" t="s">
        <v>78</v>
      </c>
      <c r="D746" s="7">
        <f>IFERROR(__xludf.DUMMYFUNCTION("GOOGLEFINANCE(""ASX:EMP"", ""price"")"),0.11)</f>
        <v>0.11</v>
      </c>
      <c r="E746" s="8">
        <f>IFERROR(__xludf.DUMMYFUNCTION("GOOGLEFINANCE(""ASX:EMP"", ""closeyest"")"),0.11)</f>
        <v>0.11</v>
      </c>
      <c r="F746" s="5" t="str">
        <f>IFERROR(__xludf.DUMMYFUNCTION("GOOGLEFINANCE(""ASX:EMP"", ""pe"")"),"#N/A")</f>
        <v>#N/A</v>
      </c>
      <c r="G746" s="9">
        <f>IFERROR(__xludf.DUMMYFUNCTION("GOOGLEFINANCE(""ASX:EMP"", ""high52"")"),0.14)</f>
        <v>0.14</v>
      </c>
      <c r="H746" s="9">
        <f>IFERROR(__xludf.DUMMYFUNCTION("GOOGLEFINANCE(""ASX:EMP"", ""low52"")"),0.02)</f>
        <v>0.02</v>
      </c>
      <c r="I746" s="9">
        <f>IFERROR(__xludf.DUMMYFUNCTION("GOOGLEFINANCE(""ASX:EMP"", ""marketcap"")"),8.7834482E7)</f>
        <v>87834482</v>
      </c>
      <c r="J746" s="5"/>
      <c r="K746" s="5"/>
      <c r="L746" s="5"/>
      <c r="M746" s="5"/>
      <c r="N746" s="11" t="s">
        <v>19</v>
      </c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6" t="s">
        <v>1519</v>
      </c>
      <c r="B747" s="6" t="s">
        <v>1520</v>
      </c>
      <c r="C747" s="5" t="s">
        <v>88</v>
      </c>
      <c r="D747" s="7">
        <f>IFERROR(__xludf.DUMMYFUNCTION("GOOGLEFINANCE(""ASX:EMR"", ""price"")"),6.52)</f>
        <v>6.52</v>
      </c>
      <c r="E747" s="8">
        <f>IFERROR(__xludf.DUMMYFUNCTION("GOOGLEFINANCE(""ASX:EMR"", ""closeyest"")"),6.45)</f>
        <v>6.45</v>
      </c>
      <c r="F747" s="9">
        <f>IFERROR(__xludf.DUMMYFUNCTION("GOOGLEFINANCE(""ASX:EMR"", ""pe"")"),49.36)</f>
        <v>49.36</v>
      </c>
      <c r="G747" s="9">
        <f>IFERROR(__xludf.DUMMYFUNCTION("GOOGLEFINANCE(""ASX:EMR"", ""high52"")"),6.62)</f>
        <v>6.62</v>
      </c>
      <c r="H747" s="9">
        <f>IFERROR(__xludf.DUMMYFUNCTION("GOOGLEFINANCE(""ASX:EMR"", ""low52"")"),3.24)</f>
        <v>3.24</v>
      </c>
      <c r="I747" s="9">
        <f>IFERROR(__xludf.DUMMYFUNCTION("GOOGLEFINANCE(""ASX:EMR"", ""marketcap"")"),4.306849231E9)</f>
        <v>4306849231</v>
      </c>
      <c r="J747" s="5"/>
      <c r="K747" s="5"/>
      <c r="L747" s="5"/>
      <c r="M747" s="5"/>
      <c r="N747" s="10">
        <v>48.15</v>
      </c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6" t="s">
        <v>1521</v>
      </c>
      <c r="B748" s="6" t="s">
        <v>1522</v>
      </c>
      <c r="C748" s="5" t="s">
        <v>39</v>
      </c>
      <c r="D748" s="7">
        <f>IFERROR(__xludf.DUMMYFUNCTION("GOOGLEFINANCE(""ASX:EMS"", ""price"")"),0.01)</f>
        <v>0.01</v>
      </c>
      <c r="E748" s="8">
        <f>IFERROR(__xludf.DUMMYFUNCTION("GOOGLEFINANCE(""ASX:EMS"", ""closeyest"")"),0.01)</f>
        <v>0.01</v>
      </c>
      <c r="F748" s="5" t="str">
        <f>IFERROR(__xludf.DUMMYFUNCTION("GOOGLEFINANCE(""ASX:EMS"", ""pe"")"),"#N/A")</f>
        <v>#N/A</v>
      </c>
      <c r="G748" s="9">
        <f>IFERROR(__xludf.DUMMYFUNCTION("GOOGLEFINANCE(""ASX:EMS"", ""high52"")"),0.03)</f>
        <v>0.03</v>
      </c>
      <c r="H748" s="9">
        <f>IFERROR(__xludf.DUMMYFUNCTION("GOOGLEFINANCE(""ASX:EMS"", ""low52"")"),0.02)</f>
        <v>0.02</v>
      </c>
      <c r="I748" s="9">
        <f>IFERROR(__xludf.DUMMYFUNCTION("GOOGLEFINANCE(""ASX:EMS"", ""marketcap"")"),697130.0)</f>
        <v>697130</v>
      </c>
      <c r="J748" s="5"/>
      <c r="K748" s="5"/>
      <c r="L748" s="5"/>
      <c r="M748" s="5"/>
      <c r="N748" s="11" t="s">
        <v>19</v>
      </c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6" t="s">
        <v>1523</v>
      </c>
      <c r="B749" s="6" t="s">
        <v>1524</v>
      </c>
      <c r="C749" s="5" t="s">
        <v>18</v>
      </c>
      <c r="D749" s="7">
        <f>IFERROR(__xludf.DUMMYFUNCTION("GOOGLEFINANCE(""ASX:EMT"", ""price"")"),0.01)</f>
        <v>0.01</v>
      </c>
      <c r="E749" s="8">
        <f>IFERROR(__xludf.DUMMYFUNCTION("GOOGLEFINANCE(""ASX:EMT"", ""closeyest"")"),0.01)</f>
        <v>0.01</v>
      </c>
      <c r="F749" s="5" t="str">
        <f>IFERROR(__xludf.DUMMYFUNCTION("GOOGLEFINANCE(""ASX:EMT"", ""pe"")"),"#N/A")</f>
        <v>#N/A</v>
      </c>
      <c r="G749" s="9">
        <f>IFERROR(__xludf.DUMMYFUNCTION("GOOGLEFINANCE(""ASX:EMT"", ""high52"")"),0.01)</f>
        <v>0.01</v>
      </c>
      <c r="H749" s="9">
        <f>IFERROR(__xludf.DUMMYFUNCTION("GOOGLEFINANCE(""ASX:EMT"", ""low52"")"),0.0)</f>
        <v>0</v>
      </c>
      <c r="I749" s="9">
        <f>IFERROR(__xludf.DUMMYFUNCTION("GOOGLEFINANCE(""ASX:EMT"", ""marketcap"")"),3060000.0)</f>
        <v>3060000</v>
      </c>
      <c r="J749" s="9">
        <v>0.029</v>
      </c>
      <c r="K749" s="9">
        <v>0.029</v>
      </c>
      <c r="L749" s="9">
        <v>0.068</v>
      </c>
      <c r="M749" s="9">
        <v>0.006</v>
      </c>
      <c r="N749" s="11" t="s">
        <v>19</v>
      </c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6" t="s">
        <v>1525</v>
      </c>
      <c r="B750" s="6" t="s">
        <v>1526</v>
      </c>
      <c r="C750" s="5" t="s">
        <v>18</v>
      </c>
      <c r="D750" s="7">
        <f>IFERROR(__xludf.DUMMYFUNCTION("GOOGLEFINANCE(""ASX:EMU"", ""price"")"),0.05)</f>
        <v>0.05</v>
      </c>
      <c r="E750" s="8">
        <f>IFERROR(__xludf.DUMMYFUNCTION("GOOGLEFINANCE(""ASX:EMU"", ""closeyest"")"),0.05)</f>
        <v>0.05</v>
      </c>
      <c r="F750" s="5" t="str">
        <f>IFERROR(__xludf.DUMMYFUNCTION("GOOGLEFINANCE(""ASX:EMU"", ""pe"")"),"#N/A")</f>
        <v>#N/A</v>
      </c>
      <c r="G750" s="9">
        <f>IFERROR(__xludf.DUMMYFUNCTION("GOOGLEFINANCE(""ASX:EMU"", ""high52"")"),0.05)</f>
        <v>0.05</v>
      </c>
      <c r="H750" s="9">
        <f>IFERROR(__xludf.DUMMYFUNCTION("GOOGLEFINANCE(""ASX:EMU"", ""low52"")"),0.02)</f>
        <v>0.02</v>
      </c>
      <c r="I750" s="9">
        <f>IFERROR(__xludf.DUMMYFUNCTION("GOOGLEFINANCE(""ASX:EMU"", ""marketcap"")"),1.287745E7)</f>
        <v>12877450</v>
      </c>
      <c r="J750" s="5"/>
      <c r="K750" s="5"/>
      <c r="L750" s="5"/>
      <c r="M750" s="5"/>
      <c r="N750" s="11" t="s">
        <v>19</v>
      </c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6" t="s">
        <v>1527</v>
      </c>
      <c r="B751" s="6" t="s">
        <v>1528</v>
      </c>
      <c r="C751" s="5" t="s">
        <v>62</v>
      </c>
      <c r="D751" s="7">
        <f>IFERROR(__xludf.DUMMYFUNCTION("GOOGLEFINANCE(""ASX:EMV"", ""price"")"),1.86)</f>
        <v>1.86</v>
      </c>
      <c r="E751" s="8">
        <f>IFERROR(__xludf.DUMMYFUNCTION("GOOGLEFINANCE(""ASX:EMV"", ""closeyest"")"),1.85)</f>
        <v>1.85</v>
      </c>
      <c r="F751" s="5" t="str">
        <f>IFERROR(__xludf.DUMMYFUNCTION("GOOGLEFINANCE(""ASX:EMV"", ""pe"")"),"#N/A")</f>
        <v>#N/A</v>
      </c>
      <c r="G751" s="9">
        <f>IFERROR(__xludf.DUMMYFUNCTION("GOOGLEFINANCE(""ASX:EMV"", ""high52"")"),2.43)</f>
        <v>2.43</v>
      </c>
      <c r="H751" s="9">
        <f>IFERROR(__xludf.DUMMYFUNCTION("GOOGLEFINANCE(""ASX:EMV"", ""low52"")"),1.63)</f>
        <v>1.63</v>
      </c>
      <c r="I751" s="9">
        <f>IFERROR(__xludf.DUMMYFUNCTION("GOOGLEFINANCE(""ASX:EMV"", ""marketcap"")"),1.72401049E8)</f>
        <v>172401049</v>
      </c>
      <c r="J751" s="5"/>
      <c r="K751" s="5"/>
      <c r="L751" s="5"/>
      <c r="M751" s="5"/>
      <c r="N751" s="11" t="s">
        <v>19</v>
      </c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6" t="s">
        <v>1529</v>
      </c>
      <c r="B752" s="6" t="s">
        <v>1530</v>
      </c>
      <c r="C752" s="5" t="s">
        <v>36</v>
      </c>
      <c r="D752" s="7">
        <f>IFERROR(__xludf.DUMMYFUNCTION("GOOGLEFINANCE(""ASX:EMXC"", ""price"")"),33.89)</f>
        <v>33.89</v>
      </c>
      <c r="E752" s="8">
        <f>IFERROR(__xludf.DUMMYFUNCTION("GOOGLEFINANCE(""ASX:EMXC"", ""closeyest"")"),33.83)</f>
        <v>33.83</v>
      </c>
      <c r="F752" s="5" t="str">
        <f>IFERROR(__xludf.DUMMYFUNCTION("GOOGLEFINANCE(""ASX:EMXC"", ""pe"")"),"#N/A")</f>
        <v>#N/A</v>
      </c>
      <c r="G752" s="9">
        <f>IFERROR(__xludf.DUMMYFUNCTION("GOOGLEFINANCE(""ASX:EMXC"", ""high52"")"),34.17)</f>
        <v>34.17</v>
      </c>
      <c r="H752" s="9">
        <f>IFERROR(__xludf.DUMMYFUNCTION("GOOGLEFINANCE(""ASX:EMXC"", ""low52"")"),24.07)</f>
        <v>24.07</v>
      </c>
      <c r="I752" s="9" t="str">
        <f>IFERROR(__xludf.DUMMYFUNCTION("GOOGLEFINANCE(""ASX:EMXC"", ""marketcap"")"),"#N/A")</f>
        <v>#N/A</v>
      </c>
      <c r="J752" s="5"/>
      <c r="K752" s="5"/>
      <c r="L752" s="5"/>
      <c r="M752" s="5"/>
      <c r="N752" s="11" t="s">
        <v>19</v>
      </c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6" t="s">
        <v>1531</v>
      </c>
      <c r="B753" s="6" t="s">
        <v>1532</v>
      </c>
      <c r="C753" s="5" t="s">
        <v>184</v>
      </c>
      <c r="D753" s="7">
        <f>IFERROR(__xludf.DUMMYFUNCTION("GOOGLEFINANCE(""ASX:ENL"", ""price"")"),0.02)</f>
        <v>0.02</v>
      </c>
      <c r="E753" s="8">
        <f>IFERROR(__xludf.DUMMYFUNCTION("GOOGLEFINANCE(""ASX:ENL"", ""closeyest"")"),0.02)</f>
        <v>0.02</v>
      </c>
      <c r="F753" s="5" t="str">
        <f>IFERROR(__xludf.DUMMYFUNCTION("GOOGLEFINANCE(""ASX:ENL"", ""pe"")"),"#N/A")</f>
        <v>#N/A</v>
      </c>
      <c r="G753" s="9">
        <f>IFERROR(__xludf.DUMMYFUNCTION("GOOGLEFINANCE(""ASX:ENL"", ""high52"")"),0.11)</f>
        <v>0.11</v>
      </c>
      <c r="H753" s="9">
        <f>IFERROR(__xludf.DUMMYFUNCTION("GOOGLEFINANCE(""ASX:ENL"", ""low52"")"),0.02)</f>
        <v>0.02</v>
      </c>
      <c r="I753" s="9">
        <f>IFERROR(__xludf.DUMMYFUNCTION("GOOGLEFINANCE(""ASX:ENL"", ""marketcap"")"),1.2747569E7)</f>
        <v>12747569</v>
      </c>
      <c r="J753" s="9">
        <v>0.002</v>
      </c>
      <c r="K753" s="9">
        <v>0.002</v>
      </c>
      <c r="L753" s="9">
        <v>0.002</v>
      </c>
      <c r="M753" s="9">
        <v>0.002</v>
      </c>
      <c r="N753" s="11" t="s">
        <v>19</v>
      </c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6" t="s">
        <v>1533</v>
      </c>
      <c r="B754" s="6" t="s">
        <v>1534</v>
      </c>
      <c r="C754" s="5" t="s">
        <v>1535</v>
      </c>
      <c r="D754" s="7">
        <f>IFERROR(__xludf.DUMMYFUNCTION("GOOGLEFINANCE(""ASX:ENN"", ""price"")"),0.82)</f>
        <v>0.82</v>
      </c>
      <c r="E754" s="8">
        <f>IFERROR(__xludf.DUMMYFUNCTION("GOOGLEFINANCE(""ASX:ENN"", ""closeyest"")"),0.82)</f>
        <v>0.82</v>
      </c>
      <c r="F754" s="5" t="str">
        <f>IFERROR(__xludf.DUMMYFUNCTION("GOOGLEFINANCE(""ASX:ENN"", ""pe"")"),"#N/A")</f>
        <v>#N/A</v>
      </c>
      <c r="G754" s="9">
        <f>IFERROR(__xludf.DUMMYFUNCTION("GOOGLEFINANCE(""ASX:ENN"", ""high52"")"),0.85)</f>
        <v>0.85</v>
      </c>
      <c r="H754" s="9">
        <f>IFERROR(__xludf.DUMMYFUNCTION("GOOGLEFINANCE(""ASX:ENN"", ""low52"")"),0.82)</f>
        <v>0.82</v>
      </c>
      <c r="I754" s="9">
        <f>IFERROR(__xludf.DUMMYFUNCTION("GOOGLEFINANCE(""ASX:ENN"", ""marketcap"")"),1.248056E8)</f>
        <v>124805600</v>
      </c>
      <c r="J754" s="5"/>
      <c r="K754" s="5"/>
      <c r="L754" s="5"/>
      <c r="M754" s="5"/>
      <c r="N754" s="11" t="s">
        <v>19</v>
      </c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6" t="s">
        <v>1536</v>
      </c>
      <c r="B755" s="6" t="s">
        <v>1537</v>
      </c>
      <c r="C755" s="5" t="s">
        <v>25</v>
      </c>
      <c r="D755" s="7">
        <f>IFERROR(__xludf.DUMMYFUNCTION("GOOGLEFINANCE(""ASX:ENP"", ""price"")"),0.03)</f>
        <v>0.03</v>
      </c>
      <c r="E755" s="8">
        <f>IFERROR(__xludf.DUMMYFUNCTION("GOOGLEFINANCE(""ASX:ENP"", ""closeyest"")"),0.03)</f>
        <v>0.03</v>
      </c>
      <c r="F755" s="5" t="str">
        <f>IFERROR(__xludf.DUMMYFUNCTION("GOOGLEFINANCE(""ASX:ENP"", ""pe"")"),"#N/A")</f>
        <v>#N/A</v>
      </c>
      <c r="G755" s="9">
        <f>IFERROR(__xludf.DUMMYFUNCTION("GOOGLEFINANCE(""ASX:ENP"", ""high52"")"),0.04)</f>
        <v>0.04</v>
      </c>
      <c r="H755" s="9">
        <f>IFERROR(__xludf.DUMMYFUNCTION("GOOGLEFINANCE(""ASX:ENP"", ""low52"")"),0.03)</f>
        <v>0.03</v>
      </c>
      <c r="I755" s="9">
        <f>IFERROR(__xludf.DUMMYFUNCTION("GOOGLEFINANCE(""ASX:ENP"", ""marketcap"")"),5.157197E7)</f>
        <v>51571970</v>
      </c>
      <c r="J755" s="5"/>
      <c r="K755" s="5"/>
      <c r="L755" s="5"/>
      <c r="M755" s="5"/>
      <c r="N755" s="11" t="s">
        <v>19</v>
      </c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6" t="s">
        <v>1538</v>
      </c>
      <c r="B756" s="6" t="s">
        <v>1539</v>
      </c>
      <c r="C756" s="5" t="s">
        <v>18</v>
      </c>
      <c r="D756" s="7">
        <f>IFERROR(__xludf.DUMMYFUNCTION("GOOGLEFINANCE(""ASX:ENR"", ""price"")"),0.4)</f>
        <v>0.4</v>
      </c>
      <c r="E756" s="8">
        <f>IFERROR(__xludf.DUMMYFUNCTION("GOOGLEFINANCE(""ASX:ENR"", ""closeyest"")"),0.42)</f>
        <v>0.42</v>
      </c>
      <c r="F756" s="5" t="str">
        <f>IFERROR(__xludf.DUMMYFUNCTION("GOOGLEFINANCE(""ASX:ENR"", ""pe"")"),"#N/A")</f>
        <v>#N/A</v>
      </c>
      <c r="G756" s="9">
        <f>IFERROR(__xludf.DUMMYFUNCTION("GOOGLEFINANCE(""ASX:ENR"", ""high52"")"),0.62)</f>
        <v>0.62</v>
      </c>
      <c r="H756" s="9">
        <f>IFERROR(__xludf.DUMMYFUNCTION("GOOGLEFINANCE(""ASX:ENR"", ""low52"")"),0.17)</f>
        <v>0.17</v>
      </c>
      <c r="I756" s="9">
        <f>IFERROR(__xludf.DUMMYFUNCTION("GOOGLEFINANCE(""ASX:ENR"", ""marketcap"")"),2.23596283E8)</f>
        <v>223596283</v>
      </c>
      <c r="J756" s="5"/>
      <c r="K756" s="5"/>
      <c r="L756" s="5"/>
      <c r="M756" s="5"/>
      <c r="N756" s="11" t="s">
        <v>19</v>
      </c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6" t="s">
        <v>1540</v>
      </c>
      <c r="B757" s="6" t="s">
        <v>1541</v>
      </c>
      <c r="C757" s="5" t="s">
        <v>18</v>
      </c>
      <c r="D757" s="7">
        <f>IFERROR(__xludf.DUMMYFUNCTION("GOOGLEFINANCE(""ASX:ENT"", ""price"")"),0.0)</f>
        <v>0</v>
      </c>
      <c r="E757" s="8">
        <f>IFERROR(__xludf.DUMMYFUNCTION("GOOGLEFINANCE(""ASX:ENT"", ""closeyest"")"),0.0)</f>
        <v>0</v>
      </c>
      <c r="F757" s="5" t="str">
        <f>IFERROR(__xludf.DUMMYFUNCTION("GOOGLEFINANCE(""ASX:ENT"", ""pe"")"),"#N/A")</f>
        <v>#N/A</v>
      </c>
      <c r="G757" s="9">
        <f>IFERROR(__xludf.DUMMYFUNCTION("GOOGLEFINANCE(""ASX:ENT"", ""high52"")"),0.01)</f>
        <v>0.01</v>
      </c>
      <c r="H757" s="9">
        <f>IFERROR(__xludf.DUMMYFUNCTION("GOOGLEFINANCE(""ASX:ENT"", ""low52"")"),0.0)</f>
        <v>0</v>
      </c>
      <c r="I757" s="9">
        <f>IFERROR(__xludf.DUMMYFUNCTION("GOOGLEFINANCE(""ASX:ENT"", ""marketcap"")"),2988300.0)</f>
        <v>2988300</v>
      </c>
      <c r="J757" s="12">
        <v>0.004</v>
      </c>
      <c r="K757" s="12">
        <v>0.004</v>
      </c>
      <c r="L757" s="12">
        <v>0.012</v>
      </c>
      <c r="M757" s="12">
        <v>0.002</v>
      </c>
      <c r="N757" s="11" t="s">
        <v>19</v>
      </c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6" t="s">
        <v>1542</v>
      </c>
      <c r="B758" s="6" t="s">
        <v>1543</v>
      </c>
      <c r="C758" s="5" t="s">
        <v>450</v>
      </c>
      <c r="D758" s="7">
        <f>IFERROR(__xludf.DUMMYFUNCTION("GOOGLEFINANCE(""ASX:ENV"", ""price"")"),0.01)</f>
        <v>0.01</v>
      </c>
      <c r="E758" s="8">
        <f>IFERROR(__xludf.DUMMYFUNCTION("GOOGLEFINANCE(""ASX:ENV"", ""closeyest"")"),0.01)</f>
        <v>0.01</v>
      </c>
      <c r="F758" s="5" t="str">
        <f>IFERROR(__xludf.DUMMYFUNCTION("GOOGLEFINANCE(""ASX:ENV"", ""pe"")"),"#N/A")</f>
        <v>#N/A</v>
      </c>
      <c r="G758" s="9">
        <f>IFERROR(__xludf.DUMMYFUNCTION("GOOGLEFINANCE(""ASX:ENV"", ""high52"")"),0.01)</f>
        <v>0.01</v>
      </c>
      <c r="H758" s="9">
        <f>IFERROR(__xludf.DUMMYFUNCTION("GOOGLEFINANCE(""ASX:ENV"", ""low52"")"),0.0)</f>
        <v>0</v>
      </c>
      <c r="I758" s="9">
        <f>IFERROR(__xludf.DUMMYFUNCTION("GOOGLEFINANCE(""ASX:ENV"", ""marketcap"")"),6158214.0)</f>
        <v>6158214</v>
      </c>
      <c r="J758" s="5"/>
      <c r="K758" s="5"/>
      <c r="L758" s="5"/>
      <c r="M758" s="5"/>
      <c r="N758" s="11" t="s">
        <v>19</v>
      </c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6" t="s">
        <v>1544</v>
      </c>
      <c r="B759" s="6" t="s">
        <v>1545</v>
      </c>
      <c r="C759" s="5" t="s">
        <v>39</v>
      </c>
      <c r="D759" s="7">
        <f>IFERROR(__xludf.DUMMYFUNCTION("GOOGLEFINANCE(""ASX:ENX"", ""price"")"),0.24)</f>
        <v>0.24</v>
      </c>
      <c r="E759" s="8">
        <f>IFERROR(__xludf.DUMMYFUNCTION("GOOGLEFINANCE(""ASX:ENX"", ""closeyest"")"),0.28)</f>
        <v>0.28</v>
      </c>
      <c r="F759" s="5" t="str">
        <f>IFERROR(__xludf.DUMMYFUNCTION("GOOGLEFINANCE(""ASX:ENX"", ""pe"")"),"#N/A")</f>
        <v>#N/A</v>
      </c>
      <c r="G759" s="9">
        <f>IFERROR(__xludf.DUMMYFUNCTION("GOOGLEFINANCE(""ASX:ENX"", ""high52"")"),0.3)</f>
        <v>0.3</v>
      </c>
      <c r="H759" s="9">
        <f>IFERROR(__xludf.DUMMYFUNCTION("GOOGLEFINANCE(""ASX:ENX"", ""low52"")"),0.06)</f>
        <v>0.06</v>
      </c>
      <c r="I759" s="9">
        <f>IFERROR(__xludf.DUMMYFUNCTION("GOOGLEFINANCE(""ASX:ENX"", ""marketcap"")"),6.1278482E7)</f>
        <v>61278482</v>
      </c>
      <c r="J759" s="5"/>
      <c r="K759" s="5"/>
      <c r="L759" s="5"/>
      <c r="M759" s="5"/>
      <c r="N759" s="11" t="s">
        <v>19</v>
      </c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6" t="s">
        <v>1546</v>
      </c>
      <c r="B760" s="6" t="s">
        <v>1547</v>
      </c>
      <c r="C760" s="5" t="s">
        <v>15</v>
      </c>
      <c r="D760" s="7">
        <f>IFERROR(__xludf.DUMMYFUNCTION("GOOGLEFINANCE(""ASX:EOL"", ""price"")"),16.64)</f>
        <v>16.64</v>
      </c>
      <c r="E760" s="8">
        <f>IFERROR(__xludf.DUMMYFUNCTION("GOOGLEFINANCE(""ASX:EOL"", ""closeyest"")"),16.75)</f>
        <v>16.75</v>
      </c>
      <c r="F760" s="9">
        <f>IFERROR(__xludf.DUMMYFUNCTION("GOOGLEFINANCE(""ASX:EOL"", ""pe"")"),89.8)</f>
        <v>89.8</v>
      </c>
      <c r="G760" s="9">
        <f>IFERROR(__xludf.DUMMYFUNCTION("GOOGLEFINANCE(""ASX:EOL"", ""high52"")"),20.19)</f>
        <v>20.19</v>
      </c>
      <c r="H760" s="9">
        <f>IFERROR(__xludf.DUMMYFUNCTION("GOOGLEFINANCE(""ASX:EOL"", ""low52"")"),6.51)</f>
        <v>6.51</v>
      </c>
      <c r="I760" s="9">
        <f>IFERROR(__xludf.DUMMYFUNCTION("GOOGLEFINANCE(""ASX:EOL"", ""marketcap"")"),5.23878265E8)</f>
        <v>523878265</v>
      </c>
      <c r="J760" s="5"/>
      <c r="K760" s="5"/>
      <c r="L760" s="5"/>
      <c r="M760" s="5"/>
      <c r="N760" s="10">
        <v>92.66</v>
      </c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6" t="s">
        <v>1548</v>
      </c>
      <c r="B761" s="6" t="s">
        <v>1549</v>
      </c>
      <c r="C761" s="5" t="s">
        <v>504</v>
      </c>
      <c r="D761" s="7">
        <f>IFERROR(__xludf.DUMMYFUNCTION("GOOGLEFINANCE(""ASX:EOS"", ""price"")"),9.45)</f>
        <v>9.45</v>
      </c>
      <c r="E761" s="8">
        <f>IFERROR(__xludf.DUMMYFUNCTION("GOOGLEFINANCE(""ASX:EOS"", ""closeyest"")"),9.67)</f>
        <v>9.67</v>
      </c>
      <c r="F761" s="9">
        <f>IFERROR(__xludf.DUMMYFUNCTION("GOOGLEFINANCE(""ASX:EOS"", ""pe"")"),54.57)</f>
        <v>54.57</v>
      </c>
      <c r="G761" s="9">
        <f>IFERROR(__xludf.DUMMYFUNCTION("GOOGLEFINANCE(""ASX:EOS"", ""high52"")"),10.42)</f>
        <v>10.42</v>
      </c>
      <c r="H761" s="9">
        <f>IFERROR(__xludf.DUMMYFUNCTION("GOOGLEFINANCE(""ASX:EOS"", ""low52"")"),1.0)</f>
        <v>1</v>
      </c>
      <c r="I761" s="9">
        <f>IFERROR(__xludf.DUMMYFUNCTION("GOOGLEFINANCE(""ASX:EOS"", ""marketcap"")"),1.823396363E9)</f>
        <v>1823396363</v>
      </c>
      <c r="J761" s="5"/>
      <c r="K761" s="5"/>
      <c r="L761" s="5"/>
      <c r="M761" s="5"/>
      <c r="N761" s="10">
        <v>57.45</v>
      </c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6" t="s">
        <v>1550</v>
      </c>
      <c r="B762" s="6" t="s">
        <v>1551</v>
      </c>
      <c r="C762" s="5" t="s">
        <v>62</v>
      </c>
      <c r="D762" s="7">
        <f>IFERROR(__xludf.DUMMYFUNCTION("GOOGLEFINANCE(""ASX:EPI"", ""price"")"),0.95)</f>
        <v>0.95</v>
      </c>
      <c r="E762" s="8">
        <f>IFERROR(__xludf.DUMMYFUNCTION("GOOGLEFINANCE(""ASX:EPI"", ""closeyest"")"),0.96)</f>
        <v>0.96</v>
      </c>
      <c r="F762" s="5" t="str">
        <f>IFERROR(__xludf.DUMMYFUNCTION("GOOGLEFINANCE(""ASX:EPI"", ""pe"")"),"#N/A")</f>
        <v>#N/A</v>
      </c>
      <c r="G762" s="9">
        <f>IFERROR(__xludf.DUMMYFUNCTION("GOOGLEFINANCE(""ASX:EPI"", ""high52"")"),1.49)</f>
        <v>1.49</v>
      </c>
      <c r="H762" s="9">
        <f>IFERROR(__xludf.DUMMYFUNCTION("GOOGLEFINANCE(""ASX:EPI"", ""low52"")"),0.88)</f>
        <v>0.88</v>
      </c>
      <c r="I762" s="9" t="str">
        <f>IFERROR(__xludf.DUMMYFUNCTION("GOOGLEFINANCE(""ASX:EPI"", ""marketcap"")"),"#N/A")</f>
        <v>#N/A</v>
      </c>
      <c r="J762" s="5"/>
      <c r="K762" s="5"/>
      <c r="L762" s="5"/>
      <c r="M762" s="5"/>
      <c r="N762" s="11" t="s">
        <v>19</v>
      </c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6" t="s">
        <v>1552</v>
      </c>
      <c r="B763" s="6" t="s">
        <v>1553</v>
      </c>
      <c r="C763" s="5" t="s">
        <v>18</v>
      </c>
      <c r="D763" s="7">
        <f>IFERROR(__xludf.DUMMYFUNCTION("GOOGLEFINANCE(""ASX:EPM"", ""price"")"),0.03)</f>
        <v>0.03</v>
      </c>
      <c r="E763" s="8">
        <f>IFERROR(__xludf.DUMMYFUNCTION("GOOGLEFINANCE(""ASX:EPM"", ""closeyest"")"),0.02)</f>
        <v>0.02</v>
      </c>
      <c r="F763" s="5" t="str">
        <f>IFERROR(__xludf.DUMMYFUNCTION("GOOGLEFINANCE(""ASX:EPM"", ""pe"")"),"#N/A")</f>
        <v>#N/A</v>
      </c>
      <c r="G763" s="9">
        <f>IFERROR(__xludf.DUMMYFUNCTION("GOOGLEFINANCE(""ASX:EPM"", ""high52"")"),0.04)</f>
        <v>0.04</v>
      </c>
      <c r="H763" s="9">
        <f>IFERROR(__xludf.DUMMYFUNCTION("GOOGLEFINANCE(""ASX:EPM"", ""low52"")"),0.0)</f>
        <v>0</v>
      </c>
      <c r="I763" s="9">
        <f>IFERROR(__xludf.DUMMYFUNCTION("GOOGLEFINANCE(""ASX:EPM"", ""marketcap"")"),1.10604567E8)</f>
        <v>110604567</v>
      </c>
      <c r="J763" s="5"/>
      <c r="K763" s="5"/>
      <c r="L763" s="5"/>
      <c r="M763" s="5"/>
      <c r="N763" s="11" t="s">
        <v>19</v>
      </c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6" t="s">
        <v>1554</v>
      </c>
      <c r="B764" s="6" t="s">
        <v>1555</v>
      </c>
      <c r="C764" s="5" t="s">
        <v>174</v>
      </c>
      <c r="D764" s="7">
        <f>IFERROR(__xludf.DUMMYFUNCTION("GOOGLEFINANCE(""ASX:EPN"", ""price"")"),0.03)</f>
        <v>0.03</v>
      </c>
      <c r="E764" s="8">
        <f>IFERROR(__xludf.DUMMYFUNCTION("GOOGLEFINANCE(""ASX:EPN"", ""closeyest"")"),0.03)</f>
        <v>0.03</v>
      </c>
      <c r="F764" s="5" t="str">
        <f>IFERROR(__xludf.DUMMYFUNCTION("GOOGLEFINANCE(""ASX:EPN"", ""pe"")"),"#N/A")</f>
        <v>#N/A</v>
      </c>
      <c r="G764" s="9">
        <f>IFERROR(__xludf.DUMMYFUNCTION("GOOGLEFINANCE(""ASX:EPN"", ""high52"")"),0.04)</f>
        <v>0.04</v>
      </c>
      <c r="H764" s="9">
        <f>IFERROR(__xludf.DUMMYFUNCTION("GOOGLEFINANCE(""ASX:EPN"", ""low52"")"),0.03)</f>
        <v>0.03</v>
      </c>
      <c r="I764" s="9">
        <f>IFERROR(__xludf.DUMMYFUNCTION("GOOGLEFINANCE(""ASX:EPN"", ""marketcap"")"),1.3748842E7)</f>
        <v>13748842</v>
      </c>
      <c r="J764" s="9">
        <v>19.3</v>
      </c>
      <c r="K764" s="9">
        <v>19.3</v>
      </c>
      <c r="L764" s="9">
        <v>22.61</v>
      </c>
      <c r="M764" s="9">
        <v>19.21</v>
      </c>
      <c r="N764" s="11" t="s">
        <v>19</v>
      </c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6" t="s">
        <v>1556</v>
      </c>
      <c r="B765" s="6" t="s">
        <v>1557</v>
      </c>
      <c r="C765" s="5" t="s">
        <v>15</v>
      </c>
      <c r="D765" s="7">
        <f>IFERROR(__xludf.DUMMYFUNCTION("GOOGLEFINANCE(""ASX:EPX"", ""price"")"),0.26)</f>
        <v>0.26</v>
      </c>
      <c r="E765" s="8">
        <f>IFERROR(__xludf.DUMMYFUNCTION("GOOGLEFINANCE(""ASX:EPX"", ""closeyest"")"),0.26)</f>
        <v>0.26</v>
      </c>
      <c r="F765" s="5" t="str">
        <f>IFERROR(__xludf.DUMMYFUNCTION("GOOGLEFINANCE(""ASX:EPX"", ""pe"")"),"#N/A")</f>
        <v>#N/A</v>
      </c>
      <c r="G765" s="9">
        <f>IFERROR(__xludf.DUMMYFUNCTION("GOOGLEFINANCE(""ASX:EPX"", ""high52"")"),0.44)</f>
        <v>0.44</v>
      </c>
      <c r="H765" s="9">
        <f>IFERROR(__xludf.DUMMYFUNCTION("GOOGLEFINANCE(""ASX:EPX"", ""low52"")"),0.19)</f>
        <v>0.19</v>
      </c>
      <c r="I765" s="9">
        <f>IFERROR(__xludf.DUMMYFUNCTION("GOOGLEFINANCE(""ASX:EPX"", ""marketcap"")"),2.2150233E7)</f>
        <v>22150233</v>
      </c>
      <c r="J765" s="9">
        <v>0.002</v>
      </c>
      <c r="K765" s="9">
        <v>0.0015</v>
      </c>
      <c r="L765" s="9">
        <v>0.0045</v>
      </c>
      <c r="M765" s="9">
        <v>0.001</v>
      </c>
      <c r="N765" s="11" t="s">
        <v>19</v>
      </c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6" t="s">
        <v>1558</v>
      </c>
      <c r="B766" s="6" t="s">
        <v>1559</v>
      </c>
      <c r="C766" s="5" t="s">
        <v>873</v>
      </c>
      <c r="D766" s="7">
        <f>IFERROR(__xludf.DUMMYFUNCTION("GOOGLEFINANCE(""ASX:EPY"", ""price"")"),0.19)</f>
        <v>0.19</v>
      </c>
      <c r="E766" s="8">
        <f>IFERROR(__xludf.DUMMYFUNCTION("GOOGLEFINANCE(""ASX:EPY"", ""closeyest"")"),0.19)</f>
        <v>0.19</v>
      </c>
      <c r="F766" s="9">
        <f>IFERROR(__xludf.DUMMYFUNCTION("GOOGLEFINANCE(""ASX:EPY"", ""pe"")"),17.77)</f>
        <v>17.77</v>
      </c>
      <c r="G766" s="9">
        <f>IFERROR(__xludf.DUMMYFUNCTION("GOOGLEFINANCE(""ASX:EPY"", ""high52"")"),0.24)</f>
        <v>0.24</v>
      </c>
      <c r="H766" s="9">
        <f>IFERROR(__xludf.DUMMYFUNCTION("GOOGLEFINANCE(""ASX:EPY"", ""low52"")"),0.19)</f>
        <v>0.19</v>
      </c>
      <c r="I766" s="9">
        <f>IFERROR(__xludf.DUMMYFUNCTION("GOOGLEFINANCE(""ASX:EPY"", ""marketcap"")"),4.7762449E7)</f>
        <v>47762449</v>
      </c>
      <c r="J766" s="9">
        <v>20.42</v>
      </c>
      <c r="K766" s="9">
        <v>20.36</v>
      </c>
      <c r="L766" s="9">
        <v>21.25</v>
      </c>
      <c r="M766" s="9">
        <v>17.46</v>
      </c>
      <c r="N766" s="10">
        <v>18.25</v>
      </c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6" t="s">
        <v>1560</v>
      </c>
      <c r="B767" s="6" t="s">
        <v>1561</v>
      </c>
      <c r="C767" s="5" t="s">
        <v>36</v>
      </c>
      <c r="D767" s="7">
        <f>IFERROR(__xludf.DUMMYFUNCTION("GOOGLEFINANCE(""ASX:EQIN"", ""price"")"),3.83)</f>
        <v>3.83</v>
      </c>
      <c r="E767" s="8">
        <f>IFERROR(__xludf.DUMMYFUNCTION("GOOGLEFINANCE(""ASX:EQIN"", ""closeyest"")"),3.83)</f>
        <v>3.83</v>
      </c>
      <c r="F767" s="5" t="str">
        <f>IFERROR(__xludf.DUMMYFUNCTION("GOOGLEFINANCE(""ASX:EQIN"", ""pe"")"),"#N/A")</f>
        <v>#N/A</v>
      </c>
      <c r="G767" s="9">
        <f>IFERROR(__xludf.DUMMYFUNCTION("GOOGLEFINANCE(""ASX:EQIN"", ""high52"")"),4.02)</f>
        <v>4.02</v>
      </c>
      <c r="H767" s="9">
        <f>IFERROR(__xludf.DUMMYFUNCTION("GOOGLEFINANCE(""ASX:EQIN"", ""low52"")"),3.83)</f>
        <v>3.83</v>
      </c>
      <c r="I767" s="9" t="str">
        <f>IFERROR(__xludf.DUMMYFUNCTION("GOOGLEFINANCE(""ASX:EQIN"", ""marketcap"")"),"#N/A")</f>
        <v>#N/A</v>
      </c>
      <c r="J767" s="5"/>
      <c r="K767" s="5"/>
      <c r="L767" s="5"/>
      <c r="M767" s="5"/>
      <c r="N767" s="11" t="s">
        <v>19</v>
      </c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6" t="s">
        <v>1562</v>
      </c>
      <c r="B768" s="6" t="s">
        <v>1563</v>
      </c>
      <c r="C768" s="5" t="s">
        <v>39</v>
      </c>
      <c r="D768" s="7" t="str">
        <f>IFERROR(__xludf.DUMMYFUNCTION("GOOGLEFINANCE(""ASX:EQR"", ""price"")"),"#N/A")</f>
        <v>#N/A</v>
      </c>
      <c r="E768" s="8" t="str">
        <f>IFERROR(__xludf.DUMMYFUNCTION("GOOGLEFINANCE(""ASX:EQR"", ""closeyest"")"),"#N/A")</f>
        <v>#N/A</v>
      </c>
      <c r="F768" s="5" t="str">
        <f>IFERROR(__xludf.DUMMYFUNCTION("GOOGLEFINANCE(""ASX:EQR"", ""pe"")"),"#N/A")</f>
        <v>#N/A</v>
      </c>
      <c r="G768" s="5" t="str">
        <f>IFERROR(__xludf.DUMMYFUNCTION("GOOGLEFINANCE(""ASX:EQR"", ""high52"")"),"#N/A")</f>
        <v>#N/A</v>
      </c>
      <c r="H768" s="5" t="str">
        <f>IFERROR(__xludf.DUMMYFUNCTION("GOOGLEFINANCE(""ASX:EQR"", ""low52"")"),"#N/A")</f>
        <v>#N/A</v>
      </c>
      <c r="I768" s="9" t="str">
        <f>IFERROR(__xludf.DUMMYFUNCTION("GOOGLEFINANCE(""ASX:EQR"", ""marketcap"")"),"#N/A")</f>
        <v>#N/A</v>
      </c>
      <c r="J768" s="12">
        <v>0.1</v>
      </c>
      <c r="K768" s="12">
        <v>0.095</v>
      </c>
      <c r="L768" s="12">
        <v>0.11</v>
      </c>
      <c r="M768" s="12">
        <v>0.025</v>
      </c>
      <c r="N768" s="11" t="s">
        <v>19</v>
      </c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6" t="s">
        <v>1564</v>
      </c>
      <c r="B769" s="6" t="s">
        <v>1565</v>
      </c>
      <c r="C769" s="5" t="s">
        <v>171</v>
      </c>
      <c r="D769" s="7">
        <f>IFERROR(__xludf.DUMMYFUNCTION("GOOGLEFINANCE(""ASX:EQT"", ""price"")"),24.88)</f>
        <v>24.88</v>
      </c>
      <c r="E769" s="8">
        <f>IFERROR(__xludf.DUMMYFUNCTION("GOOGLEFINANCE(""ASX:EQT"", ""closeyest"")"),24.97)</f>
        <v>24.97</v>
      </c>
      <c r="F769" s="9">
        <f>IFERROR(__xludf.DUMMYFUNCTION("GOOGLEFINANCE(""ASX:EQT"", ""pe"")"),19.52)</f>
        <v>19.52</v>
      </c>
      <c r="G769" s="9">
        <f>IFERROR(__xludf.DUMMYFUNCTION("GOOGLEFINANCE(""ASX:EQT"", ""high52"")"),35.52)</f>
        <v>35.52</v>
      </c>
      <c r="H769" s="9">
        <f>IFERROR(__xludf.DUMMYFUNCTION("GOOGLEFINANCE(""ASX:EQT"", ""low52"")"),20.68)</f>
        <v>20.68</v>
      </c>
      <c r="I769" s="9">
        <f>IFERROR(__xludf.DUMMYFUNCTION("GOOGLEFINANCE(""ASX:EQT"", ""marketcap"")"),6.66563789E8)</f>
        <v>666563789</v>
      </c>
      <c r="J769" s="9">
        <v>51.35</v>
      </c>
      <c r="K769" s="9">
        <v>51.54</v>
      </c>
      <c r="L769" s="9">
        <v>52.69</v>
      </c>
      <c r="M769" s="9">
        <v>25.0</v>
      </c>
      <c r="N769" s="10">
        <v>18.68</v>
      </c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6" t="s">
        <v>1566</v>
      </c>
      <c r="B770" s="6" t="s">
        <v>1567</v>
      </c>
      <c r="C770" s="5" t="s">
        <v>78</v>
      </c>
      <c r="D770" s="7">
        <f>IFERROR(__xludf.DUMMYFUNCTION("GOOGLEFINANCE(""ASX:EQU"", ""price"")"),0.42)</f>
        <v>0.42</v>
      </c>
      <c r="E770" s="8">
        <f>IFERROR(__xludf.DUMMYFUNCTION("GOOGLEFINANCE(""ASX:EQU"", ""closeyest"")"),0.42)</f>
        <v>0.42</v>
      </c>
      <c r="F770" s="5" t="str">
        <f>IFERROR(__xludf.DUMMYFUNCTION("GOOGLEFINANCE(""ASX:EQU"", ""pe"")"),"#N/A")</f>
        <v>#N/A</v>
      </c>
      <c r="G770" s="9">
        <f>IFERROR(__xludf.DUMMYFUNCTION("GOOGLEFINANCE(""ASX:EQU"", ""high52"")"),0.45)</f>
        <v>0.45</v>
      </c>
      <c r="H770" s="9">
        <f>IFERROR(__xludf.DUMMYFUNCTION("GOOGLEFINANCE(""ASX:EQU"", ""low52"")"),0.23)</f>
        <v>0.23</v>
      </c>
      <c r="I770" s="9">
        <f>IFERROR(__xludf.DUMMYFUNCTION("GOOGLEFINANCE(""ASX:EQU"", ""marketcap"")"),9.6229892E7)</f>
        <v>96229892</v>
      </c>
      <c r="J770" s="9">
        <v>0.001</v>
      </c>
      <c r="K770" s="9">
        <v>0.001</v>
      </c>
      <c r="L770" s="9">
        <v>0.001</v>
      </c>
      <c r="M770" s="9">
        <v>0.001</v>
      </c>
      <c r="N770" s="11" t="s">
        <v>19</v>
      </c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6" t="s">
        <v>1568</v>
      </c>
      <c r="B771" s="6" t="s">
        <v>1569</v>
      </c>
      <c r="C771" s="5" t="s">
        <v>212</v>
      </c>
      <c r="D771" s="7">
        <f>IFERROR(__xludf.DUMMYFUNCTION("GOOGLEFINANCE(""ASX:EQX"", ""price"")"),0.19)</f>
        <v>0.19</v>
      </c>
      <c r="E771" s="8">
        <f>IFERROR(__xludf.DUMMYFUNCTION("GOOGLEFINANCE(""ASX:EQX"", ""closeyest"")"),0.18)</f>
        <v>0.18</v>
      </c>
      <c r="F771" s="5" t="str">
        <f>IFERROR(__xludf.DUMMYFUNCTION("GOOGLEFINANCE(""ASX:EQX"", ""pe"")"),"#N/A")</f>
        <v>#N/A</v>
      </c>
      <c r="G771" s="9">
        <f>IFERROR(__xludf.DUMMYFUNCTION("GOOGLEFINANCE(""ASX:EQX"", ""high52"")"),0.25)</f>
        <v>0.25</v>
      </c>
      <c r="H771" s="9">
        <f>IFERROR(__xludf.DUMMYFUNCTION("GOOGLEFINANCE(""ASX:EQX"", ""low52"")"),0.09)</f>
        <v>0.09</v>
      </c>
      <c r="I771" s="9">
        <f>IFERROR(__xludf.DUMMYFUNCTION("GOOGLEFINANCE(""ASX:EQX"", ""marketcap"")"),2.4974606E7)</f>
        <v>24974606</v>
      </c>
      <c r="J771" s="5"/>
      <c r="K771" s="5"/>
      <c r="L771" s="5"/>
      <c r="M771" s="5"/>
      <c r="N771" s="11" t="s">
        <v>19</v>
      </c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6" t="s">
        <v>1568</v>
      </c>
      <c r="B772" s="6" t="s">
        <v>1569</v>
      </c>
      <c r="C772" s="5" t="s">
        <v>212</v>
      </c>
      <c r="D772" s="7">
        <f>IFERROR(__xludf.DUMMYFUNCTION("GOOGLEFINANCE(""ASX:EQX"", ""price"")"),0.19)</f>
        <v>0.19</v>
      </c>
      <c r="E772" s="8">
        <f>IFERROR(__xludf.DUMMYFUNCTION("GOOGLEFINANCE(""ASX:EQX"", ""closeyest"")"),0.18)</f>
        <v>0.18</v>
      </c>
      <c r="F772" s="5" t="str">
        <f>IFERROR(__xludf.DUMMYFUNCTION("GOOGLEFINANCE(""ASX:EQX"", ""pe"")"),"#N/A")</f>
        <v>#N/A</v>
      </c>
      <c r="G772" s="9">
        <f>IFERROR(__xludf.DUMMYFUNCTION("GOOGLEFINANCE(""ASX:EQX"", ""high52"")"),0.25)</f>
        <v>0.25</v>
      </c>
      <c r="H772" s="9">
        <f>IFERROR(__xludf.DUMMYFUNCTION("GOOGLEFINANCE(""ASX:EQX"", ""low52"")"),0.09)</f>
        <v>0.09</v>
      </c>
      <c r="I772" s="9">
        <f>IFERROR(__xludf.DUMMYFUNCTION("GOOGLEFINANCE(""ASX:EQX"", ""marketcap"")"),2.4974606E7)</f>
        <v>24974606</v>
      </c>
      <c r="J772" s="5"/>
      <c r="K772" s="5"/>
      <c r="L772" s="5"/>
      <c r="M772" s="5"/>
      <c r="N772" s="11" t="s">
        <v>19</v>
      </c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6" t="s">
        <v>1570</v>
      </c>
      <c r="B773" s="6" t="s">
        <v>1571</v>
      </c>
      <c r="C773" s="5" t="s">
        <v>28</v>
      </c>
      <c r="D773" s="7">
        <f>IFERROR(__xludf.DUMMYFUNCTION("GOOGLEFINANCE(""ASX:ERA"", ""price"")"),0.0)</f>
        <v>0</v>
      </c>
      <c r="E773" s="8">
        <f>IFERROR(__xludf.DUMMYFUNCTION("GOOGLEFINANCE(""ASX:ERA"", ""closeyest"")"),0.0)</f>
        <v>0</v>
      </c>
      <c r="F773" s="5" t="str">
        <f>IFERROR(__xludf.DUMMYFUNCTION("GOOGLEFINANCE(""ASX:ERA"", ""pe"")"),"#N/A")</f>
        <v>#N/A</v>
      </c>
      <c r="G773" s="9">
        <f>IFERROR(__xludf.DUMMYFUNCTION("GOOGLEFINANCE(""ASX:ERA"", ""high52"")"),0.0)</f>
        <v>0</v>
      </c>
      <c r="H773" s="9">
        <f>IFERROR(__xludf.DUMMYFUNCTION("GOOGLEFINANCE(""ASX:ERA"", ""low52"")"),0.0)</f>
        <v>0</v>
      </c>
      <c r="I773" s="9">
        <f>IFERROR(__xludf.DUMMYFUNCTION("GOOGLEFINANCE(""ASX:ERA"", ""marketcap"")"),6.93352506E8)</f>
        <v>693352506</v>
      </c>
      <c r="J773" s="12">
        <v>0.003</v>
      </c>
      <c r="K773" s="12">
        <v>0.003</v>
      </c>
      <c r="L773" s="12">
        <v>0.003</v>
      </c>
      <c r="M773" s="12">
        <v>0.001</v>
      </c>
      <c r="N773" s="11" t="s">
        <v>19</v>
      </c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6" t="s">
        <v>1570</v>
      </c>
      <c r="B774" s="6" t="s">
        <v>1571</v>
      </c>
      <c r="C774" s="5" t="s">
        <v>28</v>
      </c>
      <c r="D774" s="7">
        <f>IFERROR(__xludf.DUMMYFUNCTION("GOOGLEFINANCE(""ASX:ERA"", ""price"")"),0.0)</f>
        <v>0</v>
      </c>
      <c r="E774" s="8">
        <f>IFERROR(__xludf.DUMMYFUNCTION("GOOGLEFINANCE(""ASX:ERA"", ""closeyest"")"),0.0)</f>
        <v>0</v>
      </c>
      <c r="F774" s="5" t="str">
        <f>IFERROR(__xludf.DUMMYFUNCTION("GOOGLEFINANCE(""ASX:ERA"", ""pe"")"),"#N/A")</f>
        <v>#N/A</v>
      </c>
      <c r="G774" s="9">
        <f>IFERROR(__xludf.DUMMYFUNCTION("GOOGLEFINANCE(""ASX:ERA"", ""high52"")"),0.0)</f>
        <v>0</v>
      </c>
      <c r="H774" s="9">
        <f>IFERROR(__xludf.DUMMYFUNCTION("GOOGLEFINANCE(""ASX:ERA"", ""low52"")"),0.0)</f>
        <v>0</v>
      </c>
      <c r="I774" s="9">
        <f>IFERROR(__xludf.DUMMYFUNCTION("GOOGLEFINANCE(""ASX:ERA"", ""marketcap"")"),6.93352506E8)</f>
        <v>693352506</v>
      </c>
      <c r="J774" s="12">
        <v>0.003</v>
      </c>
      <c r="K774" s="12">
        <v>0.003</v>
      </c>
      <c r="L774" s="12">
        <v>0.003</v>
      </c>
      <c r="M774" s="12">
        <v>0.001</v>
      </c>
      <c r="N774" s="11" t="s">
        <v>19</v>
      </c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13" t="s">
        <v>1570</v>
      </c>
      <c r="B775" s="13" t="s">
        <v>1571</v>
      </c>
      <c r="C775" s="14" t="s">
        <v>28</v>
      </c>
      <c r="D775" s="15">
        <f>IFERROR(__xludf.DUMMYFUNCTION("GOOGLEFINANCE(""ASX:ERA"", ""price"")"),0.0)</f>
        <v>0</v>
      </c>
      <c r="E775" s="8">
        <f>IFERROR(__xludf.DUMMYFUNCTION("GOOGLEFINANCE(""ASX:ERA"", ""closeyest"")"),0.0)</f>
        <v>0</v>
      </c>
      <c r="F775" s="5" t="str">
        <f>IFERROR(__xludf.DUMMYFUNCTION("GOOGLEFINANCE(""ASX:ERA"", ""pe"")"),"#N/A")</f>
        <v>#N/A</v>
      </c>
      <c r="G775" s="9">
        <f>IFERROR(__xludf.DUMMYFUNCTION("GOOGLEFINANCE(""ASX:ERA"", ""high52"")"),0.0)</f>
        <v>0</v>
      </c>
      <c r="H775" s="9">
        <f>IFERROR(__xludf.DUMMYFUNCTION("GOOGLEFINANCE(""ASX:ERA"", ""low52"")"),0.0)</f>
        <v>0</v>
      </c>
      <c r="I775" s="9">
        <f>IFERROR(__xludf.DUMMYFUNCTION("GOOGLEFINANCE(""ASX:ERA"", ""marketcap"")"),6.93352506E8)</f>
        <v>693352506</v>
      </c>
      <c r="J775" s="12">
        <v>0.003</v>
      </c>
      <c r="K775" s="12">
        <v>0.003</v>
      </c>
      <c r="L775" s="12">
        <v>0.003</v>
      </c>
      <c r="M775" s="12">
        <v>0.001</v>
      </c>
      <c r="N775" s="11" t="s">
        <v>19</v>
      </c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6" t="s">
        <v>1572</v>
      </c>
      <c r="B776" s="6" t="s">
        <v>1573</v>
      </c>
      <c r="C776" s="5" t="s">
        <v>15</v>
      </c>
      <c r="D776" s="7">
        <f>IFERROR(__xludf.DUMMYFUNCTION("GOOGLEFINANCE(""ASX:ERD"", ""price"")"),1.03)</f>
        <v>1.03</v>
      </c>
      <c r="E776" s="8">
        <f>IFERROR(__xludf.DUMMYFUNCTION("GOOGLEFINANCE(""ASX:ERD"", ""closeyest"")"),1.06)</f>
        <v>1.06</v>
      </c>
      <c r="F776" s="5" t="str">
        <f>IFERROR(__xludf.DUMMYFUNCTION("GOOGLEFINANCE(""ASX:ERD"", ""pe"")"),"#N/A")</f>
        <v>#N/A</v>
      </c>
      <c r="G776" s="9">
        <f>IFERROR(__xludf.DUMMYFUNCTION("GOOGLEFINANCE(""ASX:ERD"", ""high52"")"),2.63)</f>
        <v>2.63</v>
      </c>
      <c r="H776" s="9">
        <f>IFERROR(__xludf.DUMMYFUNCTION("GOOGLEFINANCE(""ASX:ERD"", ""low52"")"),0.73)</f>
        <v>0.73</v>
      </c>
      <c r="I776" s="9">
        <f>IFERROR(__xludf.DUMMYFUNCTION("GOOGLEFINANCE(""ASX:ERD"", ""marketcap"")"),2.358129E8)</f>
        <v>235812900</v>
      </c>
      <c r="J776" s="5"/>
      <c r="K776" s="5"/>
      <c r="L776" s="5"/>
      <c r="M776" s="5"/>
      <c r="N776" s="11" t="s">
        <v>19</v>
      </c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6" t="s">
        <v>1574</v>
      </c>
      <c r="B777" s="6" t="s">
        <v>1575</v>
      </c>
      <c r="C777" s="5" t="s">
        <v>18</v>
      </c>
      <c r="D777" s="7">
        <f>IFERROR(__xludf.DUMMYFUNCTION("GOOGLEFINANCE(""ASX:ERE"", ""price"")"),0.02)</f>
        <v>0.02</v>
      </c>
      <c r="E777" s="8">
        <f>IFERROR(__xludf.DUMMYFUNCTION("GOOGLEFINANCE(""ASX:ERE"", ""closeyest"")"),0.02)</f>
        <v>0.02</v>
      </c>
      <c r="F777" s="5" t="str">
        <f>IFERROR(__xludf.DUMMYFUNCTION("GOOGLEFINANCE(""ASX:ERE"", ""pe"")"),"#N/A")</f>
        <v>#N/A</v>
      </c>
      <c r="G777" s="9">
        <f>IFERROR(__xludf.DUMMYFUNCTION("GOOGLEFINANCE(""ASX:ERE"", ""high52"")"),0.02)</f>
        <v>0.02</v>
      </c>
      <c r="H777" s="9">
        <f>IFERROR(__xludf.DUMMYFUNCTION("GOOGLEFINANCE(""ASX:ERE"", ""low52"")"),0.01)</f>
        <v>0.01</v>
      </c>
      <c r="I777" s="9">
        <f>IFERROR(__xludf.DUMMYFUNCTION("GOOGLEFINANCE(""ASX:ERE"", ""marketcap"")"),6700952.0)</f>
        <v>6700952</v>
      </c>
      <c r="J777" s="5"/>
      <c r="K777" s="5"/>
      <c r="L777" s="5"/>
      <c r="M777" s="5"/>
      <c r="N777" s="11" t="s">
        <v>19</v>
      </c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6" t="s">
        <v>1576</v>
      </c>
      <c r="B778" s="6" t="s">
        <v>1577</v>
      </c>
      <c r="C778" s="5" t="s">
        <v>1578</v>
      </c>
      <c r="D778" s="7">
        <f>IFERROR(__xludf.DUMMYFUNCTION("GOOGLEFINANCE(""ASX:ERG"", ""price"")"),0.02)</f>
        <v>0.02</v>
      </c>
      <c r="E778" s="8">
        <f>IFERROR(__xludf.DUMMYFUNCTION("GOOGLEFINANCE(""ASX:ERG"", ""closeyest"")"),0.02)</f>
        <v>0.02</v>
      </c>
      <c r="F778" s="9">
        <f>IFERROR(__xludf.DUMMYFUNCTION("GOOGLEFINANCE(""ASX:ERG"", ""pe"")"),166.67)</f>
        <v>166.67</v>
      </c>
      <c r="G778" s="9">
        <f>IFERROR(__xludf.DUMMYFUNCTION("GOOGLEFINANCE(""ASX:ERG"", ""high52"")"),0.02)</f>
        <v>0.02</v>
      </c>
      <c r="H778" s="9">
        <f>IFERROR(__xludf.DUMMYFUNCTION("GOOGLEFINANCE(""ASX:ERG"", ""low52"")"),0.01)</f>
        <v>0.01</v>
      </c>
      <c r="I778" s="9">
        <f>IFERROR(__xludf.DUMMYFUNCTION("GOOGLEFINANCE(""ASX:ERG"", ""marketcap"")"),3064034.0)</f>
        <v>3064034</v>
      </c>
      <c r="J778" s="9">
        <v>2.99</v>
      </c>
      <c r="K778" s="9">
        <v>3.01</v>
      </c>
      <c r="L778" s="9">
        <v>3.5</v>
      </c>
      <c r="M778" s="9">
        <v>2.94</v>
      </c>
      <c r="N778" s="10">
        <v>166.67</v>
      </c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6" t="s">
        <v>1579</v>
      </c>
      <c r="B779" s="6" t="s">
        <v>1580</v>
      </c>
      <c r="C779" s="5" t="s">
        <v>18</v>
      </c>
      <c r="D779" s="7">
        <f>IFERROR(__xludf.DUMMYFUNCTION("GOOGLEFINANCE(""ASX:ERL"", ""price"")"),0.01)</f>
        <v>0.01</v>
      </c>
      <c r="E779" s="8">
        <f>IFERROR(__xludf.DUMMYFUNCTION("GOOGLEFINANCE(""ASX:ERL"", ""closeyest"")"),0.01)</f>
        <v>0.01</v>
      </c>
      <c r="F779" s="5" t="str">
        <f>IFERROR(__xludf.DUMMYFUNCTION("GOOGLEFINANCE(""ASX:ERL"", ""pe"")"),"#N/A")</f>
        <v>#N/A</v>
      </c>
      <c r="G779" s="9">
        <f>IFERROR(__xludf.DUMMYFUNCTION("GOOGLEFINANCE(""ASX:ERL"", ""high52"")"),0.01)</f>
        <v>0.01</v>
      </c>
      <c r="H779" s="9">
        <f>IFERROR(__xludf.DUMMYFUNCTION("GOOGLEFINANCE(""ASX:ERL"", ""low52"")"),0.0)</f>
        <v>0</v>
      </c>
      <c r="I779" s="9">
        <f>IFERROR(__xludf.DUMMYFUNCTION("GOOGLEFINANCE(""ASX:ERL"", ""marketcap"")"),1.0684176E7)</f>
        <v>10684176</v>
      </c>
      <c r="J779" s="5"/>
      <c r="K779" s="5"/>
      <c r="L779" s="5"/>
      <c r="M779" s="5"/>
      <c r="N779" s="11" t="s">
        <v>19</v>
      </c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6" t="s">
        <v>1581</v>
      </c>
      <c r="B780" s="6" t="s">
        <v>1582</v>
      </c>
      <c r="C780" s="5" t="s">
        <v>18</v>
      </c>
      <c r="D780" s="7">
        <f>IFERROR(__xludf.DUMMYFUNCTION("GOOGLEFINANCE(""ASX:ERM"", ""price"")"),0.3)</f>
        <v>0.3</v>
      </c>
      <c r="E780" s="8">
        <f>IFERROR(__xludf.DUMMYFUNCTION("GOOGLEFINANCE(""ASX:ERM"", ""closeyest"")"),0.3)</f>
        <v>0.3</v>
      </c>
      <c r="F780" s="5" t="str">
        <f>IFERROR(__xludf.DUMMYFUNCTION("GOOGLEFINANCE(""ASX:ERM"", ""pe"")"),"#N/A")</f>
        <v>#N/A</v>
      </c>
      <c r="G780" s="9">
        <f>IFERROR(__xludf.DUMMYFUNCTION("GOOGLEFINANCE(""ASX:ERM"", ""high52"")"),0.33)</f>
        <v>0.33</v>
      </c>
      <c r="H780" s="9">
        <f>IFERROR(__xludf.DUMMYFUNCTION("GOOGLEFINANCE(""ASX:ERM"", ""low52"")"),0.07)</f>
        <v>0.07</v>
      </c>
      <c r="I780" s="9">
        <f>IFERROR(__xludf.DUMMYFUNCTION("GOOGLEFINANCE(""ASX:ERM"", ""marketcap"")"),1.96374411E8)</f>
        <v>196374411</v>
      </c>
      <c r="J780" s="9">
        <v>0.013</v>
      </c>
      <c r="K780" s="9">
        <v>0.013</v>
      </c>
      <c r="L780" s="9">
        <v>0.045</v>
      </c>
      <c r="M780" s="9">
        <v>0.006</v>
      </c>
      <c r="N780" s="11" t="s">
        <v>19</v>
      </c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6" t="s">
        <v>1583</v>
      </c>
      <c r="B781" s="6" t="s">
        <v>1584</v>
      </c>
      <c r="C781" s="5" t="s">
        <v>36</v>
      </c>
      <c r="D781" s="7">
        <f>IFERROR(__xludf.DUMMYFUNCTION("GOOGLEFINANCE(""ASX:ERTH"", ""price"")"),10.15)</f>
        <v>10.15</v>
      </c>
      <c r="E781" s="8">
        <f>IFERROR(__xludf.DUMMYFUNCTION("GOOGLEFINANCE(""ASX:ERTH"", ""closeyest"")"),10.11)</f>
        <v>10.11</v>
      </c>
      <c r="F781" s="5" t="str">
        <f>IFERROR(__xludf.DUMMYFUNCTION("GOOGLEFINANCE(""ASX:ERTH"", ""pe"")"),"#N/A")</f>
        <v>#N/A</v>
      </c>
      <c r="G781" s="9">
        <f>IFERROR(__xludf.DUMMYFUNCTION("GOOGLEFINANCE(""ASX:ERTH"", ""high52"")"),10.48)</f>
        <v>10.48</v>
      </c>
      <c r="H781" s="9">
        <f>IFERROR(__xludf.DUMMYFUNCTION("GOOGLEFINANCE(""ASX:ERTH"", ""low52"")"),7.86)</f>
        <v>7.86</v>
      </c>
      <c r="I781" s="9" t="str">
        <f>IFERROR(__xludf.DUMMYFUNCTION("GOOGLEFINANCE(""ASX:ERTH"", ""marketcap"")"),"#N/A")</f>
        <v>#N/A</v>
      </c>
      <c r="J781" s="5"/>
      <c r="K781" s="5"/>
      <c r="L781" s="5"/>
      <c r="M781" s="5"/>
      <c r="N781" s="11" t="s">
        <v>19</v>
      </c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6" t="s">
        <v>1585</v>
      </c>
      <c r="B782" s="6" t="s">
        <v>1586</v>
      </c>
      <c r="C782" s="5" t="s">
        <v>36</v>
      </c>
      <c r="D782" s="7">
        <f>IFERROR(__xludf.DUMMYFUNCTION("GOOGLEFINANCE(""ASX:ESGI"", ""price"")"),37.04)</f>
        <v>37.04</v>
      </c>
      <c r="E782" s="8">
        <f>IFERROR(__xludf.DUMMYFUNCTION("GOOGLEFINANCE(""ASX:ESGI"", ""closeyest"")"),36.91)</f>
        <v>36.91</v>
      </c>
      <c r="F782" s="5" t="str">
        <f>IFERROR(__xludf.DUMMYFUNCTION("GOOGLEFINANCE(""ASX:ESGI"", ""pe"")"),"#N/A")</f>
        <v>#N/A</v>
      </c>
      <c r="G782" s="9">
        <f>IFERROR(__xludf.DUMMYFUNCTION("GOOGLEFINANCE(""ASX:ESGI"", ""high52"")"),39.0)</f>
        <v>39</v>
      </c>
      <c r="H782" s="9">
        <f>IFERROR(__xludf.DUMMYFUNCTION("GOOGLEFINANCE(""ASX:ESGI"", ""low52"")"),33.61)</f>
        <v>33.61</v>
      </c>
      <c r="I782" s="9" t="str">
        <f>IFERROR(__xludf.DUMMYFUNCTION("GOOGLEFINANCE(""ASX:ESGI"", ""marketcap"")"),"#N/A")</f>
        <v>#N/A</v>
      </c>
      <c r="J782" s="5"/>
      <c r="K782" s="5"/>
      <c r="L782" s="5"/>
      <c r="M782" s="5"/>
      <c r="N782" s="11" t="s">
        <v>19</v>
      </c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6" t="s">
        <v>1587</v>
      </c>
      <c r="B783" s="6" t="s">
        <v>1588</v>
      </c>
      <c r="C783" s="5" t="s">
        <v>15</v>
      </c>
      <c r="D783" s="7">
        <f>IFERROR(__xludf.DUMMYFUNCTION("GOOGLEFINANCE(""ASX:ESK"", ""price"")"),0.56)</f>
        <v>0.56</v>
      </c>
      <c r="E783" s="8">
        <f>IFERROR(__xludf.DUMMYFUNCTION("GOOGLEFINANCE(""ASX:ESK"", ""closeyest"")"),0.55)</f>
        <v>0.55</v>
      </c>
      <c r="F783" s="5" t="str">
        <f>IFERROR(__xludf.DUMMYFUNCTION("GOOGLEFINANCE(""ASX:ESK"", ""pe"")"),"#N/A")</f>
        <v>#N/A</v>
      </c>
      <c r="G783" s="9">
        <f>IFERROR(__xludf.DUMMYFUNCTION("GOOGLEFINANCE(""ASX:ESK"", ""high52"")"),0.82)</f>
        <v>0.82</v>
      </c>
      <c r="H783" s="9">
        <f>IFERROR(__xludf.DUMMYFUNCTION("GOOGLEFINANCE(""ASX:ESK"", ""low52"")"),0.22)</f>
        <v>0.22</v>
      </c>
      <c r="I783" s="9">
        <f>IFERROR(__xludf.DUMMYFUNCTION("GOOGLEFINANCE(""ASX:ESK"", ""marketcap"")"),7.9248481E7)</f>
        <v>79248481</v>
      </c>
      <c r="J783" s="5"/>
      <c r="K783" s="5"/>
      <c r="L783" s="5"/>
      <c r="M783" s="5"/>
      <c r="N783" s="11" t="s">
        <v>19</v>
      </c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6" t="s">
        <v>1589</v>
      </c>
      <c r="B784" s="6" t="s">
        <v>1590</v>
      </c>
      <c r="C784" s="5" t="s">
        <v>36</v>
      </c>
      <c r="D784" s="7">
        <f>IFERROR(__xludf.DUMMYFUNCTION("GOOGLEFINANCE(""ASX:ESPO"", ""price"")"),18.62)</f>
        <v>18.62</v>
      </c>
      <c r="E784" s="8">
        <f>IFERROR(__xludf.DUMMYFUNCTION("GOOGLEFINANCE(""ASX:ESPO"", ""closeyest"")"),19.06)</f>
        <v>19.06</v>
      </c>
      <c r="F784" s="5" t="str">
        <f>IFERROR(__xludf.DUMMYFUNCTION("GOOGLEFINANCE(""ASX:ESPO"", ""pe"")"),"#N/A")</f>
        <v>#N/A</v>
      </c>
      <c r="G784" s="9">
        <f>IFERROR(__xludf.DUMMYFUNCTION("GOOGLEFINANCE(""ASX:ESPO"", ""high52"")"),22.35)</f>
        <v>22.35</v>
      </c>
      <c r="H784" s="9">
        <f>IFERROR(__xludf.DUMMYFUNCTION("GOOGLEFINANCE(""ASX:ESPO"", ""low52"")"),15.89)</f>
        <v>15.89</v>
      </c>
      <c r="I784" s="9" t="str">
        <f>IFERROR(__xludf.DUMMYFUNCTION("GOOGLEFINANCE(""ASX:ESPO"", ""marketcap"")"),"#N/A")</f>
        <v>#N/A</v>
      </c>
      <c r="J784" s="5"/>
      <c r="K784" s="5"/>
      <c r="L784" s="5"/>
      <c r="M784" s="5"/>
      <c r="N784" s="11" t="s">
        <v>19</v>
      </c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6" t="s">
        <v>1591</v>
      </c>
      <c r="B785" s="6" t="s">
        <v>1592</v>
      </c>
      <c r="C785" s="5" t="s">
        <v>39</v>
      </c>
      <c r="D785" s="7">
        <f>IFERROR(__xludf.DUMMYFUNCTION("GOOGLEFINANCE(""ASX:ESR"", ""price"")"),0.03)</f>
        <v>0.03</v>
      </c>
      <c r="E785" s="8">
        <f>IFERROR(__xludf.DUMMYFUNCTION("GOOGLEFINANCE(""ASX:ESR"", ""closeyest"")"),0.03)</f>
        <v>0.03</v>
      </c>
      <c r="F785" s="5" t="str">
        <f>IFERROR(__xludf.DUMMYFUNCTION("GOOGLEFINANCE(""ASX:ESR"", ""pe"")"),"#N/A")</f>
        <v>#N/A</v>
      </c>
      <c r="G785" s="9">
        <f>IFERROR(__xludf.DUMMYFUNCTION("GOOGLEFINANCE(""ASX:ESR"", ""high52"")"),0.06)</f>
        <v>0.06</v>
      </c>
      <c r="H785" s="9">
        <f>IFERROR(__xludf.DUMMYFUNCTION("GOOGLEFINANCE(""ASX:ESR"", ""low52"")"),0.02)</f>
        <v>0.02</v>
      </c>
      <c r="I785" s="9">
        <f>IFERROR(__xludf.DUMMYFUNCTION("GOOGLEFINANCE(""ASX:ESR"", ""marketcap"")"),7.5277347E7)</f>
        <v>75277347</v>
      </c>
      <c r="J785" s="5"/>
      <c r="K785" s="5"/>
      <c r="L785" s="5"/>
      <c r="M785" s="5"/>
      <c r="N785" s="11" t="s">
        <v>19</v>
      </c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6" t="s">
        <v>1593</v>
      </c>
      <c r="B786" s="6" t="s">
        <v>1594</v>
      </c>
      <c r="C786" s="5" t="s">
        <v>36</v>
      </c>
      <c r="D786" s="7">
        <f>IFERROR(__xludf.DUMMYFUNCTION("GOOGLEFINANCE(""ASX:ESTX"", ""price"")"),112.88)</f>
        <v>112.88</v>
      </c>
      <c r="E786" s="8">
        <f>IFERROR(__xludf.DUMMYFUNCTION("GOOGLEFINANCE(""ASX:ESTX"", ""closeyest"")"),113.9)</f>
        <v>113.9</v>
      </c>
      <c r="F786" s="5" t="str">
        <f>IFERROR(__xludf.DUMMYFUNCTION("GOOGLEFINANCE(""ASX:ESTX"", ""pe"")"),"#N/A")</f>
        <v>#N/A</v>
      </c>
      <c r="G786" s="9">
        <f>IFERROR(__xludf.DUMMYFUNCTION("GOOGLEFINANCE(""ASX:ESTX"", ""high52"")"),115.5)</f>
        <v>115.5</v>
      </c>
      <c r="H786" s="9">
        <f>IFERROR(__xludf.DUMMYFUNCTION("GOOGLEFINANCE(""ASX:ESTX"", ""low52"")"),90.28)</f>
        <v>90.28</v>
      </c>
      <c r="I786" s="9" t="str">
        <f>IFERROR(__xludf.DUMMYFUNCTION("GOOGLEFINANCE(""ASX:ESTX"", ""marketcap"")"),"#N/A")</f>
        <v>#N/A</v>
      </c>
      <c r="J786" s="5"/>
      <c r="K786" s="5"/>
      <c r="L786" s="5"/>
      <c r="M786" s="5"/>
      <c r="N786" s="11" t="s">
        <v>19</v>
      </c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6" t="s">
        <v>1595</v>
      </c>
      <c r="B787" s="6" t="s">
        <v>1596</v>
      </c>
      <c r="C787" s="5" t="s">
        <v>36</v>
      </c>
      <c r="D787" s="7">
        <f>IFERROR(__xludf.DUMMYFUNCTION("GOOGLEFINANCE(""ASX:ETHI"", ""price"")"),16.47)</f>
        <v>16.47</v>
      </c>
      <c r="E787" s="8">
        <f>IFERROR(__xludf.DUMMYFUNCTION("GOOGLEFINANCE(""ASX:ETHI"", ""closeyest"")"),16.46)</f>
        <v>16.46</v>
      </c>
      <c r="F787" s="5" t="str">
        <f>IFERROR(__xludf.DUMMYFUNCTION("GOOGLEFINANCE(""ASX:ETHI"", ""pe"")"),"#N/A")</f>
        <v>#N/A</v>
      </c>
      <c r="G787" s="9">
        <f>IFERROR(__xludf.DUMMYFUNCTION("GOOGLEFINANCE(""ASX:ETHI"", ""high52"")"),16.98)</f>
        <v>16.98</v>
      </c>
      <c r="H787" s="9">
        <f>IFERROR(__xludf.DUMMYFUNCTION("GOOGLEFINANCE(""ASX:ETHI"", ""low52"")"),14.0)</f>
        <v>14</v>
      </c>
      <c r="I787" s="9" t="str">
        <f>IFERROR(__xludf.DUMMYFUNCTION("GOOGLEFINANCE(""ASX:ETHI"", ""marketcap"")"),"#N/A")</f>
        <v>#N/A</v>
      </c>
      <c r="J787" s="5"/>
      <c r="K787" s="5"/>
      <c r="L787" s="5"/>
      <c r="M787" s="5"/>
      <c r="N787" s="11" t="s">
        <v>19</v>
      </c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6" t="s">
        <v>1597</v>
      </c>
      <c r="B788" s="6" t="s">
        <v>1598</v>
      </c>
      <c r="C788" s="5" t="s">
        <v>18</v>
      </c>
      <c r="D788" s="7">
        <f>IFERROR(__xludf.DUMMYFUNCTION("GOOGLEFINANCE(""ASX:ETM"", ""price"")"),0.14)</f>
        <v>0.14</v>
      </c>
      <c r="E788" s="8">
        <f>IFERROR(__xludf.DUMMYFUNCTION("GOOGLEFINANCE(""ASX:ETM"", ""closeyest"")"),0.1)</f>
        <v>0.1</v>
      </c>
      <c r="F788" s="5" t="str">
        <f>IFERROR(__xludf.DUMMYFUNCTION("GOOGLEFINANCE(""ASX:ETM"", ""pe"")"),"#N/A")</f>
        <v>#N/A</v>
      </c>
      <c r="G788" s="9">
        <f>IFERROR(__xludf.DUMMYFUNCTION("GOOGLEFINANCE(""ASX:ETM"", ""high52"")"),0.15)</f>
        <v>0.15</v>
      </c>
      <c r="H788" s="9">
        <f>IFERROR(__xludf.DUMMYFUNCTION("GOOGLEFINANCE(""ASX:ETM"", ""low52"")"),0.04)</f>
        <v>0.04</v>
      </c>
      <c r="I788" s="9">
        <f>IFERROR(__xludf.DUMMYFUNCTION("GOOGLEFINANCE(""ASX:ETM"", ""marketcap"")"),2.74296347E8)</f>
        <v>274296347</v>
      </c>
      <c r="J788" s="9">
        <v>4.86</v>
      </c>
      <c r="K788" s="9">
        <v>4.95</v>
      </c>
      <c r="L788" s="9">
        <v>5.3</v>
      </c>
      <c r="M788" s="9">
        <v>4.56</v>
      </c>
      <c r="N788" s="11" t="s">
        <v>19</v>
      </c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6" t="s">
        <v>1599</v>
      </c>
      <c r="B789" s="6" t="s">
        <v>1600</v>
      </c>
      <c r="C789" s="5" t="s">
        <v>1601</v>
      </c>
      <c r="D789" s="7" t="str">
        <f>IFERROR(__xludf.DUMMYFUNCTION("GOOGLEFINANCE(""ASX:ETPMAG"", ""price"")"),"#N/A")</f>
        <v>#N/A</v>
      </c>
      <c r="E789" s="8" t="str">
        <f>IFERROR(__xludf.DUMMYFUNCTION("GOOGLEFINANCE(""ASX:ETPMAG"", ""closeyest"")"),"#N/A")</f>
        <v>#N/A</v>
      </c>
      <c r="F789" s="5" t="str">
        <f>IFERROR(__xludf.DUMMYFUNCTION("GOOGLEFINANCE(""ASX:ETPMAG"", ""pe"")"),"#N/A")</f>
        <v>#N/A</v>
      </c>
      <c r="G789" s="5" t="str">
        <f>IFERROR(__xludf.DUMMYFUNCTION("GOOGLEFINANCE(""ASX:ETPMAG"", ""high52"")"),"#N/A")</f>
        <v>#N/A</v>
      </c>
      <c r="H789" s="5" t="str">
        <f>IFERROR(__xludf.DUMMYFUNCTION("GOOGLEFINANCE(""ASX:ETPMAG"", ""low52"")"),"#N/A")</f>
        <v>#N/A</v>
      </c>
      <c r="I789" s="9" t="str">
        <f>IFERROR(__xludf.DUMMYFUNCTION("GOOGLEFINANCE(""ASX:ETPMAG"", ""marketcap"")"),"#N/A")</f>
        <v>#N/A</v>
      </c>
      <c r="J789" s="16" t="s">
        <v>421</v>
      </c>
      <c r="K789" s="5"/>
      <c r="L789" s="12">
        <v>115.0</v>
      </c>
      <c r="M789" s="12">
        <v>0.0</v>
      </c>
      <c r="N789" s="11" t="s">
        <v>19</v>
      </c>
      <c r="O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6" t="s">
        <v>1602</v>
      </c>
      <c r="B790" s="6" t="s">
        <v>1603</v>
      </c>
      <c r="C790" s="5" t="s">
        <v>1601</v>
      </c>
      <c r="D790" s="7" t="str">
        <f>IFERROR(__xludf.DUMMYFUNCTION("GOOGLEFINANCE(""ASX:ETPMPD"", ""price"")"),"#N/A")</f>
        <v>#N/A</v>
      </c>
      <c r="E790" s="8" t="str">
        <f>IFERROR(__xludf.DUMMYFUNCTION("GOOGLEFINANCE(""ASX:ETPMPD"", ""closeyest"")"),"#N/A")</f>
        <v>#N/A</v>
      </c>
      <c r="F790" s="5" t="str">
        <f>IFERROR(__xludf.DUMMYFUNCTION("GOOGLEFINANCE(""ASX:ETPMPD"", ""pe"")"),"#N/A")</f>
        <v>#N/A</v>
      </c>
      <c r="G790" s="5" t="str">
        <f>IFERROR(__xludf.DUMMYFUNCTION("GOOGLEFINANCE(""ASX:ETPMPD"", ""high52"")"),"#N/A")</f>
        <v>#N/A</v>
      </c>
      <c r="H790" s="5" t="str">
        <f>IFERROR(__xludf.DUMMYFUNCTION("GOOGLEFINANCE(""ASX:ETPMPD"", ""low52"")"),"#N/A")</f>
        <v>#N/A</v>
      </c>
      <c r="I790" s="9" t="str">
        <f>IFERROR(__xludf.DUMMYFUNCTION("GOOGLEFINANCE(""ASX:ETPMPD"", ""marketcap"")"),"#N/A")</f>
        <v>#N/A</v>
      </c>
      <c r="J790" s="16" t="s">
        <v>421</v>
      </c>
      <c r="K790" s="5"/>
      <c r="L790" s="12">
        <v>275.0</v>
      </c>
      <c r="M790" s="12">
        <v>0.0</v>
      </c>
      <c r="N790" s="11" t="s">
        <v>19</v>
      </c>
      <c r="O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6" t="s">
        <v>1604</v>
      </c>
      <c r="B791" s="6" t="s">
        <v>1605</v>
      </c>
      <c r="C791" s="5" t="s">
        <v>1601</v>
      </c>
      <c r="D791" s="7" t="str">
        <f>IFERROR(__xludf.DUMMYFUNCTION("GOOGLEFINANCE(""ASX:ETPMPM"", ""price"")"),"#N/A")</f>
        <v>#N/A</v>
      </c>
      <c r="E791" s="8" t="str">
        <f>IFERROR(__xludf.DUMMYFUNCTION("GOOGLEFINANCE(""ASX:ETPMPM"", ""closeyest"")"),"#N/A")</f>
        <v>#N/A</v>
      </c>
      <c r="F791" s="5" t="str">
        <f>IFERROR(__xludf.DUMMYFUNCTION("GOOGLEFINANCE(""ASX:ETPMPM"", ""pe"")"),"#N/A")</f>
        <v>#N/A</v>
      </c>
      <c r="G791" s="5" t="str">
        <f>IFERROR(__xludf.DUMMYFUNCTION("GOOGLEFINANCE(""ASX:ETPMPM"", ""high52"")"),"#N/A")</f>
        <v>#N/A</v>
      </c>
      <c r="H791" s="5" t="str">
        <f>IFERROR(__xludf.DUMMYFUNCTION("GOOGLEFINANCE(""ASX:ETPMPM"", ""low52"")"),"#N/A")</f>
        <v>#N/A</v>
      </c>
      <c r="I791" s="9" t="str">
        <f>IFERROR(__xludf.DUMMYFUNCTION("GOOGLEFINANCE(""ASX:ETPMPM"", ""marketcap"")"),"#N/A")</f>
        <v>#N/A</v>
      </c>
      <c r="J791" s="16" t="s">
        <v>421</v>
      </c>
      <c r="K791" s="5"/>
      <c r="L791" s="12">
        <v>481.71</v>
      </c>
      <c r="M791" s="12">
        <v>0.0</v>
      </c>
      <c r="N791" s="11" t="s">
        <v>19</v>
      </c>
      <c r="O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6" t="s">
        <v>1606</v>
      </c>
      <c r="B792" s="6" t="s">
        <v>1607</v>
      </c>
      <c r="C792" s="5" t="s">
        <v>1601</v>
      </c>
      <c r="D792" s="7" t="str">
        <f>IFERROR(__xludf.DUMMYFUNCTION("GOOGLEFINANCE(""ASX:ETPMPT"", ""price"")"),"#N/A")</f>
        <v>#N/A</v>
      </c>
      <c r="E792" s="8" t="str">
        <f>IFERROR(__xludf.DUMMYFUNCTION("GOOGLEFINANCE(""ASX:ETPMPT"", ""closeyest"")"),"#N/A")</f>
        <v>#N/A</v>
      </c>
      <c r="F792" s="5" t="str">
        <f>IFERROR(__xludf.DUMMYFUNCTION("GOOGLEFINANCE(""ASX:ETPMPT"", ""pe"")"),"#N/A")</f>
        <v>#N/A</v>
      </c>
      <c r="G792" s="5" t="str">
        <f>IFERROR(__xludf.DUMMYFUNCTION("GOOGLEFINANCE(""ASX:ETPMPT"", ""high52"")"),"#N/A")</f>
        <v>#N/A</v>
      </c>
      <c r="H792" s="5" t="str">
        <f>IFERROR(__xludf.DUMMYFUNCTION("GOOGLEFINANCE(""ASX:ETPMPT"", ""low52"")"),"#N/A")</f>
        <v>#N/A</v>
      </c>
      <c r="I792" s="9" t="str">
        <f>IFERROR(__xludf.DUMMYFUNCTION("GOOGLEFINANCE(""ASX:ETPMPT"", ""marketcap"")"),"#N/A")</f>
        <v>#N/A</v>
      </c>
      <c r="J792" s="16" t="s">
        <v>421</v>
      </c>
      <c r="K792" s="5"/>
      <c r="L792" s="12">
        <v>355.0</v>
      </c>
      <c r="M792" s="12">
        <v>0.0</v>
      </c>
      <c r="N792" s="11" t="s">
        <v>19</v>
      </c>
      <c r="O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6" t="s">
        <v>1608</v>
      </c>
      <c r="B793" s="6" t="s">
        <v>1609</v>
      </c>
      <c r="C793" s="5" t="s">
        <v>39</v>
      </c>
      <c r="D793" s="7">
        <f>IFERROR(__xludf.DUMMYFUNCTION("GOOGLEFINANCE(""ASX:EUR"", ""price"")"),0.24)</f>
        <v>0.24</v>
      </c>
      <c r="E793" s="8">
        <f>IFERROR(__xludf.DUMMYFUNCTION("GOOGLEFINANCE(""ASX:EUR"", ""closeyest"")"),0.18)</f>
        <v>0.18</v>
      </c>
      <c r="F793" s="5" t="str">
        <f>IFERROR(__xludf.DUMMYFUNCTION("GOOGLEFINANCE(""ASX:EUR"", ""pe"")"),"#N/A")</f>
        <v>#N/A</v>
      </c>
      <c r="G793" s="9">
        <f>IFERROR(__xludf.DUMMYFUNCTION("GOOGLEFINANCE(""ASX:EUR"", ""high52"")"),0.49)</f>
        <v>0.49</v>
      </c>
      <c r="H793" s="9">
        <f>IFERROR(__xludf.DUMMYFUNCTION("GOOGLEFINANCE(""ASX:EUR"", ""low52"")"),0.03)</f>
        <v>0.03</v>
      </c>
      <c r="I793" s="9">
        <f>IFERROR(__xludf.DUMMYFUNCTION("GOOGLEFINANCE(""ASX:EUR"", ""marketcap"")"),4.03459983E8)</f>
        <v>403459983</v>
      </c>
      <c r="J793" s="9">
        <v>38.95</v>
      </c>
      <c r="K793" s="9">
        <v>39.3</v>
      </c>
      <c r="L793" s="9">
        <v>45.21</v>
      </c>
      <c r="M793" s="9">
        <v>29.15</v>
      </c>
      <c r="N793" s="11" t="s">
        <v>19</v>
      </c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6" t="s">
        <v>1610</v>
      </c>
      <c r="B794" s="6" t="s">
        <v>1611</v>
      </c>
      <c r="C794" s="5" t="s">
        <v>39</v>
      </c>
      <c r="D794" s="7">
        <f>IFERROR(__xludf.DUMMYFUNCTION("GOOGLEFINANCE(""ASX:EV1"", ""price"")"),0.01)</f>
        <v>0.01</v>
      </c>
      <c r="E794" s="8">
        <f>IFERROR(__xludf.DUMMYFUNCTION("GOOGLEFINANCE(""ASX:EV1"", ""closeyest"")"),0.01)</f>
        <v>0.01</v>
      </c>
      <c r="F794" s="5" t="str">
        <f>IFERROR(__xludf.DUMMYFUNCTION("GOOGLEFINANCE(""ASX:EV1"", ""pe"")"),"#N/A")</f>
        <v>#N/A</v>
      </c>
      <c r="G794" s="9">
        <f>IFERROR(__xludf.DUMMYFUNCTION("GOOGLEFINANCE(""ASX:EV1"", ""high52"")"),0.02)</f>
        <v>0.02</v>
      </c>
      <c r="H794" s="9">
        <f>IFERROR(__xludf.DUMMYFUNCTION("GOOGLEFINANCE(""ASX:EV1"", ""low52"")"),0.01)</f>
        <v>0.01</v>
      </c>
      <c r="I794" s="9">
        <f>IFERROR(__xludf.DUMMYFUNCTION("GOOGLEFINANCE(""ASX:EV1"", ""marketcap"")"),5914820.0)</f>
        <v>5914820</v>
      </c>
      <c r="J794" s="5"/>
      <c r="K794" s="5"/>
      <c r="L794" s="5"/>
      <c r="M794" s="5"/>
      <c r="N794" s="11" t="s">
        <v>19</v>
      </c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6" t="s">
        <v>1612</v>
      </c>
      <c r="B795" s="6" t="s">
        <v>1613</v>
      </c>
      <c r="C795" s="5" t="s">
        <v>39</v>
      </c>
      <c r="D795" s="7">
        <f>IFERROR(__xludf.DUMMYFUNCTION("GOOGLEFINANCE(""ASX:EV8"", ""price"")"),0.4)</f>
        <v>0.4</v>
      </c>
      <c r="E795" s="8">
        <f>IFERROR(__xludf.DUMMYFUNCTION("GOOGLEFINANCE(""ASX:EV8"", ""closeyest"")"),0.41)</f>
        <v>0.41</v>
      </c>
      <c r="F795" s="5" t="str">
        <f>IFERROR(__xludf.DUMMYFUNCTION("GOOGLEFINANCE(""ASX:EV8"", ""pe"")"),"#N/A")</f>
        <v>#N/A</v>
      </c>
      <c r="G795" s="9">
        <f>IFERROR(__xludf.DUMMYFUNCTION("GOOGLEFINANCE(""ASX:EV8"", ""high52"")"),0.73)</f>
        <v>0.73</v>
      </c>
      <c r="H795" s="9">
        <f>IFERROR(__xludf.DUMMYFUNCTION("GOOGLEFINANCE(""ASX:EV8"", ""low52"")"),0.25)</f>
        <v>0.25</v>
      </c>
      <c r="I795" s="9">
        <f>IFERROR(__xludf.DUMMYFUNCTION("GOOGLEFINANCE(""ASX:EV8"", ""marketcap"")"),2.0680869E7)</f>
        <v>20680869</v>
      </c>
      <c r="J795" s="5"/>
      <c r="K795" s="5"/>
      <c r="L795" s="5"/>
      <c r="M795" s="5"/>
      <c r="N795" s="11" t="s">
        <v>19</v>
      </c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6" t="s">
        <v>1614</v>
      </c>
      <c r="B796" s="6" t="s">
        <v>1615</v>
      </c>
      <c r="C796" s="5" t="s">
        <v>399</v>
      </c>
      <c r="D796" s="7">
        <f>IFERROR(__xludf.DUMMYFUNCTION("GOOGLEFINANCE(""ASX:EVE"", ""price"")"),0.02)</f>
        <v>0.02</v>
      </c>
      <c r="E796" s="8">
        <f>IFERROR(__xludf.DUMMYFUNCTION("GOOGLEFINANCE(""ASX:EVE"", ""closeyest"")"),0.02)</f>
        <v>0.02</v>
      </c>
      <c r="F796" s="5" t="str">
        <f>IFERROR(__xludf.DUMMYFUNCTION("GOOGLEFINANCE(""ASX:EVE"", ""pe"")"),"#N/A")</f>
        <v>#N/A</v>
      </c>
      <c r="G796" s="9">
        <f>IFERROR(__xludf.DUMMYFUNCTION("GOOGLEFINANCE(""ASX:EVE"", ""high52"")"),0.04)</f>
        <v>0.04</v>
      </c>
      <c r="H796" s="9">
        <f>IFERROR(__xludf.DUMMYFUNCTION("GOOGLEFINANCE(""ASX:EVE"", ""low52"")"),0.02)</f>
        <v>0.02</v>
      </c>
      <c r="I796" s="9">
        <f>IFERROR(__xludf.DUMMYFUNCTION("GOOGLEFINANCE(""ASX:EVE"", ""marketcap"")"),7207375.0)</f>
        <v>7207375</v>
      </c>
      <c r="J796" s="5"/>
      <c r="K796" s="5"/>
      <c r="L796" s="5"/>
      <c r="M796" s="5"/>
      <c r="N796" s="11" t="s">
        <v>19</v>
      </c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6" t="s">
        <v>1616</v>
      </c>
      <c r="B797" s="6" t="s">
        <v>1617</v>
      </c>
      <c r="C797" s="5" t="s">
        <v>39</v>
      </c>
      <c r="D797" s="7">
        <f>IFERROR(__xludf.DUMMYFUNCTION("GOOGLEFINANCE(""ASX:EVG"", ""price"")"),0.03)</f>
        <v>0.03</v>
      </c>
      <c r="E797" s="8">
        <f>IFERROR(__xludf.DUMMYFUNCTION("GOOGLEFINANCE(""ASX:EVG"", ""closeyest"")"),0.03)</f>
        <v>0.03</v>
      </c>
      <c r="F797" s="5" t="str">
        <f>IFERROR(__xludf.DUMMYFUNCTION("GOOGLEFINANCE(""ASX:EVG"", ""pe"")"),"#N/A")</f>
        <v>#N/A</v>
      </c>
      <c r="G797" s="9">
        <f>IFERROR(__xludf.DUMMYFUNCTION("GOOGLEFINANCE(""ASX:EVG"", ""high52"")"),0.05)</f>
        <v>0.05</v>
      </c>
      <c r="H797" s="9">
        <f>IFERROR(__xludf.DUMMYFUNCTION("GOOGLEFINANCE(""ASX:EVG"", ""low52"")"),0.02)</f>
        <v>0.02</v>
      </c>
      <c r="I797" s="9">
        <f>IFERROR(__xludf.DUMMYFUNCTION("GOOGLEFINANCE(""ASX:EVG"", ""marketcap"")"),1.9720522E7)</f>
        <v>19720522</v>
      </c>
      <c r="J797" s="5"/>
      <c r="K797" s="5"/>
      <c r="L797" s="5"/>
      <c r="M797" s="5"/>
      <c r="N797" s="11" t="s">
        <v>19</v>
      </c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6" t="s">
        <v>1618</v>
      </c>
      <c r="B798" s="6" t="s">
        <v>1619</v>
      </c>
      <c r="C798" s="5" t="s">
        <v>88</v>
      </c>
      <c r="D798" s="7">
        <f>IFERROR(__xludf.DUMMYFUNCTION("GOOGLEFINANCE(""ASX:EVN"", ""price"")"),12.99)</f>
        <v>12.99</v>
      </c>
      <c r="E798" s="8">
        <f>IFERROR(__xludf.DUMMYFUNCTION("GOOGLEFINANCE(""ASX:EVN"", ""closeyest"")"),12.82)</f>
        <v>12.82</v>
      </c>
      <c r="F798" s="9">
        <f>IFERROR(__xludf.DUMMYFUNCTION("GOOGLEFINANCE(""ASX:EVN"", ""pe"")"),27.99)</f>
        <v>27.99</v>
      </c>
      <c r="G798" s="9">
        <f>IFERROR(__xludf.DUMMYFUNCTION("GOOGLEFINANCE(""ASX:EVN"", ""high52"")"),13.3)</f>
        <v>13.3</v>
      </c>
      <c r="H798" s="9">
        <f>IFERROR(__xludf.DUMMYFUNCTION("GOOGLEFINANCE(""ASX:EVN"", ""low52"")"),4.86)</f>
        <v>4.86</v>
      </c>
      <c r="I798" s="9">
        <f>IFERROR(__xludf.DUMMYFUNCTION("GOOGLEFINANCE(""ASX:EVN"", ""marketcap"")"),2.6377766325E10)</f>
        <v>26377766325</v>
      </c>
      <c r="J798" s="5"/>
      <c r="K798" s="5"/>
      <c r="L798" s="5"/>
      <c r="M798" s="5"/>
      <c r="N798" s="10">
        <v>27.32</v>
      </c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6" t="s">
        <v>1620</v>
      </c>
      <c r="B799" s="6" t="s">
        <v>1621</v>
      </c>
      <c r="C799" s="5" t="s">
        <v>246</v>
      </c>
      <c r="D799" s="7">
        <f>IFERROR(__xludf.DUMMYFUNCTION("GOOGLEFINANCE(""ASX:EVO"", ""price"")"),0.66)</f>
        <v>0.66</v>
      </c>
      <c r="E799" s="8">
        <f>IFERROR(__xludf.DUMMYFUNCTION("GOOGLEFINANCE(""ASX:EVO"", ""closeyest"")"),0.67)</f>
        <v>0.67</v>
      </c>
      <c r="F799" s="9">
        <f>IFERROR(__xludf.DUMMYFUNCTION("GOOGLEFINANCE(""ASX:EVO"", ""pe"")"),10.39)</f>
        <v>10.39</v>
      </c>
      <c r="G799" s="9">
        <f>IFERROR(__xludf.DUMMYFUNCTION("GOOGLEFINANCE(""ASX:EVO"", ""high52"")"),0.8)</f>
        <v>0.8</v>
      </c>
      <c r="H799" s="9">
        <f>IFERROR(__xludf.DUMMYFUNCTION("GOOGLEFINANCE(""ASX:EVO"", ""low52"")"),0.61)</f>
        <v>0.61</v>
      </c>
      <c r="I799" s="9">
        <f>IFERROR(__xludf.DUMMYFUNCTION("GOOGLEFINANCE(""ASX:EVO"", ""marketcap"")"),1.32270956E8)</f>
        <v>132270956</v>
      </c>
      <c r="J799" s="9">
        <v>50.47</v>
      </c>
      <c r="K799" s="9">
        <v>50.47</v>
      </c>
      <c r="L799" s="9">
        <v>51.53</v>
      </c>
      <c r="M799" s="9">
        <v>50.14</v>
      </c>
      <c r="N799" s="10">
        <v>10.31</v>
      </c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6" t="s">
        <v>1622</v>
      </c>
      <c r="B800" s="6" t="s">
        <v>1623</v>
      </c>
      <c r="C800" s="5" t="s">
        <v>450</v>
      </c>
      <c r="D800" s="7">
        <f>IFERROR(__xludf.DUMMYFUNCTION("GOOGLEFINANCE(""ASX:EVR"", ""price"")"),0.01)</f>
        <v>0.01</v>
      </c>
      <c r="E800" s="8">
        <f>IFERROR(__xludf.DUMMYFUNCTION("GOOGLEFINANCE(""ASX:EVR"", ""closeyest"")"),0.01)</f>
        <v>0.01</v>
      </c>
      <c r="F800" s="5" t="str">
        <f>IFERROR(__xludf.DUMMYFUNCTION("GOOGLEFINANCE(""ASX:EVR"", ""pe"")"),"#N/A")</f>
        <v>#N/A</v>
      </c>
      <c r="G800" s="9">
        <f>IFERROR(__xludf.DUMMYFUNCTION("GOOGLEFINANCE(""ASX:EVR"", ""high52"")"),0.02)</f>
        <v>0.02</v>
      </c>
      <c r="H800" s="9">
        <f>IFERROR(__xludf.DUMMYFUNCTION("GOOGLEFINANCE(""ASX:EVR"", ""low52"")"),0.0)</f>
        <v>0</v>
      </c>
      <c r="I800" s="9">
        <f>IFERROR(__xludf.DUMMYFUNCTION("GOOGLEFINANCE(""ASX:EVR"", ""marketcap"")"),2.0672024E7)</f>
        <v>20672024</v>
      </c>
      <c r="J800" s="5"/>
      <c r="K800" s="5"/>
      <c r="L800" s="5"/>
      <c r="M800" s="5"/>
      <c r="N800" s="11" t="s">
        <v>19</v>
      </c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6" t="s">
        <v>1624</v>
      </c>
      <c r="B801" s="6" t="s">
        <v>1625</v>
      </c>
      <c r="C801" s="5" t="s">
        <v>670</v>
      </c>
      <c r="D801" s="7">
        <f>IFERROR(__xludf.DUMMYFUNCTION("GOOGLEFINANCE(""ASX:EVT"", ""price"")"),12.58)</f>
        <v>12.58</v>
      </c>
      <c r="E801" s="8">
        <f>IFERROR(__xludf.DUMMYFUNCTION("GOOGLEFINANCE(""ASX:EVT"", ""closeyest"")"),12.44)</f>
        <v>12.44</v>
      </c>
      <c r="F801" s="9">
        <f>IFERROR(__xludf.DUMMYFUNCTION("GOOGLEFINANCE(""ASX:EVT"", ""pe"")"),61.88)</f>
        <v>61.88</v>
      </c>
      <c r="G801" s="9">
        <f>IFERROR(__xludf.DUMMYFUNCTION("GOOGLEFINANCE(""ASX:EVT"", ""high52"")"),17.99)</f>
        <v>17.99</v>
      </c>
      <c r="H801" s="9">
        <f>IFERROR(__xludf.DUMMYFUNCTION("GOOGLEFINANCE(""ASX:EVT"", ""low52"")"),10.94)</f>
        <v>10.94</v>
      </c>
      <c r="I801" s="9">
        <f>IFERROR(__xludf.DUMMYFUNCTION("GOOGLEFINANCE(""ASX:EVT"", ""marketcap"")"),2.044531779E9)</f>
        <v>2044531779</v>
      </c>
      <c r="J801" s="5"/>
      <c r="K801" s="5"/>
      <c r="L801" s="5"/>
      <c r="M801" s="5"/>
      <c r="N801" s="10">
        <v>61.83</v>
      </c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6" t="s">
        <v>1626</v>
      </c>
      <c r="B802" s="6" t="s">
        <v>1627</v>
      </c>
      <c r="C802" s="5" t="s">
        <v>123</v>
      </c>
      <c r="D802" s="7">
        <f>IFERROR(__xludf.DUMMYFUNCTION("GOOGLEFINANCE(""ASX:EVZ"", ""price"")"),0.23)</f>
        <v>0.23</v>
      </c>
      <c r="E802" s="8">
        <f>IFERROR(__xludf.DUMMYFUNCTION("GOOGLEFINANCE(""ASX:EVZ"", ""closeyest"")"),0.23)</f>
        <v>0.23</v>
      </c>
      <c r="F802" s="9">
        <f>IFERROR(__xludf.DUMMYFUNCTION("GOOGLEFINANCE(""ASX:EVZ"", ""pe"")"),23.03)</f>
        <v>23.03</v>
      </c>
      <c r="G802" s="9">
        <f>IFERROR(__xludf.DUMMYFUNCTION("GOOGLEFINANCE(""ASX:EVZ"", ""high52"")"),0.24)</f>
        <v>0.24</v>
      </c>
      <c r="H802" s="9">
        <f>IFERROR(__xludf.DUMMYFUNCTION("GOOGLEFINANCE(""ASX:EVZ"", ""low52"")"),0.13)</f>
        <v>0.13</v>
      </c>
      <c r="I802" s="9">
        <f>IFERROR(__xludf.DUMMYFUNCTION("GOOGLEFINANCE(""ASX:EVZ"", ""marketcap"")"),2.6743859E7)</f>
        <v>26743859</v>
      </c>
      <c r="J802" s="5"/>
      <c r="K802" s="5"/>
      <c r="L802" s="5"/>
      <c r="M802" s="5"/>
      <c r="N802" s="10">
        <v>23.03</v>
      </c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6" t="s">
        <v>1628</v>
      </c>
      <c r="B803" s="6" t="s">
        <v>1629</v>
      </c>
      <c r="C803" s="5" t="s">
        <v>954</v>
      </c>
      <c r="D803" s="7">
        <f>IFERROR(__xludf.DUMMYFUNCTION("GOOGLEFINANCE(""ASX:EWC"", ""price"")"),0.05)</f>
        <v>0.05</v>
      </c>
      <c r="E803" s="8">
        <f>IFERROR(__xludf.DUMMYFUNCTION("GOOGLEFINANCE(""ASX:EWC"", ""closeyest"")"),0.04)</f>
        <v>0.04</v>
      </c>
      <c r="F803" s="9">
        <f>IFERROR(__xludf.DUMMYFUNCTION("GOOGLEFINANCE(""ASX:EWC"", ""pe"")"),0.28)</f>
        <v>0.28</v>
      </c>
      <c r="G803" s="9">
        <f>IFERROR(__xludf.DUMMYFUNCTION("GOOGLEFINANCE(""ASX:EWC"", ""high52"")"),0.1)</f>
        <v>0.1</v>
      </c>
      <c r="H803" s="9">
        <f>IFERROR(__xludf.DUMMYFUNCTION("GOOGLEFINANCE(""ASX:EWC"", ""low52"")"),0.01)</f>
        <v>0.01</v>
      </c>
      <c r="I803" s="9">
        <f>IFERROR(__xludf.DUMMYFUNCTION("GOOGLEFINANCE(""ASX:EWC"", ""marketcap"")"),1.99682497E8)</f>
        <v>199682497</v>
      </c>
      <c r="J803" s="5"/>
      <c r="K803" s="5"/>
      <c r="L803" s="5"/>
      <c r="M803" s="5"/>
      <c r="N803" s="10">
        <v>0.32</v>
      </c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6" t="s">
        <v>1630</v>
      </c>
      <c r="B804" s="6" t="s">
        <v>1631</v>
      </c>
      <c r="C804" s="5" t="s">
        <v>36</v>
      </c>
      <c r="D804" s="7">
        <f>IFERROR(__xludf.DUMMYFUNCTION("GOOGLEFINANCE(""ASX:EX20"", ""price"")"),23.87)</f>
        <v>23.87</v>
      </c>
      <c r="E804" s="8">
        <f>IFERROR(__xludf.DUMMYFUNCTION("GOOGLEFINANCE(""ASX:EX20"", ""closeyest"")"),23.63)</f>
        <v>23.63</v>
      </c>
      <c r="F804" s="5" t="str">
        <f>IFERROR(__xludf.DUMMYFUNCTION("GOOGLEFINANCE(""ASX:EX20"", ""pe"")"),"#N/A")</f>
        <v>#N/A</v>
      </c>
      <c r="G804" s="9">
        <f>IFERROR(__xludf.DUMMYFUNCTION("GOOGLEFINANCE(""ASX:EX20"", ""high52"")"),24.97)</f>
        <v>24.97</v>
      </c>
      <c r="H804" s="9">
        <f>IFERROR(__xludf.DUMMYFUNCTION("GOOGLEFINANCE(""ASX:EX20"", ""low52"")"),19.1)</f>
        <v>19.1</v>
      </c>
      <c r="I804" s="9" t="str">
        <f>IFERROR(__xludf.DUMMYFUNCTION("GOOGLEFINANCE(""ASX:EX20"", ""marketcap"")"),"#N/A")</f>
        <v>#N/A</v>
      </c>
      <c r="J804" s="5"/>
      <c r="K804" s="5"/>
      <c r="L804" s="5"/>
      <c r="M804" s="5"/>
      <c r="N804" s="11" t="s">
        <v>19</v>
      </c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6" t="s">
        <v>1632</v>
      </c>
      <c r="B805" s="6" t="s">
        <v>1633</v>
      </c>
      <c r="C805" s="5" t="s">
        <v>399</v>
      </c>
      <c r="D805" s="7">
        <f>IFERROR(__xludf.DUMMYFUNCTION("GOOGLEFINANCE(""ASX:EXL"", ""price"")"),0.01)</f>
        <v>0.01</v>
      </c>
      <c r="E805" s="8">
        <f>IFERROR(__xludf.DUMMYFUNCTION("GOOGLEFINANCE(""ASX:EXL"", ""closeyest"")"),0.01)</f>
        <v>0.01</v>
      </c>
      <c r="F805" s="5" t="str">
        <f>IFERROR(__xludf.DUMMYFUNCTION("GOOGLEFINANCE(""ASX:EXL"", ""pe"")"),"#N/A")</f>
        <v>#N/A</v>
      </c>
      <c r="G805" s="9">
        <f>IFERROR(__xludf.DUMMYFUNCTION("GOOGLEFINANCE(""ASX:EXL"", ""high52"")"),0.04)</f>
        <v>0.04</v>
      </c>
      <c r="H805" s="9">
        <f>IFERROR(__xludf.DUMMYFUNCTION("GOOGLEFINANCE(""ASX:EXL"", ""low52"")"),0.01)</f>
        <v>0.01</v>
      </c>
      <c r="I805" s="9">
        <f>IFERROR(__xludf.DUMMYFUNCTION("GOOGLEFINANCE(""ASX:EXL"", ""marketcap"")"),4471068.0)</f>
        <v>4471068</v>
      </c>
      <c r="J805" s="5"/>
      <c r="K805" s="5"/>
      <c r="L805" s="5"/>
      <c r="M805" s="5"/>
      <c r="N805" s="11" t="s">
        <v>19</v>
      </c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6" t="s">
        <v>1634</v>
      </c>
      <c r="B806" s="6" t="s">
        <v>1635</v>
      </c>
      <c r="C806" s="5" t="s">
        <v>670</v>
      </c>
      <c r="D806" s="7">
        <f>IFERROR(__xludf.DUMMYFUNCTION("GOOGLEFINANCE(""ASX:EXP"", ""price"")"),0.13)</f>
        <v>0.13</v>
      </c>
      <c r="E806" s="8">
        <f>IFERROR(__xludf.DUMMYFUNCTION("GOOGLEFINANCE(""ASX:EXP"", ""closeyest"")"),0.13)</f>
        <v>0.13</v>
      </c>
      <c r="F806" s="5" t="str">
        <f>IFERROR(__xludf.DUMMYFUNCTION("GOOGLEFINANCE(""ASX:EXP"", ""pe"")"),"#N/A")</f>
        <v>#N/A</v>
      </c>
      <c r="G806" s="9">
        <f>IFERROR(__xludf.DUMMYFUNCTION("GOOGLEFINANCE(""ASX:EXP"", ""high52"")"),0.17)</f>
        <v>0.17</v>
      </c>
      <c r="H806" s="9">
        <f>IFERROR(__xludf.DUMMYFUNCTION("GOOGLEFINANCE(""ASX:EXP"", ""low52"")"),0.09)</f>
        <v>0.09</v>
      </c>
      <c r="I806" s="9">
        <f>IFERROR(__xludf.DUMMYFUNCTION("GOOGLEFINANCE(""ASX:EXP"", ""marketcap"")"),9.4508737E7)</f>
        <v>94508737</v>
      </c>
      <c r="J806" s="5"/>
      <c r="K806" s="5"/>
      <c r="L806" s="5"/>
      <c r="M806" s="5"/>
      <c r="N806" s="11" t="s">
        <v>19</v>
      </c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6" t="s">
        <v>1636</v>
      </c>
      <c r="B807" s="6" t="s">
        <v>1637</v>
      </c>
      <c r="C807" s="5" t="s">
        <v>78</v>
      </c>
      <c r="D807" s="7">
        <f>IFERROR(__xludf.DUMMYFUNCTION("GOOGLEFINANCE(""ASX:EXR"", ""price"")"),0.08)</f>
        <v>0.08</v>
      </c>
      <c r="E807" s="8">
        <f>IFERROR(__xludf.DUMMYFUNCTION("GOOGLEFINANCE(""ASX:EXR"", ""closeyest"")"),0.08)</f>
        <v>0.08</v>
      </c>
      <c r="F807" s="5" t="str">
        <f>IFERROR(__xludf.DUMMYFUNCTION("GOOGLEFINANCE(""ASX:EXR"", ""pe"")"),"#N/A")</f>
        <v>#N/A</v>
      </c>
      <c r="G807" s="9">
        <f>IFERROR(__xludf.DUMMYFUNCTION("GOOGLEFINANCE(""ASX:EXR"", ""high52"")"),0.09)</f>
        <v>0.09</v>
      </c>
      <c r="H807" s="9">
        <f>IFERROR(__xludf.DUMMYFUNCTION("GOOGLEFINANCE(""ASX:EXR"", ""low52"")"),0.02)</f>
        <v>0.02</v>
      </c>
      <c r="I807" s="9">
        <f>IFERROR(__xludf.DUMMYFUNCTION("GOOGLEFINANCE(""ASX:EXR"", ""marketcap"")"),1.30232835E8)</f>
        <v>130232835</v>
      </c>
      <c r="J807" s="5"/>
      <c r="K807" s="5"/>
      <c r="L807" s="5"/>
      <c r="M807" s="5"/>
      <c r="N807" s="11" t="s">
        <v>19</v>
      </c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6" t="s">
        <v>1638</v>
      </c>
      <c r="B808" s="6" t="s">
        <v>1639</v>
      </c>
      <c r="C808" s="5" t="s">
        <v>15</v>
      </c>
      <c r="D808" s="7">
        <f>IFERROR(__xludf.DUMMYFUNCTION("GOOGLEFINANCE(""ASX:EXT"", ""price"")"),0.01)</f>
        <v>0.01</v>
      </c>
      <c r="E808" s="8">
        <f>IFERROR(__xludf.DUMMYFUNCTION("GOOGLEFINANCE(""ASX:EXT"", ""closeyest"")"),0.01)</f>
        <v>0.01</v>
      </c>
      <c r="F808" s="5" t="str">
        <f>IFERROR(__xludf.DUMMYFUNCTION("GOOGLEFINANCE(""ASX:EXT"", ""pe"")"),"#N/A")</f>
        <v>#N/A</v>
      </c>
      <c r="G808" s="9">
        <f>IFERROR(__xludf.DUMMYFUNCTION("GOOGLEFINANCE(""ASX:EXT"", ""high52"")"),0.02)</f>
        <v>0.02</v>
      </c>
      <c r="H808" s="9">
        <f>IFERROR(__xludf.DUMMYFUNCTION("GOOGLEFINANCE(""ASX:EXT"", ""low52"")"),0.01)</f>
        <v>0.01</v>
      </c>
      <c r="I808" s="9">
        <f>IFERROR(__xludf.DUMMYFUNCTION("GOOGLEFINANCE(""ASX:EXT"", ""marketcap"")"),1.311101E7)</f>
        <v>13111010</v>
      </c>
      <c r="J808" s="5"/>
      <c r="K808" s="5"/>
      <c r="L808" s="5"/>
      <c r="M808" s="5"/>
      <c r="N808" s="11" t="s">
        <v>19</v>
      </c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6" t="s">
        <v>1640</v>
      </c>
      <c r="B809" s="6" t="s">
        <v>1641</v>
      </c>
      <c r="C809" s="5" t="s">
        <v>36</v>
      </c>
      <c r="D809" s="7">
        <f>IFERROR(__xludf.DUMMYFUNCTION("GOOGLEFINANCE(""ASX:EXUS"", ""price"")"),36.29)</f>
        <v>36.29</v>
      </c>
      <c r="E809" s="8">
        <f>IFERROR(__xludf.DUMMYFUNCTION("GOOGLEFINANCE(""ASX:EXUS"", ""closeyest"")"),36.55)</f>
        <v>36.55</v>
      </c>
      <c r="F809" s="5" t="str">
        <f>IFERROR(__xludf.DUMMYFUNCTION("GOOGLEFINANCE(""ASX:EXUS"", ""pe"")"),"#N/A")</f>
        <v>#N/A</v>
      </c>
      <c r="G809" s="9">
        <f>IFERROR(__xludf.DUMMYFUNCTION("GOOGLEFINANCE(""ASX:EXUS"", ""high52"")"),36.57)</f>
        <v>36.57</v>
      </c>
      <c r="H809" s="9">
        <f>IFERROR(__xludf.DUMMYFUNCTION("GOOGLEFINANCE(""ASX:EXUS"", ""low52"")"),34.5)</f>
        <v>34.5</v>
      </c>
      <c r="I809" s="9" t="str">
        <f>IFERROR(__xludf.DUMMYFUNCTION("GOOGLEFINANCE(""ASX:EXUS"", ""marketcap"")"),"#N/A")</f>
        <v>#N/A</v>
      </c>
      <c r="J809" s="5"/>
      <c r="K809" s="5"/>
      <c r="L809" s="5"/>
      <c r="M809" s="5"/>
      <c r="N809" s="11" t="s">
        <v>19</v>
      </c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6" t="s">
        <v>1642</v>
      </c>
      <c r="B810" s="6" t="s">
        <v>1643</v>
      </c>
      <c r="C810" s="5" t="s">
        <v>62</v>
      </c>
      <c r="D810" s="7">
        <f>IFERROR(__xludf.DUMMYFUNCTION("GOOGLEFINANCE(""ASX:EYE"", ""price"")"),0.15)</f>
        <v>0.15</v>
      </c>
      <c r="E810" s="8">
        <f>IFERROR(__xludf.DUMMYFUNCTION("GOOGLEFINANCE(""ASX:EYE"", ""closeyest"")"),0.14)</f>
        <v>0.14</v>
      </c>
      <c r="F810" s="5" t="str">
        <f>IFERROR(__xludf.DUMMYFUNCTION("GOOGLEFINANCE(""ASX:EYE"", ""pe"")"),"#N/A")</f>
        <v>#N/A</v>
      </c>
      <c r="G810" s="9">
        <f>IFERROR(__xludf.DUMMYFUNCTION("GOOGLEFINANCE(""ASX:EYE"", ""high52"")"),0.19)</f>
        <v>0.19</v>
      </c>
      <c r="H810" s="9">
        <f>IFERROR(__xludf.DUMMYFUNCTION("GOOGLEFINANCE(""ASX:EYE"", ""low52"")"),0.09)</f>
        <v>0.09</v>
      </c>
      <c r="I810" s="9">
        <f>IFERROR(__xludf.DUMMYFUNCTION("GOOGLEFINANCE(""ASX:EYE"", ""marketcap"")"),4.2724981E7)</f>
        <v>42724981</v>
      </c>
      <c r="J810" s="5"/>
      <c r="K810" s="5"/>
      <c r="L810" s="5"/>
      <c r="M810" s="5"/>
      <c r="N810" s="11" t="s">
        <v>19</v>
      </c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6" t="s">
        <v>1644</v>
      </c>
      <c r="B811" s="6" t="s">
        <v>1645</v>
      </c>
      <c r="C811" s="5" t="s">
        <v>140</v>
      </c>
      <c r="D811" s="7">
        <f>IFERROR(__xludf.DUMMYFUNCTION("GOOGLEFINANCE(""ASX:EZL"", ""price"")"),1.25)</f>
        <v>1.25</v>
      </c>
      <c r="E811" s="8">
        <f>IFERROR(__xludf.DUMMYFUNCTION("GOOGLEFINANCE(""ASX:EZL"", ""closeyest"")"),1.23)</f>
        <v>1.23</v>
      </c>
      <c r="F811" s="9">
        <f>IFERROR(__xludf.DUMMYFUNCTION("GOOGLEFINANCE(""ASX:EZL"", ""pe"")"),20.02)</f>
        <v>20.02</v>
      </c>
      <c r="G811" s="9">
        <f>IFERROR(__xludf.DUMMYFUNCTION("GOOGLEFINANCE(""ASX:EZL"", ""high52"")"),1.25)</f>
        <v>1.25</v>
      </c>
      <c r="H811" s="9">
        <f>IFERROR(__xludf.DUMMYFUNCTION("GOOGLEFINANCE(""ASX:EZL"", ""low52"")"),0.79)</f>
        <v>0.79</v>
      </c>
      <c r="I811" s="9">
        <f>IFERROR(__xludf.DUMMYFUNCTION("GOOGLEFINANCE(""ASX:EZL"", ""marketcap"")"),2.05204E8)</f>
        <v>205204000</v>
      </c>
      <c r="J811" s="5"/>
      <c r="K811" s="5"/>
      <c r="L811" s="5"/>
      <c r="M811" s="5"/>
      <c r="N811" s="10">
        <v>19.06</v>
      </c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6" t="s">
        <v>1646</v>
      </c>
      <c r="B812" s="6" t="s">
        <v>1647</v>
      </c>
      <c r="C812" s="5" t="s">
        <v>98</v>
      </c>
      <c r="D812" s="7">
        <f>IFERROR(__xludf.DUMMYFUNCTION("GOOGLEFINANCE(""ASX:EZZ"", ""price"")"),2.1)</f>
        <v>2.1</v>
      </c>
      <c r="E812" s="8">
        <f>IFERROR(__xludf.DUMMYFUNCTION("GOOGLEFINANCE(""ASX:EZZ"", ""closeyest"")"),1.96)</f>
        <v>1.96</v>
      </c>
      <c r="F812" s="9">
        <f>IFERROR(__xludf.DUMMYFUNCTION("GOOGLEFINANCE(""ASX:EZZ"", ""pe"")"),14.43)</f>
        <v>14.43</v>
      </c>
      <c r="G812" s="9">
        <f>IFERROR(__xludf.DUMMYFUNCTION("GOOGLEFINANCE(""ASX:EZZ"", ""high52"")"),3.38)</f>
        <v>3.38</v>
      </c>
      <c r="H812" s="9">
        <f>IFERROR(__xludf.DUMMYFUNCTION("GOOGLEFINANCE(""ASX:EZZ"", ""low52"")"),1.29)</f>
        <v>1.29</v>
      </c>
      <c r="I812" s="9">
        <f>IFERROR(__xludf.DUMMYFUNCTION("GOOGLEFINANCE(""ASX:EZZ"", ""marketcap"")"),9.8487664E7)</f>
        <v>98487664</v>
      </c>
      <c r="J812" s="5"/>
      <c r="K812" s="5"/>
      <c r="L812" s="5"/>
      <c r="M812" s="5"/>
      <c r="N812" s="10">
        <v>9.94</v>
      </c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6" t="s">
        <v>1648</v>
      </c>
      <c r="B813" s="6" t="s">
        <v>1649</v>
      </c>
      <c r="C813" s="5" t="s">
        <v>36</v>
      </c>
      <c r="D813" s="7">
        <f>IFERROR(__xludf.DUMMYFUNCTION("GOOGLEFINANCE(""ASX:F100"", ""price"")"),15.12)</f>
        <v>15.12</v>
      </c>
      <c r="E813" s="8">
        <f>IFERROR(__xludf.DUMMYFUNCTION("GOOGLEFINANCE(""ASX:F100"", ""closeyest"")"),15.14)</f>
        <v>15.14</v>
      </c>
      <c r="F813" s="5" t="str">
        <f>IFERROR(__xludf.DUMMYFUNCTION("GOOGLEFINANCE(""ASX:F100"", ""pe"")"),"#N/A")</f>
        <v>#N/A</v>
      </c>
      <c r="G813" s="9">
        <f>IFERROR(__xludf.DUMMYFUNCTION("GOOGLEFINANCE(""ASX:F100"", ""high52"")"),15.2)</f>
        <v>15.2</v>
      </c>
      <c r="H813" s="9">
        <f>IFERROR(__xludf.DUMMYFUNCTION("GOOGLEFINANCE(""ASX:F100"", ""low52"")"),12.17)</f>
        <v>12.17</v>
      </c>
      <c r="I813" s="9" t="str">
        <f>IFERROR(__xludf.DUMMYFUNCTION("GOOGLEFINANCE(""ASX:F100"", ""marketcap"")"),"#N/A")</f>
        <v>#N/A</v>
      </c>
      <c r="J813" s="5"/>
      <c r="K813" s="5"/>
      <c r="L813" s="5"/>
      <c r="M813" s="5"/>
      <c r="N813" s="11" t="s">
        <v>19</v>
      </c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6" t="s">
        <v>1650</v>
      </c>
      <c r="B814" s="6" t="s">
        <v>1651</v>
      </c>
      <c r="C814" s="5" t="s">
        <v>36</v>
      </c>
      <c r="D814" s="7">
        <f>IFERROR(__xludf.DUMMYFUNCTION("GOOGLEFINANCE(""ASX:FAIR"", ""price"")"),20.07)</f>
        <v>20.07</v>
      </c>
      <c r="E814" s="8">
        <f>IFERROR(__xludf.DUMMYFUNCTION("GOOGLEFINANCE(""ASX:FAIR"", ""closeyest"")"),19.9)</f>
        <v>19.9</v>
      </c>
      <c r="F814" s="5" t="str">
        <f>IFERROR(__xludf.DUMMYFUNCTION("GOOGLEFINANCE(""ASX:FAIR"", ""pe"")"),"#N/A")</f>
        <v>#N/A</v>
      </c>
      <c r="G814" s="9">
        <f>IFERROR(__xludf.DUMMYFUNCTION("GOOGLEFINANCE(""ASX:FAIR"", ""high52"")"),22.91)</f>
        <v>22.91</v>
      </c>
      <c r="H814" s="9">
        <f>IFERROR(__xludf.DUMMYFUNCTION("GOOGLEFINANCE(""ASX:FAIR"", ""low52"")"),18.32)</f>
        <v>18.32</v>
      </c>
      <c r="I814" s="9" t="str">
        <f>IFERROR(__xludf.DUMMYFUNCTION("GOOGLEFINANCE(""ASX:FAIR"", ""marketcap"")"),"#N/A")</f>
        <v>#N/A</v>
      </c>
      <c r="J814" s="5"/>
      <c r="K814" s="5"/>
      <c r="L814" s="5"/>
      <c r="M814" s="5"/>
      <c r="N814" s="11" t="s">
        <v>19</v>
      </c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6" t="s">
        <v>1652</v>
      </c>
      <c r="B815" s="6" t="s">
        <v>1653</v>
      </c>
      <c r="C815" s="5" t="s">
        <v>88</v>
      </c>
      <c r="D815" s="7">
        <f>IFERROR(__xludf.DUMMYFUNCTION("GOOGLEFINANCE(""ASX:FAL"", ""price"")"),0.64)</f>
        <v>0.64</v>
      </c>
      <c r="E815" s="8">
        <f>IFERROR(__xludf.DUMMYFUNCTION("GOOGLEFINANCE(""ASX:FAL"", ""closeyest"")"),0.64)</f>
        <v>0.64</v>
      </c>
      <c r="F815" s="5" t="str">
        <f>IFERROR(__xludf.DUMMYFUNCTION("GOOGLEFINANCE(""ASX:FAL"", ""pe"")"),"#N/A")</f>
        <v>#N/A</v>
      </c>
      <c r="G815" s="9">
        <f>IFERROR(__xludf.DUMMYFUNCTION("GOOGLEFINANCE(""ASX:FAL"", ""high52"")"),1.18)</f>
        <v>1.18</v>
      </c>
      <c r="H815" s="9">
        <f>IFERROR(__xludf.DUMMYFUNCTION("GOOGLEFINANCE(""ASX:FAL"", ""low52"")"),0.09)</f>
        <v>0.09</v>
      </c>
      <c r="I815" s="9">
        <f>IFERROR(__xludf.DUMMYFUNCTION("GOOGLEFINANCE(""ASX:FAL"", ""marketcap"")"),1.35029572E8)</f>
        <v>135029572</v>
      </c>
      <c r="J815" s="5"/>
      <c r="K815" s="5"/>
      <c r="L815" s="5"/>
      <c r="M815" s="5"/>
      <c r="N815" s="11" t="s">
        <v>19</v>
      </c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6" t="s">
        <v>1654</v>
      </c>
      <c r="B816" s="6" t="s">
        <v>1655</v>
      </c>
      <c r="C816" s="5" t="s">
        <v>36</v>
      </c>
      <c r="D816" s="7">
        <f>IFERROR(__xludf.DUMMYFUNCTION("GOOGLEFINANCE(""ASX:FANG"", ""price"")"),34.05)</f>
        <v>34.05</v>
      </c>
      <c r="E816" s="8">
        <f>IFERROR(__xludf.DUMMYFUNCTION("GOOGLEFINANCE(""ASX:FANG"", ""closeyest"")"),34.21)</f>
        <v>34.21</v>
      </c>
      <c r="F816" s="5" t="str">
        <f>IFERROR(__xludf.DUMMYFUNCTION("GOOGLEFINANCE(""ASX:FANG"", ""pe"")"),"#N/A")</f>
        <v>#N/A</v>
      </c>
      <c r="G816" s="9">
        <f>IFERROR(__xludf.DUMMYFUNCTION("GOOGLEFINANCE(""ASX:FANG"", ""high52"")"),38.58)</f>
        <v>38.58</v>
      </c>
      <c r="H816" s="9">
        <f>IFERROR(__xludf.DUMMYFUNCTION("GOOGLEFINANCE(""ASX:FANG"", ""low52"")"),24.95)</f>
        <v>24.95</v>
      </c>
      <c r="I816" s="9" t="str">
        <f>IFERROR(__xludf.DUMMYFUNCTION("GOOGLEFINANCE(""ASX:FANG"", ""marketcap"")"),"#N/A")</f>
        <v>#N/A</v>
      </c>
      <c r="J816" s="5"/>
      <c r="K816" s="5"/>
      <c r="L816" s="5"/>
      <c r="M816" s="5"/>
      <c r="N816" s="11" t="s">
        <v>19</v>
      </c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6" t="s">
        <v>1656</v>
      </c>
      <c r="B817" s="6" t="s">
        <v>1657</v>
      </c>
      <c r="C817" s="5" t="s">
        <v>78</v>
      </c>
      <c r="D817" s="7">
        <f>IFERROR(__xludf.DUMMYFUNCTION("GOOGLEFINANCE(""ASX:FAR"", ""price"")"),0.42)</f>
        <v>0.42</v>
      </c>
      <c r="E817" s="8">
        <f>IFERROR(__xludf.DUMMYFUNCTION("GOOGLEFINANCE(""ASX:FAR"", ""closeyest"")"),0.42)</f>
        <v>0.42</v>
      </c>
      <c r="F817" s="9">
        <f>IFERROR(__xludf.DUMMYFUNCTION("GOOGLEFINANCE(""ASX:FAR"", ""pe"")"),17.93)</f>
        <v>17.93</v>
      </c>
      <c r="G817" s="9">
        <f>IFERROR(__xludf.DUMMYFUNCTION("GOOGLEFINANCE(""ASX:FAR"", ""high52"")"),0.61)</f>
        <v>0.61</v>
      </c>
      <c r="H817" s="9">
        <f>IFERROR(__xludf.DUMMYFUNCTION("GOOGLEFINANCE(""ASX:FAR"", ""low52"")"),0.35)</f>
        <v>0.35</v>
      </c>
      <c r="I817" s="9">
        <f>IFERROR(__xludf.DUMMYFUNCTION("GOOGLEFINANCE(""ASX:FAR"", ""marketcap"")"),3.789345E7)</f>
        <v>37893450</v>
      </c>
      <c r="J817" s="5"/>
      <c r="K817" s="5"/>
      <c r="L817" s="5"/>
      <c r="M817" s="5"/>
      <c r="N817" s="10">
        <v>17.93</v>
      </c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6" t="s">
        <v>1658</v>
      </c>
      <c r="B818" s="6" t="s">
        <v>1659</v>
      </c>
      <c r="C818" s="5" t="s">
        <v>36</v>
      </c>
      <c r="D818" s="7">
        <f>IFERROR(__xludf.DUMMYFUNCTION("GOOGLEFINANCE(""ASX:FASI"", ""price"")"),12.02)</f>
        <v>12.02</v>
      </c>
      <c r="E818" s="8">
        <f>IFERROR(__xludf.DUMMYFUNCTION("GOOGLEFINANCE(""ASX:FASI"", ""closeyest"")"),12.01)</f>
        <v>12.01</v>
      </c>
      <c r="F818" s="5" t="str">
        <f>IFERROR(__xludf.DUMMYFUNCTION("GOOGLEFINANCE(""ASX:FASI"", ""pe"")"),"#N/A")</f>
        <v>#N/A</v>
      </c>
      <c r="G818" s="9">
        <f>IFERROR(__xludf.DUMMYFUNCTION("GOOGLEFINANCE(""ASX:FASI"", ""high52"")"),12.55)</f>
        <v>12.55</v>
      </c>
      <c r="H818" s="9">
        <f>IFERROR(__xludf.DUMMYFUNCTION("GOOGLEFINANCE(""ASX:FASI"", ""low52"")"),9.94)</f>
        <v>9.94</v>
      </c>
      <c r="I818" s="9" t="str">
        <f>IFERROR(__xludf.DUMMYFUNCTION("GOOGLEFINANCE(""ASX:FASI"", ""marketcap"")"),"#N/A")</f>
        <v>#N/A</v>
      </c>
      <c r="J818" s="5"/>
      <c r="K818" s="5"/>
      <c r="L818" s="5"/>
      <c r="M818" s="5"/>
      <c r="N818" s="11" t="s">
        <v>19</v>
      </c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6" t="s">
        <v>1660</v>
      </c>
      <c r="B819" s="6" t="s">
        <v>1661</v>
      </c>
      <c r="C819" s="5" t="s">
        <v>88</v>
      </c>
      <c r="D819" s="7">
        <f>IFERROR(__xludf.DUMMYFUNCTION("GOOGLEFINANCE(""ASX:FAU"", ""price"")"),0.01)</f>
        <v>0.01</v>
      </c>
      <c r="E819" s="8">
        <f>IFERROR(__xludf.DUMMYFUNCTION("GOOGLEFINANCE(""ASX:FAU"", ""closeyest"")"),0.01)</f>
        <v>0.01</v>
      </c>
      <c r="F819" s="5" t="str">
        <f>IFERROR(__xludf.DUMMYFUNCTION("GOOGLEFINANCE(""ASX:FAU"", ""pe"")"),"#N/A")</f>
        <v>#N/A</v>
      </c>
      <c r="G819" s="9">
        <f>IFERROR(__xludf.DUMMYFUNCTION("GOOGLEFINANCE(""ASX:FAU"", ""high52"")"),0.01)</f>
        <v>0.01</v>
      </c>
      <c r="H819" s="9">
        <f>IFERROR(__xludf.DUMMYFUNCTION("GOOGLEFINANCE(""ASX:FAU"", ""low52"")"),0.0)</f>
        <v>0</v>
      </c>
      <c r="I819" s="9">
        <f>IFERROR(__xludf.DUMMYFUNCTION("GOOGLEFINANCE(""ASX:FAU"", ""marketcap"")"),1.2845273E7)</f>
        <v>12845273</v>
      </c>
      <c r="J819" s="5"/>
      <c r="K819" s="5"/>
      <c r="L819" s="5"/>
      <c r="M819" s="5"/>
      <c r="N819" s="11" t="s">
        <v>19</v>
      </c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6" t="s">
        <v>1662</v>
      </c>
      <c r="B820" s="6" t="s">
        <v>1663</v>
      </c>
      <c r="C820" s="5" t="s">
        <v>402</v>
      </c>
      <c r="D820" s="7">
        <f>IFERROR(__xludf.DUMMYFUNCTION("GOOGLEFINANCE(""ASX:FBR"", ""price"")"),0.0)</f>
        <v>0</v>
      </c>
      <c r="E820" s="8">
        <f>IFERROR(__xludf.DUMMYFUNCTION("GOOGLEFINANCE(""ASX:FBR"", ""closeyest"")"),0.0)</f>
        <v>0</v>
      </c>
      <c r="F820" s="5" t="str">
        <f>IFERROR(__xludf.DUMMYFUNCTION("GOOGLEFINANCE(""ASX:FBR"", ""pe"")"),"#N/A")</f>
        <v>#N/A</v>
      </c>
      <c r="G820" s="9">
        <f>IFERROR(__xludf.DUMMYFUNCTION("GOOGLEFINANCE(""ASX:FBR"", ""high52"")"),0.05)</f>
        <v>0.05</v>
      </c>
      <c r="H820" s="9">
        <f>IFERROR(__xludf.DUMMYFUNCTION("GOOGLEFINANCE(""ASX:FBR"", ""low52"")"),0.0)</f>
        <v>0</v>
      </c>
      <c r="I820" s="9">
        <f>IFERROR(__xludf.DUMMYFUNCTION("GOOGLEFINANCE(""ASX:FBR"", ""marketcap"")"),1.0030458E7)</f>
        <v>10030458</v>
      </c>
      <c r="J820" s="12">
        <v>0.003</v>
      </c>
      <c r="K820" s="12">
        <v>0.0035</v>
      </c>
      <c r="L820" s="12">
        <v>0.047</v>
      </c>
      <c r="M820" s="12">
        <v>0.003</v>
      </c>
      <c r="N820" s="11" t="s">
        <v>19</v>
      </c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6" t="s">
        <v>1664</v>
      </c>
      <c r="B821" s="6" t="s">
        <v>1665</v>
      </c>
      <c r="C821" s="5" t="s">
        <v>1666</v>
      </c>
      <c r="D821" s="7">
        <f>IFERROR(__xludf.DUMMYFUNCTION("GOOGLEFINANCE(""ASX:FBU"", ""price"")"),3.25)</f>
        <v>3.25</v>
      </c>
      <c r="E821" s="8">
        <f>IFERROR(__xludf.DUMMYFUNCTION("GOOGLEFINANCE(""ASX:FBU"", ""closeyest"")"),3.28)</f>
        <v>3.28</v>
      </c>
      <c r="F821" s="5" t="str">
        <f>IFERROR(__xludf.DUMMYFUNCTION("GOOGLEFINANCE(""ASX:FBU"", ""pe"")"),"#N/A")</f>
        <v>#N/A</v>
      </c>
      <c r="G821" s="9">
        <f>IFERROR(__xludf.DUMMYFUNCTION("GOOGLEFINANCE(""ASX:FBU"", ""high52"")"),3.35)</f>
        <v>3.35</v>
      </c>
      <c r="H821" s="9">
        <f>IFERROR(__xludf.DUMMYFUNCTION("GOOGLEFINANCE(""ASX:FBU"", ""low52"")"),2.46)</f>
        <v>2.46</v>
      </c>
      <c r="I821" s="9">
        <f>IFERROR(__xludf.DUMMYFUNCTION("GOOGLEFINANCE(""ASX:FBU"", ""marketcap"")"),3.495908E9)</f>
        <v>3495908000</v>
      </c>
      <c r="J821" s="5"/>
      <c r="K821" s="5"/>
      <c r="L821" s="5"/>
      <c r="M821" s="5"/>
      <c r="N821" s="11" t="s">
        <v>19</v>
      </c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6" t="s">
        <v>1667</v>
      </c>
      <c r="B822" s="6" t="s">
        <v>1668</v>
      </c>
      <c r="C822" s="5" t="s">
        <v>36</v>
      </c>
      <c r="D822" s="7">
        <f>IFERROR(__xludf.DUMMYFUNCTION("GOOGLEFINANCE(""ASX:FCAP"", ""price"")"),11.8)</f>
        <v>11.8</v>
      </c>
      <c r="E822" s="8">
        <f>IFERROR(__xludf.DUMMYFUNCTION("GOOGLEFINANCE(""ASX:FCAP"", ""closeyest"")"),11.78)</f>
        <v>11.78</v>
      </c>
      <c r="F822" s="5" t="str">
        <f>IFERROR(__xludf.DUMMYFUNCTION("GOOGLEFINANCE(""ASX:FCAP"", ""pe"")"),"#N/A")</f>
        <v>#N/A</v>
      </c>
      <c r="G822" s="9">
        <f>IFERROR(__xludf.DUMMYFUNCTION("GOOGLEFINANCE(""ASX:FCAP"", ""high52"")"),12.4)</f>
        <v>12.4</v>
      </c>
      <c r="H822" s="9">
        <f>IFERROR(__xludf.DUMMYFUNCTION("GOOGLEFINANCE(""ASX:FCAP"", ""low52"")"),10.56)</f>
        <v>10.56</v>
      </c>
      <c r="I822" s="9" t="str">
        <f>IFERROR(__xludf.DUMMYFUNCTION("GOOGLEFINANCE(""ASX:FCAP"", ""marketcap"")"),"#N/A")</f>
        <v>#N/A</v>
      </c>
      <c r="J822" s="5"/>
      <c r="K822" s="5"/>
      <c r="L822" s="5"/>
      <c r="M822" s="5"/>
      <c r="N822" s="11" t="s">
        <v>19</v>
      </c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6" t="s">
        <v>1669</v>
      </c>
      <c r="B823" s="6" t="s">
        <v>1670</v>
      </c>
      <c r="C823" s="5" t="s">
        <v>164</v>
      </c>
      <c r="D823" s="7">
        <f>IFERROR(__xludf.DUMMYFUNCTION("GOOGLEFINANCE(""ASX:FCG"", ""price"")"),0.04)</f>
        <v>0.04</v>
      </c>
      <c r="E823" s="8">
        <f>IFERROR(__xludf.DUMMYFUNCTION("GOOGLEFINANCE(""ASX:FCG"", ""closeyest"")"),0.04)</f>
        <v>0.04</v>
      </c>
      <c r="F823" s="5" t="str">
        <f>IFERROR(__xludf.DUMMYFUNCTION("GOOGLEFINANCE(""ASX:FCG"", ""pe"")"),"#N/A")</f>
        <v>#N/A</v>
      </c>
      <c r="G823" s="9">
        <f>IFERROR(__xludf.DUMMYFUNCTION("GOOGLEFINANCE(""ASX:FCG"", ""high52"")"),0.06)</f>
        <v>0.06</v>
      </c>
      <c r="H823" s="9">
        <f>IFERROR(__xludf.DUMMYFUNCTION("GOOGLEFINANCE(""ASX:FCG"", ""low52"")"),0.04)</f>
        <v>0.04</v>
      </c>
      <c r="I823" s="9">
        <f>IFERROR(__xludf.DUMMYFUNCTION("GOOGLEFINANCE(""ASX:FCG"", ""marketcap"")"),917000.0)</f>
        <v>917000</v>
      </c>
      <c r="J823" s="5"/>
      <c r="K823" s="5"/>
      <c r="L823" s="5"/>
      <c r="M823" s="5"/>
      <c r="N823" s="11" t="s">
        <v>19</v>
      </c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6" t="s">
        <v>1671</v>
      </c>
      <c r="B824" s="6" t="s">
        <v>1672</v>
      </c>
      <c r="C824" s="5" t="s">
        <v>15</v>
      </c>
      <c r="D824" s="7">
        <f>IFERROR(__xludf.DUMMYFUNCTION("GOOGLEFINANCE(""ASX:FCL"", ""price"")"),2.98)</f>
        <v>2.98</v>
      </c>
      <c r="E824" s="8">
        <f>IFERROR(__xludf.DUMMYFUNCTION("GOOGLEFINANCE(""ASX:FCL"", ""closeyest"")"),2.9)</f>
        <v>2.9</v>
      </c>
      <c r="F824" s="5" t="str">
        <f>IFERROR(__xludf.DUMMYFUNCTION("GOOGLEFINANCE(""ASX:FCL"", ""pe"")"),"#N/A")</f>
        <v>#N/A</v>
      </c>
      <c r="G824" s="9">
        <f>IFERROR(__xludf.DUMMYFUNCTION("GOOGLEFINANCE(""ASX:FCL"", ""high52"")"),3.29)</f>
        <v>3.29</v>
      </c>
      <c r="H824" s="9">
        <f>IFERROR(__xludf.DUMMYFUNCTION("GOOGLEFINANCE(""ASX:FCL"", ""low52"")"),1.56)</f>
        <v>1.56</v>
      </c>
      <c r="I824" s="9">
        <f>IFERROR(__xludf.DUMMYFUNCTION("GOOGLEFINANCE(""ASX:FCL"", ""marketcap"")"),1.025693954E9)</f>
        <v>1025693954</v>
      </c>
      <c r="J824" s="5"/>
      <c r="K824" s="5"/>
      <c r="L824" s="5"/>
      <c r="M824" s="5"/>
      <c r="N824" s="11" t="s">
        <v>19</v>
      </c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6" t="s">
        <v>1673</v>
      </c>
      <c r="B825" s="6" t="s">
        <v>1674</v>
      </c>
      <c r="C825" s="5" t="s">
        <v>184</v>
      </c>
      <c r="D825" s="7">
        <f>IFERROR(__xludf.DUMMYFUNCTION("GOOGLEFINANCE(""ASX:FCT"", ""price"")"),0.01)</f>
        <v>0.01</v>
      </c>
      <c r="E825" s="8">
        <f>IFERROR(__xludf.DUMMYFUNCTION("GOOGLEFINANCE(""ASX:FCT"", ""closeyest"")"),0.01)</f>
        <v>0.01</v>
      </c>
      <c r="F825" s="5" t="str">
        <f>IFERROR(__xludf.DUMMYFUNCTION("GOOGLEFINANCE(""ASX:FCT"", ""pe"")"),"#N/A")</f>
        <v>#N/A</v>
      </c>
      <c r="G825" s="9">
        <f>IFERROR(__xludf.DUMMYFUNCTION("GOOGLEFINANCE(""ASX:FCT"", ""high52"")"),0.03)</f>
        <v>0.03</v>
      </c>
      <c r="H825" s="9">
        <f>IFERROR(__xludf.DUMMYFUNCTION("GOOGLEFINANCE(""ASX:FCT"", ""low52"")"),0.01)</f>
        <v>0.01</v>
      </c>
      <c r="I825" s="9">
        <f>IFERROR(__xludf.DUMMYFUNCTION("GOOGLEFINANCE(""ASX:FCT"", ""marketcap"")"),1.1882536E7)</f>
        <v>11882536</v>
      </c>
      <c r="J825" s="5"/>
      <c r="K825" s="5"/>
      <c r="L825" s="5"/>
      <c r="M825" s="5"/>
      <c r="N825" s="11" t="s">
        <v>19</v>
      </c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6" t="s">
        <v>1675</v>
      </c>
      <c r="B826" s="6" t="s">
        <v>1676</v>
      </c>
      <c r="C826" s="5" t="s">
        <v>78</v>
      </c>
      <c r="D826" s="7">
        <f>IFERROR(__xludf.DUMMYFUNCTION("GOOGLEFINANCE(""ASX:FDR"", ""price"")"),0.36)</f>
        <v>0.36</v>
      </c>
      <c r="E826" s="8">
        <f>IFERROR(__xludf.DUMMYFUNCTION("GOOGLEFINANCE(""ASX:FDR"", ""closeyest"")"),0.38)</f>
        <v>0.38</v>
      </c>
      <c r="F826" s="9">
        <f>IFERROR(__xludf.DUMMYFUNCTION("GOOGLEFINANCE(""ASX:FDR"", ""pe"")"),24.49)</f>
        <v>24.49</v>
      </c>
      <c r="G826" s="9">
        <f>IFERROR(__xludf.DUMMYFUNCTION("GOOGLEFINANCE(""ASX:FDR"", ""high52"")"),0.66)</f>
        <v>0.66</v>
      </c>
      <c r="H826" s="9">
        <f>IFERROR(__xludf.DUMMYFUNCTION("GOOGLEFINANCE(""ASX:FDR"", ""low52"")"),0.03)</f>
        <v>0.03</v>
      </c>
      <c r="I826" s="9">
        <f>IFERROR(__xludf.DUMMYFUNCTION("GOOGLEFINANCE(""ASX:FDR"", ""marketcap"")"),1.57205166E8)</f>
        <v>157205166</v>
      </c>
      <c r="J826" s="5"/>
      <c r="K826" s="5"/>
      <c r="L826" s="5"/>
      <c r="M826" s="5"/>
      <c r="N826" s="10">
        <v>26.19</v>
      </c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6" t="s">
        <v>1677</v>
      </c>
      <c r="B827" s="6" t="s">
        <v>1678</v>
      </c>
      <c r="C827" s="5" t="s">
        <v>70</v>
      </c>
      <c r="D827" s="7">
        <f>IFERROR(__xludf.DUMMYFUNCTION("GOOGLEFINANCE(""ASX:FDV"", ""price"")"),0.3)</f>
        <v>0.3</v>
      </c>
      <c r="E827" s="8">
        <f>IFERROR(__xludf.DUMMYFUNCTION("GOOGLEFINANCE(""ASX:FDV"", ""closeyest"")"),0.25)</f>
        <v>0.25</v>
      </c>
      <c r="F827" s="5" t="str">
        <f>IFERROR(__xludf.DUMMYFUNCTION("GOOGLEFINANCE(""ASX:FDV"", ""pe"")"),"#N/A")</f>
        <v>#N/A</v>
      </c>
      <c r="G827" s="9">
        <f>IFERROR(__xludf.DUMMYFUNCTION("GOOGLEFINANCE(""ASX:FDV"", ""high52"")"),0.54)</f>
        <v>0.54</v>
      </c>
      <c r="H827" s="9">
        <f>IFERROR(__xludf.DUMMYFUNCTION("GOOGLEFINANCE(""ASX:FDV"", ""low52"")"),0.19)</f>
        <v>0.19</v>
      </c>
      <c r="I827" s="9">
        <f>IFERROR(__xludf.DUMMYFUNCTION("GOOGLEFINANCE(""ASX:FDV"", ""marketcap"")"),1.28541671E8)</f>
        <v>128541671</v>
      </c>
      <c r="J827" s="5"/>
      <c r="K827" s="5"/>
      <c r="L827" s="5"/>
      <c r="M827" s="5"/>
      <c r="N827" s="11" t="s">
        <v>19</v>
      </c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6" t="s">
        <v>1679</v>
      </c>
      <c r="B828" s="6" t="s">
        <v>1680</v>
      </c>
      <c r="C828" s="5" t="s">
        <v>18</v>
      </c>
      <c r="D828" s="7">
        <f>IFERROR(__xludf.DUMMYFUNCTION("GOOGLEFINANCE(""ASX:FEG"", ""price"")"),0.15)</f>
        <v>0.15</v>
      </c>
      <c r="E828" s="8">
        <f>IFERROR(__xludf.DUMMYFUNCTION("GOOGLEFINANCE(""ASX:FEG"", ""closeyest"")"),0.15)</f>
        <v>0.15</v>
      </c>
      <c r="F828" s="5" t="str">
        <f>IFERROR(__xludf.DUMMYFUNCTION("GOOGLEFINANCE(""ASX:FEG"", ""pe"")"),"#N/A")</f>
        <v>#N/A</v>
      </c>
      <c r="G828" s="9">
        <f>IFERROR(__xludf.DUMMYFUNCTION("GOOGLEFINANCE(""ASX:FEG"", ""high52"")"),0.19)</f>
        <v>0.19</v>
      </c>
      <c r="H828" s="9">
        <f>IFERROR(__xludf.DUMMYFUNCTION("GOOGLEFINANCE(""ASX:FEG"", ""low52"")"),0.11)</f>
        <v>0.11</v>
      </c>
      <c r="I828" s="9">
        <f>IFERROR(__xludf.DUMMYFUNCTION("GOOGLEFINANCE(""ASX:FEG"", ""marketcap"")"),5.3333672E7)</f>
        <v>53333672</v>
      </c>
      <c r="J828" s="5"/>
      <c r="K828" s="5"/>
      <c r="L828" s="5"/>
      <c r="M828" s="5"/>
      <c r="N828" s="11" t="s">
        <v>19</v>
      </c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6" t="s">
        <v>1681</v>
      </c>
      <c r="B829" s="6" t="s">
        <v>1682</v>
      </c>
      <c r="C829" s="5" t="s">
        <v>36</v>
      </c>
      <c r="D829" s="7" t="str">
        <f>IFERROR(__xludf.DUMMYFUNCTION("GOOGLEFINANCE(""ASX:FEMX"", ""price"")"),"#N/A")</f>
        <v>#N/A</v>
      </c>
      <c r="E829" s="8" t="str">
        <f>IFERROR(__xludf.DUMMYFUNCTION("GOOGLEFINANCE(""ASX:FEMX"", ""closeyest"")"),"#N/A")</f>
        <v>#N/A</v>
      </c>
      <c r="F829" s="5" t="str">
        <f>IFERROR(__xludf.DUMMYFUNCTION("GOOGLEFINANCE(""ASX:FEMX"", ""pe"")"),"#N/A")</f>
        <v>#N/A</v>
      </c>
      <c r="G829" s="5" t="str">
        <f>IFERROR(__xludf.DUMMYFUNCTION("GOOGLEFINANCE(""ASX:FEMX"", ""high52"")"),"#N/A")</f>
        <v>#N/A</v>
      </c>
      <c r="H829" s="5" t="str">
        <f>IFERROR(__xludf.DUMMYFUNCTION("GOOGLEFINANCE(""ASX:FEMX"", ""low52"")"),"#N/A")</f>
        <v>#N/A</v>
      </c>
      <c r="I829" s="9" t="str">
        <f>IFERROR(__xludf.DUMMYFUNCTION("GOOGLEFINANCE(""ASX:FEMX"", ""marketcap"")"),"#N/A")</f>
        <v>#N/A</v>
      </c>
      <c r="J829" s="12">
        <v>7.42</v>
      </c>
      <c r="K829" s="12">
        <v>7.42</v>
      </c>
      <c r="L829" s="12">
        <v>7.64</v>
      </c>
      <c r="M829" s="12">
        <v>5.73</v>
      </c>
      <c r="N829" s="11" t="s">
        <v>19</v>
      </c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6" t="s">
        <v>1683</v>
      </c>
      <c r="B830" s="6" t="s">
        <v>1684</v>
      </c>
      <c r="C830" s="5" t="s">
        <v>212</v>
      </c>
      <c r="D830" s="7">
        <f>IFERROR(__xludf.DUMMYFUNCTION("GOOGLEFINANCE(""ASX:FEX"", ""price"")"),0.52)</f>
        <v>0.52</v>
      </c>
      <c r="E830" s="8">
        <f>IFERROR(__xludf.DUMMYFUNCTION("GOOGLEFINANCE(""ASX:FEX"", ""closeyest"")"),0.49)</f>
        <v>0.49</v>
      </c>
      <c r="F830" s="5" t="str">
        <f>IFERROR(__xludf.DUMMYFUNCTION("GOOGLEFINANCE(""ASX:FEX"", ""pe"")"),"#N/A")</f>
        <v>#N/A</v>
      </c>
      <c r="G830" s="9">
        <f>IFERROR(__xludf.DUMMYFUNCTION("GOOGLEFINANCE(""ASX:FEX"", ""high52"")"),0.56)</f>
        <v>0.56</v>
      </c>
      <c r="H830" s="9">
        <f>IFERROR(__xludf.DUMMYFUNCTION("GOOGLEFINANCE(""ASX:FEX"", ""low52"")"),0.26)</f>
        <v>0.26</v>
      </c>
      <c r="I830" s="9">
        <f>IFERROR(__xludf.DUMMYFUNCTION("GOOGLEFINANCE(""ASX:FEX"", ""marketcap"")"),3.464078E8)</f>
        <v>346407800</v>
      </c>
      <c r="J830" s="5"/>
      <c r="K830" s="5"/>
      <c r="L830" s="5"/>
      <c r="M830" s="5"/>
      <c r="N830" s="11" t="s">
        <v>19</v>
      </c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6" t="s">
        <v>1683</v>
      </c>
      <c r="B831" s="6" t="s">
        <v>1684</v>
      </c>
      <c r="C831" s="5" t="s">
        <v>212</v>
      </c>
      <c r="D831" s="7">
        <f>IFERROR(__xludf.DUMMYFUNCTION("GOOGLEFINANCE(""ASX:FEX"", ""price"")"),0.52)</f>
        <v>0.52</v>
      </c>
      <c r="E831" s="8">
        <f>IFERROR(__xludf.DUMMYFUNCTION("GOOGLEFINANCE(""ASX:FEX"", ""closeyest"")"),0.49)</f>
        <v>0.49</v>
      </c>
      <c r="F831" s="5" t="str">
        <f>IFERROR(__xludf.DUMMYFUNCTION("GOOGLEFINANCE(""ASX:FEX"", ""pe"")"),"#N/A")</f>
        <v>#N/A</v>
      </c>
      <c r="G831" s="9">
        <f>IFERROR(__xludf.DUMMYFUNCTION("GOOGLEFINANCE(""ASX:FEX"", ""high52"")"),0.56)</f>
        <v>0.56</v>
      </c>
      <c r="H831" s="9">
        <f>IFERROR(__xludf.DUMMYFUNCTION("GOOGLEFINANCE(""ASX:FEX"", ""low52"")"),0.26)</f>
        <v>0.26</v>
      </c>
      <c r="I831" s="9">
        <f>IFERROR(__xludf.DUMMYFUNCTION("GOOGLEFINANCE(""ASX:FEX"", ""marketcap"")"),3.464078E8)</f>
        <v>346407800</v>
      </c>
      <c r="J831" s="5"/>
      <c r="K831" s="5"/>
      <c r="L831" s="5"/>
      <c r="M831" s="5"/>
      <c r="N831" s="11" t="s">
        <v>19</v>
      </c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6" t="s">
        <v>1685</v>
      </c>
      <c r="B832" s="6" t="s">
        <v>1686</v>
      </c>
      <c r="C832" s="5" t="s">
        <v>171</v>
      </c>
      <c r="D832" s="7">
        <f>IFERROR(__xludf.DUMMYFUNCTION("GOOGLEFINANCE(""ASX:FFG"", ""price"")"),0.01)</f>
        <v>0.01</v>
      </c>
      <c r="E832" s="8">
        <f>IFERROR(__xludf.DUMMYFUNCTION("GOOGLEFINANCE(""ASX:FFG"", ""closeyest"")"),0.01)</f>
        <v>0.01</v>
      </c>
      <c r="F832" s="5" t="str">
        <f>IFERROR(__xludf.DUMMYFUNCTION("GOOGLEFINANCE(""ASX:FFG"", ""pe"")"),"#N/A")</f>
        <v>#N/A</v>
      </c>
      <c r="G832" s="9">
        <f>IFERROR(__xludf.DUMMYFUNCTION("GOOGLEFINANCE(""ASX:FFG"", ""high52"")"),0.01)</f>
        <v>0.01</v>
      </c>
      <c r="H832" s="9">
        <f>IFERROR(__xludf.DUMMYFUNCTION("GOOGLEFINANCE(""ASX:FFG"", ""low52"")"),0.01)</f>
        <v>0.01</v>
      </c>
      <c r="I832" s="9">
        <f>IFERROR(__xludf.DUMMYFUNCTION("GOOGLEFINANCE(""ASX:FFG"", ""marketcap"")"),1.0875011E7)</f>
        <v>10875011</v>
      </c>
      <c r="J832" s="5"/>
      <c r="K832" s="5"/>
      <c r="L832" s="5"/>
      <c r="M832" s="5"/>
      <c r="N832" s="11" t="s">
        <v>19</v>
      </c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6" t="s">
        <v>1687</v>
      </c>
      <c r="B833" s="6" t="s">
        <v>1688</v>
      </c>
      <c r="C833" s="5" t="s">
        <v>98</v>
      </c>
      <c r="D833" s="7">
        <f>IFERROR(__xludf.DUMMYFUNCTION("GOOGLEFINANCE(""ASX:FFI"", ""price"")"),4.83)</f>
        <v>4.83</v>
      </c>
      <c r="E833" s="8">
        <f>IFERROR(__xludf.DUMMYFUNCTION("GOOGLEFINANCE(""ASX:FFI"", ""closeyest"")"),4.83)</f>
        <v>4.83</v>
      </c>
      <c r="F833" s="9">
        <f>IFERROR(__xludf.DUMMYFUNCTION("GOOGLEFINANCE(""ASX:FFI"", ""pe"")"),7.87)</f>
        <v>7.87</v>
      </c>
      <c r="G833" s="9">
        <f>IFERROR(__xludf.DUMMYFUNCTION("GOOGLEFINANCE(""ASX:FFI"", ""high52"")"),4.9)</f>
        <v>4.9</v>
      </c>
      <c r="H833" s="9">
        <f>IFERROR(__xludf.DUMMYFUNCTION("GOOGLEFINANCE(""ASX:FFI"", ""low52"")"),3.53)</f>
        <v>3.53</v>
      </c>
      <c r="I833" s="9">
        <f>IFERROR(__xludf.DUMMYFUNCTION("GOOGLEFINANCE(""ASX:FFI"", ""marketcap"")"),6.4672974E7)</f>
        <v>64672974</v>
      </c>
      <c r="J833" s="5"/>
      <c r="K833" s="5"/>
      <c r="L833" s="5"/>
      <c r="M833" s="5"/>
      <c r="N833" s="10">
        <v>7.87</v>
      </c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6" t="s">
        <v>1689</v>
      </c>
      <c r="B834" s="6" t="s">
        <v>1690</v>
      </c>
      <c r="C834" s="5" t="s">
        <v>18</v>
      </c>
      <c r="D834" s="7">
        <f>IFERROR(__xludf.DUMMYFUNCTION("GOOGLEFINANCE(""ASX:FFM"", ""price"")"),2.03)</f>
        <v>2.03</v>
      </c>
      <c r="E834" s="8">
        <f>IFERROR(__xludf.DUMMYFUNCTION("GOOGLEFINANCE(""ASX:FFM"", ""closeyest"")"),2.06)</f>
        <v>2.06</v>
      </c>
      <c r="F834" s="5" t="str">
        <f>IFERROR(__xludf.DUMMYFUNCTION("GOOGLEFINANCE(""ASX:FFM"", ""pe"")"),"#N/A")</f>
        <v>#N/A</v>
      </c>
      <c r="G834" s="9">
        <f>IFERROR(__xludf.DUMMYFUNCTION("GOOGLEFINANCE(""ASX:FFM"", ""high52"")"),2.17)</f>
        <v>2.17</v>
      </c>
      <c r="H834" s="9">
        <f>IFERROR(__xludf.DUMMYFUNCTION("GOOGLEFINANCE(""ASX:FFM"", ""low52"")"),0.67)</f>
        <v>0.67</v>
      </c>
      <c r="I834" s="9">
        <f>IFERROR(__xludf.DUMMYFUNCTION("GOOGLEFINANCE(""ASX:FFM"", ""marketcap"")"),1.560012348E9)</f>
        <v>1560012348</v>
      </c>
      <c r="J834" s="5"/>
      <c r="K834" s="5"/>
      <c r="L834" s="5"/>
      <c r="M834" s="5"/>
      <c r="N834" s="11" t="s">
        <v>19</v>
      </c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6" t="s">
        <v>1691</v>
      </c>
      <c r="B835" s="6" t="s">
        <v>1692</v>
      </c>
      <c r="C835" s="5" t="s">
        <v>18</v>
      </c>
      <c r="D835" s="7">
        <f>IFERROR(__xludf.DUMMYFUNCTION("GOOGLEFINANCE(""ASX:FG1"", ""price"")"),0.03)</f>
        <v>0.03</v>
      </c>
      <c r="E835" s="8">
        <f>IFERROR(__xludf.DUMMYFUNCTION("GOOGLEFINANCE(""ASX:FG1"", ""closeyest"")"),0.03)</f>
        <v>0.03</v>
      </c>
      <c r="F835" s="5" t="str">
        <f>IFERROR(__xludf.DUMMYFUNCTION("GOOGLEFINANCE(""ASX:FG1"", ""pe"")"),"#N/A")</f>
        <v>#N/A</v>
      </c>
      <c r="G835" s="9">
        <f>IFERROR(__xludf.DUMMYFUNCTION("GOOGLEFINANCE(""ASX:FG1"", ""high52"")"),0.04)</f>
        <v>0.04</v>
      </c>
      <c r="H835" s="9">
        <f>IFERROR(__xludf.DUMMYFUNCTION("GOOGLEFINANCE(""ASX:FG1"", ""low52"")"),0.02)</f>
        <v>0.02</v>
      </c>
      <c r="I835" s="9">
        <f>IFERROR(__xludf.DUMMYFUNCTION("GOOGLEFINANCE(""ASX:FG1"", ""marketcap"")"),1.8259662E7)</f>
        <v>18259662</v>
      </c>
      <c r="J835" s="5"/>
      <c r="K835" s="5"/>
      <c r="L835" s="5"/>
      <c r="M835" s="5"/>
      <c r="N835" s="11" t="s">
        <v>19</v>
      </c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6" t="s">
        <v>1693</v>
      </c>
      <c r="B836" s="6" t="s">
        <v>1694</v>
      </c>
      <c r="C836" s="5" t="s">
        <v>171</v>
      </c>
      <c r="D836" s="7">
        <f>IFERROR(__xludf.DUMMYFUNCTION("GOOGLEFINANCE(""ASX:FGG"", ""price"")"),1.55)</f>
        <v>1.55</v>
      </c>
      <c r="E836" s="8">
        <f>IFERROR(__xludf.DUMMYFUNCTION("GOOGLEFINANCE(""ASX:FGG"", ""closeyest"")"),1.54)</f>
        <v>1.54</v>
      </c>
      <c r="F836" s="9">
        <f>IFERROR(__xludf.DUMMYFUNCTION("GOOGLEFINANCE(""ASX:FGG"", ""pe"")"),7.68)</f>
        <v>7.68</v>
      </c>
      <c r="G836" s="9">
        <f>IFERROR(__xludf.DUMMYFUNCTION("GOOGLEFINANCE(""ASX:FGG"", ""high52"")"),1.65)</f>
        <v>1.65</v>
      </c>
      <c r="H836" s="9">
        <f>IFERROR(__xludf.DUMMYFUNCTION("GOOGLEFINANCE(""ASX:FGG"", ""low52"")"),1.32)</f>
        <v>1.32</v>
      </c>
      <c r="I836" s="9">
        <f>IFERROR(__xludf.DUMMYFUNCTION("GOOGLEFINANCE(""ASX:FGG"", ""marketcap"")"),6.17502647E8)</f>
        <v>617502647</v>
      </c>
      <c r="J836" s="5"/>
      <c r="K836" s="5"/>
      <c r="L836" s="5"/>
      <c r="M836" s="5"/>
      <c r="N836" s="10">
        <v>7.61</v>
      </c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6" t="s">
        <v>1695</v>
      </c>
      <c r="B837" s="6" t="s">
        <v>1696</v>
      </c>
      <c r="C837" s="5" t="s">
        <v>1697</v>
      </c>
      <c r="D837" s="7">
        <f>IFERROR(__xludf.DUMMYFUNCTION("GOOGLEFINANCE(""ASX:FGH"", ""price"")"),0.04)</f>
        <v>0.04</v>
      </c>
      <c r="E837" s="8">
        <f>IFERROR(__xludf.DUMMYFUNCTION("GOOGLEFINANCE(""ASX:FGH"", ""closeyest"")"),0.04)</f>
        <v>0.04</v>
      </c>
      <c r="F837" s="5" t="str">
        <f>IFERROR(__xludf.DUMMYFUNCTION("GOOGLEFINANCE(""ASX:FGH"", ""pe"")"),"#N/A")</f>
        <v>#N/A</v>
      </c>
      <c r="G837" s="9">
        <f>IFERROR(__xludf.DUMMYFUNCTION("GOOGLEFINANCE(""ASX:FGH"", ""high52"")"),0.05)</f>
        <v>0.05</v>
      </c>
      <c r="H837" s="9">
        <f>IFERROR(__xludf.DUMMYFUNCTION("GOOGLEFINANCE(""ASX:FGH"", ""low52"")"),0.01)</f>
        <v>0.01</v>
      </c>
      <c r="I837" s="9">
        <f>IFERROR(__xludf.DUMMYFUNCTION("GOOGLEFINANCE(""ASX:FGH"", ""marketcap"")"),1.05607772E8)</f>
        <v>105607772</v>
      </c>
      <c r="J837" s="5"/>
      <c r="K837" s="5"/>
      <c r="L837" s="5"/>
      <c r="M837" s="5"/>
      <c r="N837" s="11" t="s">
        <v>19</v>
      </c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6" t="s">
        <v>1698</v>
      </c>
      <c r="B838" s="6" t="s">
        <v>1699</v>
      </c>
      <c r="C838" s="5" t="s">
        <v>39</v>
      </c>
      <c r="D838" s="7">
        <f>IFERROR(__xludf.DUMMYFUNCTION("GOOGLEFINANCE(""ASX:FGR"", ""price"")"),0.07)</f>
        <v>0.07</v>
      </c>
      <c r="E838" s="8">
        <f>IFERROR(__xludf.DUMMYFUNCTION("GOOGLEFINANCE(""ASX:FGR"", ""closeyest"")"),0.07)</f>
        <v>0.07</v>
      </c>
      <c r="F838" s="5" t="str">
        <f>IFERROR(__xludf.DUMMYFUNCTION("GOOGLEFINANCE(""ASX:FGR"", ""pe"")"),"#N/A")</f>
        <v>#N/A</v>
      </c>
      <c r="G838" s="9">
        <f>IFERROR(__xludf.DUMMYFUNCTION("GOOGLEFINANCE(""ASX:FGR"", ""high52"")"),0.11)</f>
        <v>0.11</v>
      </c>
      <c r="H838" s="9">
        <f>IFERROR(__xludf.DUMMYFUNCTION("GOOGLEFINANCE(""ASX:FGR"", ""low52"")"),0.02)</f>
        <v>0.02</v>
      </c>
      <c r="I838" s="9">
        <f>IFERROR(__xludf.DUMMYFUNCTION("GOOGLEFINANCE(""ASX:FGR"", ""marketcap"")"),5.9888714E7)</f>
        <v>59888714</v>
      </c>
      <c r="J838" s="5"/>
      <c r="K838" s="5"/>
      <c r="L838" s="5"/>
      <c r="M838" s="5"/>
      <c r="N838" s="11" t="s">
        <v>19</v>
      </c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6" t="s">
        <v>1700</v>
      </c>
      <c r="B839" s="6" t="s">
        <v>1701</v>
      </c>
      <c r="C839" s="5" t="s">
        <v>171</v>
      </c>
      <c r="D839" s="7">
        <f>IFERROR(__xludf.DUMMYFUNCTION("GOOGLEFINANCE(""ASX:FGX"", ""price"")"),1.32)</f>
        <v>1.32</v>
      </c>
      <c r="E839" s="8">
        <f>IFERROR(__xludf.DUMMYFUNCTION("GOOGLEFINANCE(""ASX:FGX"", ""closeyest"")"),1.32)</f>
        <v>1.32</v>
      </c>
      <c r="F839" s="9">
        <f>IFERROR(__xludf.DUMMYFUNCTION("GOOGLEFINANCE(""ASX:FGX"", ""pe"")"),14.23)</f>
        <v>14.23</v>
      </c>
      <c r="G839" s="9">
        <f>IFERROR(__xludf.DUMMYFUNCTION("GOOGLEFINANCE(""ASX:FGX"", ""high52"")"),1.4)</f>
        <v>1.4</v>
      </c>
      <c r="H839" s="9">
        <f>IFERROR(__xludf.DUMMYFUNCTION("GOOGLEFINANCE(""ASX:FGX"", ""low52"")"),1.15)</f>
        <v>1.15</v>
      </c>
      <c r="I839" s="9">
        <f>IFERROR(__xludf.DUMMYFUNCTION("GOOGLEFINANCE(""ASX:FGX"", ""marketcap"")"),5.42437257E8)</f>
        <v>542437257</v>
      </c>
      <c r="J839" s="9">
        <v>0.003</v>
      </c>
      <c r="K839" s="9">
        <v>0.003</v>
      </c>
      <c r="L839" s="9">
        <v>0.003</v>
      </c>
      <c r="M839" s="9">
        <v>0.001</v>
      </c>
      <c r="N839" s="10">
        <v>14.07</v>
      </c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6" t="s">
        <v>1702</v>
      </c>
      <c r="B840" s="6" t="s">
        <v>1703</v>
      </c>
      <c r="C840" s="5" t="s">
        <v>36</v>
      </c>
      <c r="D840" s="7">
        <f>IFERROR(__xludf.DUMMYFUNCTION("GOOGLEFINANCE(""ASX:FHCO"", ""price"")"),8.17)</f>
        <v>8.17</v>
      </c>
      <c r="E840" s="8">
        <f>IFERROR(__xludf.DUMMYFUNCTION("GOOGLEFINANCE(""ASX:FHCO"", ""closeyest"")"),8.1)</f>
        <v>8.1</v>
      </c>
      <c r="F840" s="5" t="str">
        <f>IFERROR(__xludf.DUMMYFUNCTION("GOOGLEFINANCE(""ASX:FHCO"", ""pe"")"),"#N/A")</f>
        <v>#N/A</v>
      </c>
      <c r="G840" s="9">
        <f>IFERROR(__xludf.DUMMYFUNCTION("GOOGLEFINANCE(""ASX:FHCO"", ""high52"")"),9.95)</f>
        <v>9.95</v>
      </c>
      <c r="H840" s="9">
        <f>IFERROR(__xludf.DUMMYFUNCTION("GOOGLEFINANCE(""ASX:FHCO"", ""low52"")"),7.91)</f>
        <v>7.91</v>
      </c>
      <c r="I840" s="9" t="str">
        <f>IFERROR(__xludf.DUMMYFUNCTION("GOOGLEFINANCE(""ASX:FHCO"", ""marketcap"")"),"#N/A")</f>
        <v>#N/A</v>
      </c>
      <c r="J840" s="5"/>
      <c r="K840" s="5"/>
      <c r="L840" s="5"/>
      <c r="M840" s="5"/>
      <c r="N840" s="11" t="s">
        <v>19</v>
      </c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6" t="s">
        <v>1704</v>
      </c>
      <c r="B841" s="6" t="s">
        <v>1705</v>
      </c>
      <c r="C841" s="5" t="s">
        <v>954</v>
      </c>
      <c r="D841" s="7">
        <f>IFERROR(__xludf.DUMMYFUNCTION("GOOGLEFINANCE(""ASX:FHE"", ""price"")"),0.24)</f>
        <v>0.24</v>
      </c>
      <c r="E841" s="8">
        <f>IFERROR(__xludf.DUMMYFUNCTION("GOOGLEFINANCE(""ASX:FHE"", ""closeyest"")"),0.23)</f>
        <v>0.23</v>
      </c>
      <c r="F841" s="5" t="str">
        <f>IFERROR(__xludf.DUMMYFUNCTION("GOOGLEFINANCE(""ASX:FHE"", ""pe"")"),"#N/A")</f>
        <v>#N/A</v>
      </c>
      <c r="G841" s="9">
        <f>IFERROR(__xludf.DUMMYFUNCTION("GOOGLEFINANCE(""ASX:FHE"", ""high52"")"),0.37)</f>
        <v>0.37</v>
      </c>
      <c r="H841" s="9">
        <f>IFERROR(__xludf.DUMMYFUNCTION("GOOGLEFINANCE(""ASX:FHE"", ""low52"")"),0.1)</f>
        <v>0.1</v>
      </c>
      <c r="I841" s="9">
        <f>IFERROR(__xludf.DUMMYFUNCTION("GOOGLEFINANCE(""ASX:FHE"", ""marketcap"")"),1.25768568E8)</f>
        <v>125768568</v>
      </c>
      <c r="J841" s="5"/>
      <c r="K841" s="5"/>
      <c r="L841" s="5"/>
      <c r="M841" s="5"/>
      <c r="N841" s="11" t="s">
        <v>19</v>
      </c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6" t="s">
        <v>1706</v>
      </c>
      <c r="B842" s="6" t="s">
        <v>1707</v>
      </c>
      <c r="C842" s="5" t="s">
        <v>36</v>
      </c>
      <c r="D842" s="7">
        <f>IFERROR(__xludf.DUMMYFUNCTION("GOOGLEFINANCE(""ASX:FHNG"", ""price"")"),12.43)</f>
        <v>12.43</v>
      </c>
      <c r="E842" s="8">
        <f>IFERROR(__xludf.DUMMYFUNCTION("GOOGLEFINANCE(""ASX:FHNG"", ""closeyest"")"),12.42)</f>
        <v>12.42</v>
      </c>
      <c r="F842" s="5" t="str">
        <f>IFERROR(__xludf.DUMMYFUNCTION("GOOGLEFINANCE(""ASX:FHNG"", ""pe"")"),"#N/A")</f>
        <v>#N/A</v>
      </c>
      <c r="G842" s="9">
        <f>IFERROR(__xludf.DUMMYFUNCTION("GOOGLEFINANCE(""ASX:FHNG"", ""high52"")"),13.68)</f>
        <v>13.68</v>
      </c>
      <c r="H842" s="9">
        <f>IFERROR(__xludf.DUMMYFUNCTION("GOOGLEFINANCE(""ASX:FHNG"", ""low52"")"),8.11)</f>
        <v>8.11</v>
      </c>
      <c r="I842" s="9" t="str">
        <f>IFERROR(__xludf.DUMMYFUNCTION("GOOGLEFINANCE(""ASX:FHNG"", ""marketcap"")"),"#N/A")</f>
        <v>#N/A</v>
      </c>
      <c r="J842" s="5"/>
      <c r="K842" s="5"/>
      <c r="L842" s="5"/>
      <c r="M842" s="5"/>
      <c r="N842" s="11" t="s">
        <v>19</v>
      </c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6" t="s">
        <v>1708</v>
      </c>
      <c r="B843" s="6" t="s">
        <v>1709</v>
      </c>
      <c r="C843" s="5" t="s">
        <v>18</v>
      </c>
      <c r="D843" s="7">
        <f>IFERROR(__xludf.DUMMYFUNCTION("GOOGLEFINANCE(""ASX:FHS"", ""price"")"),0.0)</f>
        <v>0</v>
      </c>
      <c r="E843" s="8">
        <f>IFERROR(__xludf.DUMMYFUNCTION("GOOGLEFINANCE(""ASX:FHS"", ""closeyest"")"),0.0)</f>
        <v>0</v>
      </c>
      <c r="F843" s="5" t="str">
        <f>IFERROR(__xludf.DUMMYFUNCTION("GOOGLEFINANCE(""ASX:FHS"", ""pe"")"),"#N/A")</f>
        <v>#N/A</v>
      </c>
      <c r="G843" s="9">
        <f>IFERROR(__xludf.DUMMYFUNCTION("GOOGLEFINANCE(""ASX:FHS"", ""high52"")"),0.01)</f>
        <v>0.01</v>
      </c>
      <c r="H843" s="9">
        <f>IFERROR(__xludf.DUMMYFUNCTION("GOOGLEFINANCE(""ASX:FHS"", ""low52"")"),0.0)</f>
        <v>0</v>
      </c>
      <c r="I843" s="9">
        <f>IFERROR(__xludf.DUMMYFUNCTION("GOOGLEFINANCE(""ASX:FHS"", ""marketcap"")"),7035208.0)</f>
        <v>7035208</v>
      </c>
      <c r="J843" s="12">
        <v>0.004</v>
      </c>
      <c r="K843" s="12">
        <v>0.004</v>
      </c>
      <c r="L843" s="12">
        <v>0.008</v>
      </c>
      <c r="M843" s="12">
        <v>0.003</v>
      </c>
      <c r="N843" s="11" t="s">
        <v>19</v>
      </c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6" t="s">
        <v>1710</v>
      </c>
      <c r="B844" s="6" t="s">
        <v>1711</v>
      </c>
      <c r="C844" s="5" t="s">
        <v>171</v>
      </c>
      <c r="D844" s="7">
        <f>IFERROR(__xludf.DUMMYFUNCTION("GOOGLEFINANCE(""ASX:FID"", ""price"")"),11.8)</f>
        <v>11.8</v>
      </c>
      <c r="E844" s="8">
        <f>IFERROR(__xludf.DUMMYFUNCTION("GOOGLEFINANCE(""ASX:FID"", ""closeyest"")"),12.15)</f>
        <v>12.15</v>
      </c>
      <c r="F844" s="9">
        <f>IFERROR(__xludf.DUMMYFUNCTION("GOOGLEFINANCE(""ASX:FID"", ""pe"")"),20.06)</f>
        <v>20.06</v>
      </c>
      <c r="G844" s="9">
        <f>IFERROR(__xludf.DUMMYFUNCTION("GOOGLEFINANCE(""ASX:FID"", ""high52"")"),13.61)</f>
        <v>13.61</v>
      </c>
      <c r="H844" s="9">
        <f>IFERROR(__xludf.DUMMYFUNCTION("GOOGLEFINANCE(""ASX:FID"", ""low52"")"),8.2)</f>
        <v>8.2</v>
      </c>
      <c r="I844" s="9">
        <f>IFERROR(__xludf.DUMMYFUNCTION("GOOGLEFINANCE(""ASX:FID"", ""marketcap"")"),3.72497922E8)</f>
        <v>372497922</v>
      </c>
      <c r="J844" s="5"/>
      <c r="K844" s="5"/>
      <c r="L844" s="5"/>
      <c r="M844" s="5"/>
      <c r="N844" s="10">
        <v>19.79</v>
      </c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6" t="s">
        <v>1712</v>
      </c>
      <c r="B845" s="6" t="s">
        <v>1713</v>
      </c>
      <c r="C845" s="5" t="s">
        <v>36</v>
      </c>
      <c r="D845" s="7">
        <f>IFERROR(__xludf.DUMMYFUNCTION("GOOGLEFINANCE(""ASX:FIIN"", ""price"")"),9.09)</f>
        <v>9.09</v>
      </c>
      <c r="E845" s="8">
        <f>IFERROR(__xludf.DUMMYFUNCTION("GOOGLEFINANCE(""ASX:FIIN"", ""closeyest"")"),9.0)</f>
        <v>9</v>
      </c>
      <c r="F845" s="5" t="str">
        <f>IFERROR(__xludf.DUMMYFUNCTION("GOOGLEFINANCE(""ASX:FIIN"", ""pe"")"),"#N/A")</f>
        <v>#N/A</v>
      </c>
      <c r="G845" s="9">
        <f>IFERROR(__xludf.DUMMYFUNCTION("GOOGLEFINANCE(""ASX:FIIN"", ""high52"")"),11.0)</f>
        <v>11</v>
      </c>
      <c r="H845" s="9">
        <f>IFERROR(__xludf.DUMMYFUNCTION("GOOGLEFINANCE(""ASX:FIIN"", ""low52"")"),8.98)</f>
        <v>8.98</v>
      </c>
      <c r="I845" s="9" t="str">
        <f>IFERROR(__xludf.DUMMYFUNCTION("GOOGLEFINANCE(""ASX:FIIN"", ""marketcap"")"),"#N/A")</f>
        <v>#N/A</v>
      </c>
      <c r="J845" s="5"/>
      <c r="K845" s="5"/>
      <c r="L845" s="5"/>
      <c r="M845" s="5"/>
      <c r="N845" s="11" t="s">
        <v>19</v>
      </c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6" t="s">
        <v>1714</v>
      </c>
      <c r="B846" s="6" t="s">
        <v>1715</v>
      </c>
      <c r="C846" s="5" t="s">
        <v>450</v>
      </c>
      <c r="D846" s="7">
        <f>IFERROR(__xludf.DUMMYFUNCTION("GOOGLEFINANCE(""ASX:FIN"", ""price"")"),0.01)</f>
        <v>0.01</v>
      </c>
      <c r="E846" s="8">
        <f>IFERROR(__xludf.DUMMYFUNCTION("GOOGLEFINANCE(""ASX:FIN"", ""closeyest"")"),0.01)</f>
        <v>0.01</v>
      </c>
      <c r="F846" s="5" t="str">
        <f>IFERROR(__xludf.DUMMYFUNCTION("GOOGLEFINANCE(""ASX:FIN"", ""pe"")"),"#N/A")</f>
        <v>#N/A</v>
      </c>
      <c r="G846" s="9">
        <f>IFERROR(__xludf.DUMMYFUNCTION("GOOGLEFINANCE(""ASX:FIN"", ""high52"")"),0.02)</f>
        <v>0.02</v>
      </c>
      <c r="H846" s="9">
        <f>IFERROR(__xludf.DUMMYFUNCTION("GOOGLEFINANCE(""ASX:FIN"", ""low52"")"),0.0)</f>
        <v>0</v>
      </c>
      <c r="I846" s="9">
        <f>IFERROR(__xludf.DUMMYFUNCTION("GOOGLEFINANCE(""ASX:FIN"", ""marketcap"")"),1.3944875E7)</f>
        <v>13944875</v>
      </c>
      <c r="J846" s="5"/>
      <c r="K846" s="5"/>
      <c r="L846" s="5"/>
      <c r="M846" s="5"/>
      <c r="N846" s="11" t="s">
        <v>19</v>
      </c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6" t="s">
        <v>1716</v>
      </c>
      <c r="B847" s="6" t="s">
        <v>1717</v>
      </c>
      <c r="C847" s="5" t="s">
        <v>18</v>
      </c>
      <c r="D847" s="7">
        <f>IFERROR(__xludf.DUMMYFUNCTION("GOOGLEFINANCE(""ASX:FL1"", ""price"")"),0.12)</f>
        <v>0.12</v>
      </c>
      <c r="E847" s="8">
        <f>IFERROR(__xludf.DUMMYFUNCTION("GOOGLEFINANCE(""ASX:FL1"", ""closeyest"")"),0.12)</f>
        <v>0.12</v>
      </c>
      <c r="F847" s="5" t="str">
        <f>IFERROR(__xludf.DUMMYFUNCTION("GOOGLEFINANCE(""ASX:FL1"", ""pe"")"),"#N/A")</f>
        <v>#N/A</v>
      </c>
      <c r="G847" s="9">
        <f>IFERROR(__xludf.DUMMYFUNCTION("GOOGLEFINANCE(""ASX:FL1"", ""high52"")"),0.15)</f>
        <v>0.15</v>
      </c>
      <c r="H847" s="9">
        <f>IFERROR(__xludf.DUMMYFUNCTION("GOOGLEFINANCE(""ASX:FL1"", ""low52"")"),0.06)</f>
        <v>0.06</v>
      </c>
      <c r="I847" s="9">
        <f>IFERROR(__xludf.DUMMYFUNCTION("GOOGLEFINANCE(""ASX:FL1"", ""marketcap"")"),1.3040831E7)</f>
        <v>13040831</v>
      </c>
      <c r="J847" s="5"/>
      <c r="K847" s="5"/>
      <c r="L847" s="5"/>
      <c r="M847" s="5"/>
      <c r="N847" s="11" t="s">
        <v>19</v>
      </c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6" t="s">
        <v>1718</v>
      </c>
      <c r="B848" s="6" t="s">
        <v>1719</v>
      </c>
      <c r="C848" s="5" t="s">
        <v>1291</v>
      </c>
      <c r="D848" s="7">
        <f>IFERROR(__xludf.DUMMYFUNCTION("GOOGLEFINANCE(""ASX:FLC"", ""price"")"),0.1)</f>
        <v>0.1</v>
      </c>
      <c r="E848" s="8">
        <f>IFERROR(__xludf.DUMMYFUNCTION("GOOGLEFINANCE(""ASX:FLC"", ""closeyest"")"),0.1)</f>
        <v>0.1</v>
      </c>
      <c r="F848" s="5" t="str">
        <f>IFERROR(__xludf.DUMMYFUNCTION("GOOGLEFINANCE(""ASX:FLC"", ""pe"")"),"#N/A")</f>
        <v>#N/A</v>
      </c>
      <c r="G848" s="9">
        <f>IFERROR(__xludf.DUMMYFUNCTION("GOOGLEFINANCE(""ASX:FLC"", ""high52"")"),0.15)</f>
        <v>0.15</v>
      </c>
      <c r="H848" s="9">
        <f>IFERROR(__xludf.DUMMYFUNCTION("GOOGLEFINANCE(""ASX:FLC"", ""low52"")"),0.03)</f>
        <v>0.03</v>
      </c>
      <c r="I848" s="9">
        <f>IFERROR(__xludf.DUMMYFUNCTION("GOOGLEFINANCE(""ASX:FLC"", ""marketcap"")"),1.11909599E8)</f>
        <v>111909599</v>
      </c>
      <c r="J848" s="5"/>
      <c r="K848" s="5"/>
      <c r="L848" s="5"/>
      <c r="M848" s="5"/>
      <c r="N848" s="11" t="s">
        <v>19</v>
      </c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6" t="s">
        <v>1718</v>
      </c>
      <c r="B849" s="6" t="s">
        <v>1719</v>
      </c>
      <c r="C849" s="5" t="s">
        <v>1291</v>
      </c>
      <c r="D849" s="7">
        <f>IFERROR(__xludf.DUMMYFUNCTION("GOOGLEFINANCE(""ASX:FLC"", ""price"")"),0.1)</f>
        <v>0.1</v>
      </c>
      <c r="E849" s="8">
        <f>IFERROR(__xludf.DUMMYFUNCTION("GOOGLEFINANCE(""ASX:FLC"", ""closeyest"")"),0.1)</f>
        <v>0.1</v>
      </c>
      <c r="F849" s="5" t="str">
        <f>IFERROR(__xludf.DUMMYFUNCTION("GOOGLEFINANCE(""ASX:FLC"", ""pe"")"),"#N/A")</f>
        <v>#N/A</v>
      </c>
      <c r="G849" s="9">
        <f>IFERROR(__xludf.DUMMYFUNCTION("GOOGLEFINANCE(""ASX:FLC"", ""high52"")"),0.15)</f>
        <v>0.15</v>
      </c>
      <c r="H849" s="9">
        <f>IFERROR(__xludf.DUMMYFUNCTION("GOOGLEFINANCE(""ASX:FLC"", ""low52"")"),0.03)</f>
        <v>0.03</v>
      </c>
      <c r="I849" s="9">
        <f>IFERROR(__xludf.DUMMYFUNCTION("GOOGLEFINANCE(""ASX:FLC"", ""marketcap"")"),1.11909599E8)</f>
        <v>111909599</v>
      </c>
      <c r="J849" s="5"/>
      <c r="K849" s="5"/>
      <c r="L849" s="5"/>
      <c r="M849" s="5"/>
      <c r="N849" s="11" t="s">
        <v>19</v>
      </c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13" t="s">
        <v>1718</v>
      </c>
      <c r="B850" s="13" t="s">
        <v>1719</v>
      </c>
      <c r="C850" s="14" t="s">
        <v>1291</v>
      </c>
      <c r="D850" s="15">
        <f>IFERROR(__xludf.DUMMYFUNCTION("GOOGLEFINANCE(""ASX:FLC"", ""price"")"),0.1)</f>
        <v>0.1</v>
      </c>
      <c r="E850" s="8">
        <f>IFERROR(__xludf.DUMMYFUNCTION("GOOGLEFINANCE(""ASX:FLC"", ""closeyest"")"),0.1)</f>
        <v>0.1</v>
      </c>
      <c r="F850" s="5" t="str">
        <f>IFERROR(__xludf.DUMMYFUNCTION("GOOGLEFINANCE(""ASX:FLC"", ""pe"")"),"#N/A")</f>
        <v>#N/A</v>
      </c>
      <c r="G850" s="9">
        <f>IFERROR(__xludf.DUMMYFUNCTION("GOOGLEFINANCE(""ASX:FLC"", ""high52"")"),0.15)</f>
        <v>0.15</v>
      </c>
      <c r="H850" s="9">
        <f>IFERROR(__xludf.DUMMYFUNCTION("GOOGLEFINANCE(""ASX:FLC"", ""low52"")"),0.03)</f>
        <v>0.03</v>
      </c>
      <c r="I850" s="9">
        <f>IFERROR(__xludf.DUMMYFUNCTION("GOOGLEFINANCE(""ASX:FLC"", ""marketcap"")"),1.11909599E8)</f>
        <v>111909599</v>
      </c>
      <c r="J850" s="5"/>
      <c r="K850" s="5"/>
      <c r="L850" s="5"/>
      <c r="M850" s="5"/>
      <c r="N850" s="11" t="s">
        <v>19</v>
      </c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6" t="s">
        <v>1720</v>
      </c>
      <c r="B851" s="6" t="s">
        <v>1721</v>
      </c>
      <c r="C851" s="5" t="s">
        <v>39</v>
      </c>
      <c r="D851" s="7">
        <f>IFERROR(__xludf.DUMMYFUNCTION("GOOGLEFINANCE(""ASX:FLG"", ""price"")"),0.23)</f>
        <v>0.23</v>
      </c>
      <c r="E851" s="8">
        <f>IFERROR(__xludf.DUMMYFUNCTION("GOOGLEFINANCE(""ASX:FLG"", ""closeyest"")"),0.23)</f>
        <v>0.23</v>
      </c>
      <c r="F851" s="5" t="str">
        <f>IFERROR(__xludf.DUMMYFUNCTION("GOOGLEFINANCE(""ASX:FLG"", ""pe"")"),"#N/A")</f>
        <v>#N/A</v>
      </c>
      <c r="G851" s="9">
        <f>IFERROR(__xludf.DUMMYFUNCTION("GOOGLEFINANCE(""ASX:FLG"", ""high52"")"),0.25)</f>
        <v>0.25</v>
      </c>
      <c r="H851" s="9">
        <f>IFERROR(__xludf.DUMMYFUNCTION("GOOGLEFINANCE(""ASX:FLG"", ""low52"")"),0.04)</f>
        <v>0.04</v>
      </c>
      <c r="I851" s="9">
        <f>IFERROR(__xludf.DUMMYFUNCTION("GOOGLEFINANCE(""ASX:FLG"", ""marketcap"")"),6.858308E7)</f>
        <v>68583080</v>
      </c>
      <c r="J851" s="5"/>
      <c r="K851" s="5"/>
      <c r="L851" s="5"/>
      <c r="M851" s="5"/>
      <c r="N851" s="11" t="s">
        <v>19</v>
      </c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6" t="s">
        <v>1722</v>
      </c>
      <c r="B852" s="6" t="s">
        <v>1723</v>
      </c>
      <c r="C852" s="5" t="s">
        <v>509</v>
      </c>
      <c r="D852" s="7">
        <f>IFERROR(__xludf.DUMMYFUNCTION("GOOGLEFINANCE(""ASX:FLN"", ""price"")"),0.24)</f>
        <v>0.24</v>
      </c>
      <c r="E852" s="8">
        <f>IFERROR(__xludf.DUMMYFUNCTION("GOOGLEFINANCE(""ASX:FLN"", ""closeyest"")"),0.25)</f>
        <v>0.25</v>
      </c>
      <c r="F852" s="9">
        <f>IFERROR(__xludf.DUMMYFUNCTION("GOOGLEFINANCE(""ASX:FLN"", ""pe"")"),51.17)</f>
        <v>51.17</v>
      </c>
      <c r="G852" s="9">
        <f>IFERROR(__xludf.DUMMYFUNCTION("GOOGLEFINANCE(""ASX:FLN"", ""high52"")"),0.33)</f>
        <v>0.33</v>
      </c>
      <c r="H852" s="9">
        <f>IFERROR(__xludf.DUMMYFUNCTION("GOOGLEFINANCE(""ASX:FLN"", ""low52"")"),0.16)</f>
        <v>0.16</v>
      </c>
      <c r="I852" s="9">
        <f>IFERROR(__xludf.DUMMYFUNCTION("GOOGLEFINANCE(""ASX:FLN"", ""marketcap"")"),1.08219549E8)</f>
        <v>108219549</v>
      </c>
      <c r="J852" s="5"/>
      <c r="K852" s="5"/>
      <c r="L852" s="5"/>
      <c r="M852" s="5"/>
      <c r="N852" s="10">
        <v>51.17</v>
      </c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6" t="s">
        <v>1724</v>
      </c>
      <c r="B853" s="6" t="s">
        <v>1725</v>
      </c>
      <c r="C853" s="5" t="s">
        <v>36</v>
      </c>
      <c r="D853" s="7">
        <f>IFERROR(__xludf.DUMMYFUNCTION("GOOGLEFINANCE(""ASX:FLOT"", ""price"")"),25.04)</f>
        <v>25.04</v>
      </c>
      <c r="E853" s="8">
        <f>IFERROR(__xludf.DUMMYFUNCTION("GOOGLEFINANCE(""ASX:FLOT"", ""closeyest"")"),25.03)</f>
        <v>25.03</v>
      </c>
      <c r="F853" s="5" t="str">
        <f>IFERROR(__xludf.DUMMYFUNCTION("GOOGLEFINANCE(""ASX:FLOT"", ""pe"")"),"#N/A")</f>
        <v>#N/A</v>
      </c>
      <c r="G853" s="9">
        <f>IFERROR(__xludf.DUMMYFUNCTION("GOOGLEFINANCE(""ASX:FLOT"", ""high52"")"),25.1)</f>
        <v>25.1</v>
      </c>
      <c r="H853" s="9">
        <f>IFERROR(__xludf.DUMMYFUNCTION("GOOGLEFINANCE(""ASX:FLOT"", ""low52"")"),24.38)</f>
        <v>24.38</v>
      </c>
      <c r="I853" s="9" t="str">
        <f>IFERROR(__xludf.DUMMYFUNCTION("GOOGLEFINANCE(""ASX:FLOT"", ""marketcap"")"),"#N/A")</f>
        <v>#N/A</v>
      </c>
      <c r="J853" s="5"/>
      <c r="K853" s="5"/>
      <c r="L853" s="5"/>
      <c r="M853" s="5"/>
      <c r="N853" s="11" t="s">
        <v>19</v>
      </c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6" t="s">
        <v>1726</v>
      </c>
      <c r="B854" s="6" t="s">
        <v>1727</v>
      </c>
      <c r="C854" s="5" t="s">
        <v>670</v>
      </c>
      <c r="D854" s="7">
        <f>IFERROR(__xludf.DUMMYFUNCTION("GOOGLEFINANCE(""ASX:FLT"", ""price"")"),14.86)</f>
        <v>14.86</v>
      </c>
      <c r="E854" s="8">
        <f>IFERROR(__xludf.DUMMYFUNCTION("GOOGLEFINANCE(""ASX:FLT"", ""closeyest"")"),14.66)</f>
        <v>14.66</v>
      </c>
      <c r="F854" s="9">
        <f>IFERROR(__xludf.DUMMYFUNCTION("GOOGLEFINANCE(""ASX:FLT"", ""pe"")"),30.35)</f>
        <v>30.35</v>
      </c>
      <c r="G854" s="9">
        <f>IFERROR(__xludf.DUMMYFUNCTION("GOOGLEFINANCE(""ASX:FLT"", ""high52"")"),18.14)</f>
        <v>18.14</v>
      </c>
      <c r="H854" s="9">
        <f>IFERROR(__xludf.DUMMYFUNCTION("GOOGLEFINANCE(""ASX:FLT"", ""low52"")"),11.41)</f>
        <v>11.41</v>
      </c>
      <c r="I854" s="9">
        <f>IFERROR(__xludf.DUMMYFUNCTION("GOOGLEFINANCE(""ASX:FLT"", ""marketcap"")"),3.172471728E9)</f>
        <v>3172471728</v>
      </c>
      <c r="J854" s="5"/>
      <c r="K854" s="5"/>
      <c r="L854" s="5"/>
      <c r="M854" s="5"/>
      <c r="N854" s="10">
        <v>30.64</v>
      </c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6" t="s">
        <v>1728</v>
      </c>
      <c r="B855" s="6" t="s">
        <v>1729</v>
      </c>
      <c r="C855" s="5" t="s">
        <v>15</v>
      </c>
      <c r="D855" s="7">
        <f>IFERROR(__xludf.DUMMYFUNCTION("GOOGLEFINANCE(""ASX:FLX"", ""price"")"),0.16)</f>
        <v>0.16</v>
      </c>
      <c r="E855" s="8">
        <f>IFERROR(__xludf.DUMMYFUNCTION("GOOGLEFINANCE(""ASX:FLX"", ""closeyest"")"),0.16)</f>
        <v>0.16</v>
      </c>
      <c r="F855" s="5" t="str">
        <f>IFERROR(__xludf.DUMMYFUNCTION("GOOGLEFINANCE(""ASX:FLX"", ""pe"")"),"#N/A")</f>
        <v>#N/A</v>
      </c>
      <c r="G855" s="9">
        <f>IFERROR(__xludf.DUMMYFUNCTION("GOOGLEFINANCE(""ASX:FLX"", ""high52"")"),0.24)</f>
        <v>0.24</v>
      </c>
      <c r="H855" s="9">
        <f>IFERROR(__xludf.DUMMYFUNCTION("GOOGLEFINANCE(""ASX:FLX"", ""low52"")"),0.14)</f>
        <v>0.14</v>
      </c>
      <c r="I855" s="9">
        <f>IFERROR(__xludf.DUMMYFUNCTION("GOOGLEFINANCE(""ASX:FLX"", ""marketcap"")"),4.626761E7)</f>
        <v>46267610</v>
      </c>
      <c r="J855" s="5"/>
      <c r="K855" s="5"/>
      <c r="L855" s="5"/>
      <c r="M855" s="5"/>
      <c r="N855" s="11" t="s">
        <v>19</v>
      </c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6" t="s">
        <v>1730</v>
      </c>
      <c r="B856" s="6" t="s">
        <v>1731</v>
      </c>
      <c r="C856" s="5" t="s">
        <v>18</v>
      </c>
      <c r="D856" s="7">
        <f>IFERROR(__xludf.DUMMYFUNCTION("GOOGLEFINANCE(""ASX:FME"", ""price"")"),0.03)</f>
        <v>0.03</v>
      </c>
      <c r="E856" s="8">
        <f>IFERROR(__xludf.DUMMYFUNCTION("GOOGLEFINANCE(""ASX:FME"", ""closeyest"")"),0.03)</f>
        <v>0.03</v>
      </c>
      <c r="F856" s="5" t="str">
        <f>IFERROR(__xludf.DUMMYFUNCTION("GOOGLEFINANCE(""ASX:FME"", ""pe"")"),"#N/A")</f>
        <v>#N/A</v>
      </c>
      <c r="G856" s="9">
        <f>IFERROR(__xludf.DUMMYFUNCTION("GOOGLEFINANCE(""ASX:FME"", ""high52"")"),0.04)</f>
        <v>0.04</v>
      </c>
      <c r="H856" s="9">
        <f>IFERROR(__xludf.DUMMYFUNCTION("GOOGLEFINANCE(""ASX:FME"", ""low52"")"),0.01)</f>
        <v>0.01</v>
      </c>
      <c r="I856" s="9">
        <f>IFERROR(__xludf.DUMMYFUNCTION("GOOGLEFINANCE(""ASX:FME"", ""marketcap"")"),3.2585622E7)</f>
        <v>32585622</v>
      </c>
      <c r="J856" s="5"/>
      <c r="K856" s="5"/>
      <c r="L856" s="5"/>
      <c r="M856" s="5"/>
      <c r="N856" s="11" t="s">
        <v>19</v>
      </c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6" t="s">
        <v>1732</v>
      </c>
      <c r="B857" s="6" t="s">
        <v>1733</v>
      </c>
      <c r="C857" s="5" t="s">
        <v>212</v>
      </c>
      <c r="D857" s="7">
        <f>IFERROR(__xludf.DUMMYFUNCTION("GOOGLEFINANCE(""ASX:FMG"", ""price"")"),22.8)</f>
        <v>22.8</v>
      </c>
      <c r="E857" s="8">
        <f>IFERROR(__xludf.DUMMYFUNCTION("GOOGLEFINANCE(""ASX:FMG"", ""closeyest"")"),22.84)</f>
        <v>22.84</v>
      </c>
      <c r="F857" s="9">
        <f>IFERROR(__xludf.DUMMYFUNCTION("GOOGLEFINANCE(""ASX:FMG"", ""pe"")"),13.94)</f>
        <v>13.94</v>
      </c>
      <c r="G857" s="9">
        <f>IFERROR(__xludf.DUMMYFUNCTION("GOOGLEFINANCE(""ASX:FMG"", ""high52"")"),23.38)</f>
        <v>23.38</v>
      </c>
      <c r="H857" s="9">
        <f>IFERROR(__xludf.DUMMYFUNCTION("GOOGLEFINANCE(""ASX:FMG"", ""low52"")"),13.18)</f>
        <v>13.18</v>
      </c>
      <c r="I857" s="9">
        <f>IFERROR(__xludf.DUMMYFUNCTION("GOOGLEFINANCE(""ASX:FMG"", ""marketcap"")"),7.020037685E10)</f>
        <v>70200376850</v>
      </c>
      <c r="J857" s="5"/>
      <c r="K857" s="5"/>
      <c r="L857" s="5"/>
      <c r="M857" s="5"/>
      <c r="N857" s="10">
        <v>13.53</v>
      </c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6" t="s">
        <v>1732</v>
      </c>
      <c r="B858" s="6" t="s">
        <v>1733</v>
      </c>
      <c r="C858" s="5" t="s">
        <v>212</v>
      </c>
      <c r="D858" s="7">
        <f>IFERROR(__xludf.DUMMYFUNCTION("GOOGLEFINANCE(""ASX:FMG"", ""price"")"),22.8)</f>
        <v>22.8</v>
      </c>
      <c r="E858" s="8">
        <f>IFERROR(__xludf.DUMMYFUNCTION("GOOGLEFINANCE(""ASX:FMG"", ""closeyest"")"),22.84)</f>
        <v>22.84</v>
      </c>
      <c r="F858" s="9">
        <f>IFERROR(__xludf.DUMMYFUNCTION("GOOGLEFINANCE(""ASX:FMG"", ""pe"")"),13.94)</f>
        <v>13.94</v>
      </c>
      <c r="G858" s="9">
        <f>IFERROR(__xludf.DUMMYFUNCTION("GOOGLEFINANCE(""ASX:FMG"", ""high52"")"),23.38)</f>
        <v>23.38</v>
      </c>
      <c r="H858" s="9">
        <f>IFERROR(__xludf.DUMMYFUNCTION("GOOGLEFINANCE(""ASX:FMG"", ""low52"")"),13.18)</f>
        <v>13.18</v>
      </c>
      <c r="I858" s="9">
        <f>IFERROR(__xludf.DUMMYFUNCTION("GOOGLEFINANCE(""ASX:FMG"", ""marketcap"")"),7.020037685E10)</f>
        <v>70200376850</v>
      </c>
      <c r="J858" s="5"/>
      <c r="K858" s="5"/>
      <c r="L858" s="5"/>
      <c r="M858" s="5"/>
      <c r="N858" s="10">
        <v>13.53</v>
      </c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6" t="s">
        <v>1734</v>
      </c>
      <c r="B859" s="6" t="s">
        <v>1735</v>
      </c>
      <c r="C859" s="5" t="s">
        <v>88</v>
      </c>
      <c r="D859" s="7">
        <f>IFERROR(__xludf.DUMMYFUNCTION("GOOGLEFINANCE(""ASX:FML"", ""price"")"),3.45)</f>
        <v>3.45</v>
      </c>
      <c r="E859" s="8">
        <f>IFERROR(__xludf.DUMMYFUNCTION("GOOGLEFINANCE(""ASX:FML"", ""closeyest"")"),3.48)</f>
        <v>3.48</v>
      </c>
      <c r="F859" s="9">
        <f>IFERROR(__xludf.DUMMYFUNCTION("GOOGLEFINANCE(""ASX:FML"", ""pe"")"),3.95)</f>
        <v>3.95</v>
      </c>
      <c r="G859" s="9">
        <f>IFERROR(__xludf.DUMMYFUNCTION("GOOGLEFINANCE(""ASX:FML"", ""high52"")"),3.79)</f>
        <v>3.79</v>
      </c>
      <c r="H859" s="9">
        <f>IFERROR(__xludf.DUMMYFUNCTION("GOOGLEFINANCE(""ASX:FML"", ""low52"")"),0.18)</f>
        <v>0.18</v>
      </c>
      <c r="I859" s="9">
        <f>IFERROR(__xludf.DUMMYFUNCTION("GOOGLEFINANCE(""ASX:FML"", ""marketcap"")"),9.88627183E8)</f>
        <v>988627183</v>
      </c>
      <c r="J859" s="5"/>
      <c r="K859" s="5"/>
      <c r="L859" s="5"/>
      <c r="M859" s="5"/>
      <c r="N859" s="10">
        <v>3.82</v>
      </c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6" t="s">
        <v>1736</v>
      </c>
      <c r="B860" s="6" t="s">
        <v>1737</v>
      </c>
      <c r="C860" s="5" t="s">
        <v>450</v>
      </c>
      <c r="D860" s="7">
        <f>IFERROR(__xludf.DUMMYFUNCTION("GOOGLEFINANCE(""ASX:FMR"", ""price"")"),0.31)</f>
        <v>0.31</v>
      </c>
      <c r="E860" s="8">
        <f>IFERROR(__xludf.DUMMYFUNCTION("GOOGLEFINANCE(""ASX:FMR"", ""closeyest"")"),0.31)</f>
        <v>0.31</v>
      </c>
      <c r="F860" s="5" t="str">
        <f>IFERROR(__xludf.DUMMYFUNCTION("GOOGLEFINANCE(""ASX:FMR"", ""pe"")"),"#N/A")</f>
        <v>#N/A</v>
      </c>
      <c r="G860" s="9">
        <f>IFERROR(__xludf.DUMMYFUNCTION("GOOGLEFINANCE(""ASX:FMR"", ""high52"")"),0.49)</f>
        <v>0.49</v>
      </c>
      <c r="H860" s="9">
        <f>IFERROR(__xludf.DUMMYFUNCTION("GOOGLEFINANCE(""ASX:FMR"", ""low52"")"),0.15)</f>
        <v>0.15</v>
      </c>
      <c r="I860" s="9">
        <f>IFERROR(__xludf.DUMMYFUNCTION("GOOGLEFINANCE(""ASX:FMR"", ""marketcap"")"),1.549588E7)</f>
        <v>15495880</v>
      </c>
      <c r="J860" s="5"/>
      <c r="K860" s="5"/>
      <c r="L860" s="5"/>
      <c r="M860" s="5"/>
      <c r="N860" s="11" t="s">
        <v>19</v>
      </c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6" t="s">
        <v>1738</v>
      </c>
      <c r="B861" s="6" t="s">
        <v>1739</v>
      </c>
      <c r="C861" s="5" t="s">
        <v>33</v>
      </c>
      <c r="D861" s="7">
        <f>IFERROR(__xludf.DUMMYFUNCTION("GOOGLEFINANCE(""ASX:FND"", ""price"")"),1.64)</f>
        <v>1.64</v>
      </c>
      <c r="E861" s="8">
        <f>IFERROR(__xludf.DUMMYFUNCTION("GOOGLEFINANCE(""ASX:FND"", ""closeyest"")"),1.55)</f>
        <v>1.55</v>
      </c>
      <c r="F861" s="5" t="str">
        <f>IFERROR(__xludf.DUMMYFUNCTION("GOOGLEFINANCE(""ASX:FND"", ""pe"")"),"#N/A")</f>
        <v>#N/A</v>
      </c>
      <c r="G861" s="9">
        <f>IFERROR(__xludf.DUMMYFUNCTION("GOOGLEFINANCE(""ASX:FND"", ""high52"")"),6.18)</f>
        <v>6.18</v>
      </c>
      <c r="H861" s="9">
        <f>IFERROR(__xludf.DUMMYFUNCTION("GOOGLEFINANCE(""ASX:FND"", ""low52"")"),1.48)</f>
        <v>1.48</v>
      </c>
      <c r="I861" s="9">
        <f>IFERROR(__xludf.DUMMYFUNCTION("GOOGLEFINANCE(""ASX:FND"", ""marketcap"")"),1.01044977E8)</f>
        <v>101044977</v>
      </c>
      <c r="J861" s="5"/>
      <c r="K861" s="5"/>
      <c r="L861" s="5"/>
      <c r="M861" s="5"/>
      <c r="N861" s="11" t="s">
        <v>19</v>
      </c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6" t="s">
        <v>1740</v>
      </c>
      <c r="B862" s="6" t="s">
        <v>1741</v>
      </c>
      <c r="C862" s="5" t="s">
        <v>88</v>
      </c>
      <c r="D862" s="7">
        <f>IFERROR(__xludf.DUMMYFUNCTION("GOOGLEFINANCE(""ASX:FNR"", ""price"")"),0.12)</f>
        <v>0.12</v>
      </c>
      <c r="E862" s="8">
        <f>IFERROR(__xludf.DUMMYFUNCTION("GOOGLEFINANCE(""ASX:FNR"", ""closeyest"")"),0.12)</f>
        <v>0.12</v>
      </c>
      <c r="F862" s="5" t="str">
        <f>IFERROR(__xludf.DUMMYFUNCTION("GOOGLEFINANCE(""ASX:FNR"", ""pe"")"),"#N/A")</f>
        <v>#N/A</v>
      </c>
      <c r="G862" s="9">
        <f>IFERROR(__xludf.DUMMYFUNCTION("GOOGLEFINANCE(""ASX:FNR"", ""high52"")"),0.21)</f>
        <v>0.21</v>
      </c>
      <c r="H862" s="9">
        <f>IFERROR(__xludf.DUMMYFUNCTION("GOOGLEFINANCE(""ASX:FNR"", ""low52"")"),0.1)</f>
        <v>0.1</v>
      </c>
      <c r="I862" s="9">
        <f>IFERROR(__xludf.DUMMYFUNCTION("GOOGLEFINANCE(""ASX:FNR"", ""marketcap"")"),4831899.0)</f>
        <v>4831899</v>
      </c>
      <c r="J862" s="5"/>
      <c r="K862" s="5"/>
      <c r="L862" s="5"/>
      <c r="M862" s="5"/>
      <c r="N862" s="11" t="s">
        <v>19</v>
      </c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6" t="s">
        <v>1742</v>
      </c>
      <c r="B863" s="6" t="s">
        <v>1743</v>
      </c>
      <c r="C863" s="5" t="s">
        <v>140</v>
      </c>
      <c r="D863" s="7">
        <f>IFERROR(__xludf.DUMMYFUNCTION("GOOGLEFINANCE(""ASX:FNX"", ""price"")"),0.19)</f>
        <v>0.19</v>
      </c>
      <c r="E863" s="8">
        <f>IFERROR(__xludf.DUMMYFUNCTION("GOOGLEFINANCE(""ASX:FNX"", ""closeyest"")"),0.19)</f>
        <v>0.19</v>
      </c>
      <c r="F863" s="5" t="str">
        <f>IFERROR(__xludf.DUMMYFUNCTION("GOOGLEFINANCE(""ASX:FNX"", ""pe"")"),"#N/A")</f>
        <v>#N/A</v>
      </c>
      <c r="G863" s="9">
        <f>IFERROR(__xludf.DUMMYFUNCTION("GOOGLEFINANCE(""ASX:FNX"", ""high52"")"),0.3)</f>
        <v>0.3</v>
      </c>
      <c r="H863" s="9">
        <f>IFERROR(__xludf.DUMMYFUNCTION("GOOGLEFINANCE(""ASX:FNX"", ""low52"")"),0.11)</f>
        <v>0.11</v>
      </c>
      <c r="I863" s="9">
        <f>IFERROR(__xludf.DUMMYFUNCTION("GOOGLEFINANCE(""ASX:FNX"", ""marketcap"")"),1.183775E7)</f>
        <v>11837750</v>
      </c>
      <c r="J863" s="5"/>
      <c r="K863" s="5"/>
      <c r="L863" s="5"/>
      <c r="M863" s="5"/>
      <c r="N863" s="11" t="s">
        <v>19</v>
      </c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6" t="s">
        <v>1744</v>
      </c>
      <c r="B864" s="6" t="s">
        <v>1745</v>
      </c>
      <c r="C864" s="5" t="s">
        <v>36</v>
      </c>
      <c r="D864" s="7">
        <f>IFERROR(__xludf.DUMMYFUNCTION("GOOGLEFINANCE(""ASX:FOOD"", ""price"")"),7.36)</f>
        <v>7.36</v>
      </c>
      <c r="E864" s="8">
        <f>IFERROR(__xludf.DUMMYFUNCTION("GOOGLEFINANCE(""ASX:FOOD"", ""closeyest"")"),7.3)</f>
        <v>7.3</v>
      </c>
      <c r="F864" s="5" t="str">
        <f>IFERROR(__xludf.DUMMYFUNCTION("GOOGLEFINANCE(""ASX:FOOD"", ""pe"")"),"#N/A")</f>
        <v>#N/A</v>
      </c>
      <c r="G864" s="9">
        <f>IFERROR(__xludf.DUMMYFUNCTION("GOOGLEFINANCE(""ASX:FOOD"", ""high52"")"),7.41)</f>
        <v>7.41</v>
      </c>
      <c r="H864" s="9">
        <f>IFERROR(__xludf.DUMMYFUNCTION("GOOGLEFINANCE(""ASX:FOOD"", ""low52"")"),5.6)</f>
        <v>5.6</v>
      </c>
      <c r="I864" s="9" t="str">
        <f>IFERROR(__xludf.DUMMYFUNCTION("GOOGLEFINANCE(""ASX:FOOD"", ""marketcap"")"),"#N/A")</f>
        <v>#N/A</v>
      </c>
      <c r="J864" s="9">
        <v>0.765</v>
      </c>
      <c r="K864" s="9">
        <v>0.775</v>
      </c>
      <c r="L864" s="9">
        <v>0.85</v>
      </c>
      <c r="M864" s="9">
        <v>0.745</v>
      </c>
      <c r="N864" s="11" t="s">
        <v>19</v>
      </c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6" t="s">
        <v>1746</v>
      </c>
      <c r="B865" s="6" t="s">
        <v>1747</v>
      </c>
      <c r="C865" s="5" t="s">
        <v>1666</v>
      </c>
      <c r="D865" s="7">
        <f>IFERROR(__xludf.DUMMYFUNCTION("GOOGLEFINANCE(""ASX:FOS"", ""price"")"),0.25)</f>
        <v>0.25</v>
      </c>
      <c r="E865" s="8">
        <f>IFERROR(__xludf.DUMMYFUNCTION("GOOGLEFINANCE(""ASX:FOS"", ""closeyest"")"),0.25)</f>
        <v>0.25</v>
      </c>
      <c r="F865" s="9">
        <f>IFERROR(__xludf.DUMMYFUNCTION("GOOGLEFINANCE(""ASX:FOS"", ""pe"")"),14.52)</f>
        <v>14.52</v>
      </c>
      <c r="G865" s="9">
        <f>IFERROR(__xludf.DUMMYFUNCTION("GOOGLEFINANCE(""ASX:FOS"", ""high52"")"),0.36)</f>
        <v>0.36</v>
      </c>
      <c r="H865" s="9">
        <f>IFERROR(__xludf.DUMMYFUNCTION("GOOGLEFINANCE(""ASX:FOS"", ""low52"")"),0.23)</f>
        <v>0.23</v>
      </c>
      <c r="I865" s="9">
        <f>IFERROR(__xludf.DUMMYFUNCTION("GOOGLEFINANCE(""ASX:FOS"", ""marketcap"")"),1.718362E7)</f>
        <v>17183620</v>
      </c>
      <c r="J865" s="5"/>
      <c r="K865" s="5"/>
      <c r="L865" s="5"/>
      <c r="M865" s="5"/>
      <c r="N865" s="10">
        <v>14.52</v>
      </c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6" t="s">
        <v>1748</v>
      </c>
      <c r="B866" s="6" t="s">
        <v>1749</v>
      </c>
      <c r="C866" s="5" t="s">
        <v>171</v>
      </c>
      <c r="D866" s="7">
        <f>IFERROR(__xludf.DUMMYFUNCTION("GOOGLEFINANCE(""ASX:FPC"", ""price"")"),1.47)</f>
        <v>1.47</v>
      </c>
      <c r="E866" s="8">
        <f>IFERROR(__xludf.DUMMYFUNCTION("GOOGLEFINANCE(""ASX:FPC"", ""closeyest"")"),1.47)</f>
        <v>1.47</v>
      </c>
      <c r="F866" s="9">
        <f>IFERROR(__xludf.DUMMYFUNCTION("GOOGLEFINANCE(""ASX:FPC"", ""pe"")"),5.92)</f>
        <v>5.92</v>
      </c>
      <c r="G866" s="9">
        <f>IFERROR(__xludf.DUMMYFUNCTION("GOOGLEFINANCE(""ASX:FPC"", ""high52"")"),1.53)</f>
        <v>1.53</v>
      </c>
      <c r="H866" s="9">
        <f>IFERROR(__xludf.DUMMYFUNCTION("GOOGLEFINANCE(""ASX:FPC"", ""low52"")"),0.85)</f>
        <v>0.85</v>
      </c>
      <c r="I866" s="9">
        <f>IFERROR(__xludf.DUMMYFUNCTION("GOOGLEFINANCE(""ASX:FPC"", ""marketcap"")"),4.1605513E7)</f>
        <v>41605513</v>
      </c>
      <c r="J866" s="5"/>
      <c r="K866" s="5"/>
      <c r="L866" s="5"/>
      <c r="M866" s="5"/>
      <c r="N866" s="10">
        <v>5.92</v>
      </c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6" t="s">
        <v>1750</v>
      </c>
      <c r="B867" s="6" t="s">
        <v>1751</v>
      </c>
      <c r="C867" s="5" t="s">
        <v>276</v>
      </c>
      <c r="D867" s="7">
        <f>IFERROR(__xludf.DUMMYFUNCTION("GOOGLEFINANCE(""ASX:FPH"", ""price"")"),33.13)</f>
        <v>33.13</v>
      </c>
      <c r="E867" s="8">
        <f>IFERROR(__xludf.DUMMYFUNCTION("GOOGLEFINANCE(""ASX:FPH"", ""closeyest"")"),32.52)</f>
        <v>32.52</v>
      </c>
      <c r="F867" s="5" t="str">
        <f>IFERROR(__xludf.DUMMYFUNCTION("GOOGLEFINANCE(""ASX:FPH"", ""pe"")"),"#N/A")</f>
        <v>#N/A</v>
      </c>
      <c r="G867" s="9">
        <f>IFERROR(__xludf.DUMMYFUNCTION("GOOGLEFINANCE(""ASX:FPH"", ""high52"")"),35.74)</f>
        <v>35.74</v>
      </c>
      <c r="H867" s="9">
        <f>IFERROR(__xludf.DUMMYFUNCTION("GOOGLEFINANCE(""ASX:FPH"", ""low52"")"),29.08)</f>
        <v>29.08</v>
      </c>
      <c r="I867" s="9">
        <f>IFERROR(__xludf.DUMMYFUNCTION("GOOGLEFINANCE(""ASX:FPH"", ""marketcap"")"),2.224978E10)</f>
        <v>22249780000</v>
      </c>
      <c r="J867" s="5"/>
      <c r="K867" s="5"/>
      <c r="L867" s="5"/>
      <c r="M867" s="5"/>
      <c r="N867" s="11" t="s">
        <v>19</v>
      </c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6" t="s">
        <v>1752</v>
      </c>
      <c r="B868" s="6" t="s">
        <v>1753</v>
      </c>
      <c r="C868" s="5" t="s">
        <v>873</v>
      </c>
      <c r="D868" s="7">
        <f>IFERROR(__xludf.DUMMYFUNCTION("GOOGLEFINANCE(""ASX:FPR"", ""price"")"),2.85)</f>
        <v>2.85</v>
      </c>
      <c r="E868" s="8">
        <f>IFERROR(__xludf.DUMMYFUNCTION("GOOGLEFINANCE(""ASX:FPR"", ""closeyest"")"),2.8)</f>
        <v>2.8</v>
      </c>
      <c r="F868" s="9">
        <f>IFERROR(__xludf.DUMMYFUNCTION("GOOGLEFINANCE(""ASX:FPR"", ""pe"")"),8.62)</f>
        <v>8.62</v>
      </c>
      <c r="G868" s="9">
        <f>IFERROR(__xludf.DUMMYFUNCTION("GOOGLEFINANCE(""ASX:FPR"", ""high52"")"),3.23)</f>
        <v>3.23</v>
      </c>
      <c r="H868" s="9">
        <f>IFERROR(__xludf.DUMMYFUNCTION("GOOGLEFINANCE(""ASX:FPR"", ""low52"")"),2.38)</f>
        <v>2.38</v>
      </c>
      <c r="I868" s="9">
        <f>IFERROR(__xludf.DUMMYFUNCTION("GOOGLEFINANCE(""ASX:FPR"", ""marketcap"")"),6.15996699E8)</f>
        <v>615996699</v>
      </c>
      <c r="J868" s="5"/>
      <c r="K868" s="5"/>
      <c r="L868" s="5"/>
      <c r="M868" s="5"/>
      <c r="N868" s="10">
        <v>8.59</v>
      </c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6" t="s">
        <v>1754</v>
      </c>
      <c r="B869" s="6" t="s">
        <v>1755</v>
      </c>
      <c r="C869" s="5" t="s">
        <v>36</v>
      </c>
      <c r="D869" s="7" t="str">
        <f>IFERROR(__xludf.DUMMYFUNCTION("GOOGLEFINANCE(""ASX:FRAR"", ""price"")"),"#N/A")</f>
        <v>#N/A</v>
      </c>
      <c r="E869" s="8" t="str">
        <f>IFERROR(__xludf.DUMMYFUNCTION("GOOGLEFINANCE(""ASX:FRAR"", ""closeyest"")"),"#N/A")</f>
        <v>#N/A</v>
      </c>
      <c r="F869" s="5" t="str">
        <f>IFERROR(__xludf.DUMMYFUNCTION("GOOGLEFINANCE(""ASX:FRAR"", ""pe"")"),"#N/A")</f>
        <v>#N/A</v>
      </c>
      <c r="G869" s="5" t="str">
        <f>IFERROR(__xludf.DUMMYFUNCTION("GOOGLEFINANCE(""ASX:FRAR"", ""high52"")"),"#N/A")</f>
        <v>#N/A</v>
      </c>
      <c r="H869" s="5" t="str">
        <f>IFERROR(__xludf.DUMMYFUNCTION("GOOGLEFINANCE(""ASX:FRAR"", ""low52"")"),"#N/A")</f>
        <v>#N/A</v>
      </c>
      <c r="I869" s="9" t="str">
        <f>IFERROR(__xludf.DUMMYFUNCTION("GOOGLEFINANCE(""ASX:FRAR"", ""marketcap"")"),"#N/A")</f>
        <v>#N/A</v>
      </c>
      <c r="J869" s="10">
        <v>1.05</v>
      </c>
      <c r="K869" s="10">
        <v>1.05</v>
      </c>
      <c r="L869" s="10">
        <v>1.06</v>
      </c>
      <c r="M869" s="10">
        <v>1.005</v>
      </c>
      <c r="N869" s="11" t="s">
        <v>19</v>
      </c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6" t="s">
        <v>1756</v>
      </c>
      <c r="B870" s="6" t="s">
        <v>1757</v>
      </c>
      <c r="C870" s="5" t="s">
        <v>18</v>
      </c>
      <c r="D870" s="7">
        <f>IFERROR(__xludf.DUMMYFUNCTION("GOOGLEFINANCE(""ASX:FRB"", ""price"")"),0.18)</f>
        <v>0.18</v>
      </c>
      <c r="E870" s="8">
        <f>IFERROR(__xludf.DUMMYFUNCTION("GOOGLEFINANCE(""ASX:FRB"", ""closeyest"")"),0.17)</f>
        <v>0.17</v>
      </c>
      <c r="F870" s="5" t="str">
        <f>IFERROR(__xludf.DUMMYFUNCTION("GOOGLEFINANCE(""ASX:FRB"", ""pe"")"),"#N/A")</f>
        <v>#N/A</v>
      </c>
      <c r="G870" s="9">
        <f>IFERROR(__xludf.DUMMYFUNCTION("GOOGLEFINANCE(""ASX:FRB"", ""high52"")"),0.21)</f>
        <v>0.21</v>
      </c>
      <c r="H870" s="9">
        <f>IFERROR(__xludf.DUMMYFUNCTION("GOOGLEFINANCE(""ASX:FRB"", ""low52"")"),0.07)</f>
        <v>0.07</v>
      </c>
      <c r="I870" s="9">
        <f>IFERROR(__xludf.DUMMYFUNCTION("GOOGLEFINANCE(""ASX:FRB"", ""marketcap"")"),3.2228226E7)</f>
        <v>32228226</v>
      </c>
      <c r="J870" s="5"/>
      <c r="K870" s="5"/>
      <c r="L870" s="5"/>
      <c r="M870" s="5"/>
      <c r="N870" s="11" t="s">
        <v>19</v>
      </c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6" t="s">
        <v>1758</v>
      </c>
      <c r="B871" s="6" t="s">
        <v>1759</v>
      </c>
      <c r="C871" s="5" t="s">
        <v>174</v>
      </c>
      <c r="D871" s="7">
        <f>IFERROR(__xludf.DUMMYFUNCTION("GOOGLEFINANCE(""ASX:FRE"", ""price"")"),0.06)</f>
        <v>0.06</v>
      </c>
      <c r="E871" s="8">
        <f>IFERROR(__xludf.DUMMYFUNCTION("GOOGLEFINANCE(""ASX:FRE"", ""closeyest"")"),0.06)</f>
        <v>0.06</v>
      </c>
      <c r="F871" s="5" t="str">
        <f>IFERROR(__xludf.DUMMYFUNCTION("GOOGLEFINANCE(""ASX:FRE"", ""pe"")"),"#N/A")</f>
        <v>#N/A</v>
      </c>
      <c r="G871" s="9">
        <f>IFERROR(__xludf.DUMMYFUNCTION("GOOGLEFINANCE(""ASX:FRE"", ""high52"")"),0.1)</f>
        <v>0.1</v>
      </c>
      <c r="H871" s="9">
        <f>IFERROR(__xludf.DUMMYFUNCTION("GOOGLEFINANCE(""ASX:FRE"", ""low52"")"),0.05)</f>
        <v>0.05</v>
      </c>
      <c r="I871" s="9">
        <f>IFERROR(__xludf.DUMMYFUNCTION("GOOGLEFINANCE(""ASX:FRE"", ""marketcap"")"),1.3836425E7)</f>
        <v>13836425</v>
      </c>
      <c r="J871" s="5"/>
      <c r="K871" s="5"/>
      <c r="L871" s="5"/>
      <c r="M871" s="5"/>
      <c r="N871" s="11" t="s">
        <v>19</v>
      </c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6" t="s">
        <v>1760</v>
      </c>
      <c r="B872" s="6" t="s">
        <v>1761</v>
      </c>
      <c r="C872" s="5" t="s">
        <v>36</v>
      </c>
      <c r="D872" s="7" t="str">
        <f>IFERROR(__xludf.DUMMYFUNCTION("GOOGLEFINANCE(""ASX:FRGG"", ""price"")"),"#N/A")</f>
        <v>#N/A</v>
      </c>
      <c r="E872" s="8" t="str">
        <f>IFERROR(__xludf.DUMMYFUNCTION("GOOGLEFINANCE(""ASX:FRGG"", ""closeyest"")"),"#N/A")</f>
        <v>#N/A</v>
      </c>
      <c r="F872" s="5" t="str">
        <f>IFERROR(__xludf.DUMMYFUNCTION("GOOGLEFINANCE(""ASX:FRGG"", ""pe"")"),"#N/A")</f>
        <v>#N/A</v>
      </c>
      <c r="G872" s="5" t="str">
        <f>IFERROR(__xludf.DUMMYFUNCTION("GOOGLEFINANCE(""ASX:FRGG"", ""high52"")"),"#N/A")</f>
        <v>#N/A</v>
      </c>
      <c r="H872" s="5" t="str">
        <f>IFERROR(__xludf.DUMMYFUNCTION("GOOGLEFINANCE(""ASX:FRGG"", ""low52"")"),"#N/A")</f>
        <v>#N/A</v>
      </c>
      <c r="I872" s="9" t="str">
        <f>IFERROR(__xludf.DUMMYFUNCTION("GOOGLEFINANCE(""ASX:FRGG"", ""marketcap"")"),"#N/A")</f>
        <v>#N/A</v>
      </c>
      <c r="J872" s="12">
        <v>2.08</v>
      </c>
      <c r="K872" s="12">
        <v>2.06</v>
      </c>
      <c r="L872" s="12">
        <v>2.7</v>
      </c>
      <c r="M872" s="12">
        <v>2.0</v>
      </c>
      <c r="N872" s="11" t="s">
        <v>19</v>
      </c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6" t="s">
        <v>1762</v>
      </c>
      <c r="B873" s="6" t="s">
        <v>1763</v>
      </c>
      <c r="C873" s="5" t="s">
        <v>1764</v>
      </c>
      <c r="D873" s="7">
        <f>IFERROR(__xludf.DUMMYFUNCTION("GOOGLEFINANCE(""ASX:FRI"", ""price"")"),0.86)</f>
        <v>0.86</v>
      </c>
      <c r="E873" s="8">
        <f>IFERROR(__xludf.DUMMYFUNCTION("GOOGLEFINANCE(""ASX:FRI"", ""closeyest"")"),0.86)</f>
        <v>0.86</v>
      </c>
      <c r="F873" s="9">
        <f>IFERROR(__xludf.DUMMYFUNCTION("GOOGLEFINANCE(""ASX:FRI"", ""pe"")"),16.18)</f>
        <v>16.18</v>
      </c>
      <c r="G873" s="9">
        <f>IFERROR(__xludf.DUMMYFUNCTION("GOOGLEFINANCE(""ASX:FRI"", ""high52"")"),0.95)</f>
        <v>0.95</v>
      </c>
      <c r="H873" s="9">
        <f>IFERROR(__xludf.DUMMYFUNCTION("GOOGLEFINANCE(""ASX:FRI"", ""low52"")"),0.66)</f>
        <v>0.66</v>
      </c>
      <c r="I873" s="9">
        <f>IFERROR(__xludf.DUMMYFUNCTION("GOOGLEFINANCE(""ASX:FRI"", ""marketcap"")"),2.3266517E8)</f>
        <v>232665170</v>
      </c>
      <c r="J873" s="5"/>
      <c r="K873" s="5"/>
      <c r="L873" s="5"/>
      <c r="M873" s="5"/>
      <c r="N873" s="10">
        <v>15.81</v>
      </c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6" t="s">
        <v>1765</v>
      </c>
      <c r="B874" s="6" t="s">
        <v>1766</v>
      </c>
      <c r="C874" s="5" t="s">
        <v>128</v>
      </c>
      <c r="D874" s="7">
        <f>IFERROR(__xludf.DUMMYFUNCTION("GOOGLEFINANCE(""ASX:FRM"", ""price"")"),0.2)</f>
        <v>0.2</v>
      </c>
      <c r="E874" s="8">
        <f>IFERROR(__xludf.DUMMYFUNCTION("GOOGLEFINANCE(""ASX:FRM"", ""closeyest"")"),0.2)</f>
        <v>0.2</v>
      </c>
      <c r="F874" s="9">
        <f>IFERROR(__xludf.DUMMYFUNCTION("GOOGLEFINANCE(""ASX:FRM"", ""pe"")"),6.32)</f>
        <v>6.32</v>
      </c>
      <c r="G874" s="9">
        <f>IFERROR(__xludf.DUMMYFUNCTION("GOOGLEFINANCE(""ASX:FRM"", ""high52"")"),0.38)</f>
        <v>0.38</v>
      </c>
      <c r="H874" s="9">
        <f>IFERROR(__xludf.DUMMYFUNCTION("GOOGLEFINANCE(""ASX:FRM"", ""low52"")"),0.12)</f>
        <v>0.12</v>
      </c>
      <c r="I874" s="9">
        <f>IFERROR(__xludf.DUMMYFUNCTION("GOOGLEFINANCE(""ASX:FRM"", ""marketcap"")"),4.615824E7)</f>
        <v>46158240</v>
      </c>
      <c r="J874" s="5"/>
      <c r="K874" s="5"/>
      <c r="L874" s="5"/>
      <c r="M874" s="5"/>
      <c r="N874" s="10">
        <v>6.32</v>
      </c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6" t="s">
        <v>1767</v>
      </c>
      <c r="B875" s="6" t="s">
        <v>1768</v>
      </c>
      <c r="C875" s="5" t="s">
        <v>88</v>
      </c>
      <c r="D875" s="7">
        <f>IFERROR(__xludf.DUMMYFUNCTION("GOOGLEFINANCE(""ASX:FRS"", ""price"")"),0.37)</f>
        <v>0.37</v>
      </c>
      <c r="E875" s="8">
        <f>IFERROR(__xludf.DUMMYFUNCTION("GOOGLEFINANCE(""ASX:FRS"", ""closeyest"")"),0.38)</f>
        <v>0.38</v>
      </c>
      <c r="F875" s="5" t="str">
        <f>IFERROR(__xludf.DUMMYFUNCTION("GOOGLEFINANCE(""ASX:FRS"", ""pe"")"),"#N/A")</f>
        <v>#N/A</v>
      </c>
      <c r="G875" s="9">
        <f>IFERROR(__xludf.DUMMYFUNCTION("GOOGLEFINANCE(""ASX:FRS"", ""high52"")"),0.4)</f>
        <v>0.4</v>
      </c>
      <c r="H875" s="9">
        <f>IFERROR(__xludf.DUMMYFUNCTION("GOOGLEFINANCE(""ASX:FRS"", ""low52"")"),0.01)</f>
        <v>0.01</v>
      </c>
      <c r="I875" s="9">
        <f>IFERROR(__xludf.DUMMYFUNCTION("GOOGLEFINANCE(""ASX:FRS"", ""marketcap"")"),2.18054071E8)</f>
        <v>218054071</v>
      </c>
      <c r="J875" s="5"/>
      <c r="K875" s="5"/>
      <c r="L875" s="5"/>
      <c r="M875" s="5"/>
      <c r="N875" s="11" t="s">
        <v>19</v>
      </c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6" t="s">
        <v>1769</v>
      </c>
      <c r="B876" s="6" t="s">
        <v>1770</v>
      </c>
      <c r="C876" s="5" t="s">
        <v>1771</v>
      </c>
      <c r="D876" s="7">
        <f>IFERROR(__xludf.DUMMYFUNCTION("GOOGLEFINANCE(""ASX:FRW"", ""price"")"),12.24)</f>
        <v>12.24</v>
      </c>
      <c r="E876" s="8">
        <f>IFERROR(__xludf.DUMMYFUNCTION("GOOGLEFINANCE(""ASX:FRW"", ""closeyest"")"),12.24)</f>
        <v>12.24</v>
      </c>
      <c r="F876" s="5" t="str">
        <f>IFERROR(__xludf.DUMMYFUNCTION("GOOGLEFINANCE(""ASX:FRW"", ""pe"")"),"#N/A")</f>
        <v>#N/A</v>
      </c>
      <c r="G876" s="9">
        <f>IFERROR(__xludf.DUMMYFUNCTION("GOOGLEFINANCE(""ASX:FRW"", ""high52"")"),12.35)</f>
        <v>12.35</v>
      </c>
      <c r="H876" s="9">
        <f>IFERROR(__xludf.DUMMYFUNCTION("GOOGLEFINANCE(""ASX:FRW"", ""low52"")"),8.6)</f>
        <v>8.6</v>
      </c>
      <c r="I876" s="9">
        <f>IFERROR(__xludf.DUMMYFUNCTION("GOOGLEFINANCE(""ASX:FRW"", ""marketcap"")"),2.595022E9)</f>
        <v>2595022000</v>
      </c>
      <c r="J876" s="5"/>
      <c r="K876" s="5"/>
      <c r="L876" s="5"/>
      <c r="M876" s="5"/>
      <c r="N876" s="11" t="s">
        <v>19</v>
      </c>
      <c r="O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6" t="s">
        <v>1772</v>
      </c>
      <c r="B877" s="6" t="s">
        <v>1773</v>
      </c>
      <c r="C877" s="5" t="s">
        <v>67</v>
      </c>
      <c r="D877" s="7">
        <f>IFERROR(__xludf.DUMMYFUNCTION("GOOGLEFINANCE(""ASX:FRX"", ""price"")"),0.02)</f>
        <v>0.02</v>
      </c>
      <c r="E877" s="8">
        <f>IFERROR(__xludf.DUMMYFUNCTION("GOOGLEFINANCE(""ASX:FRX"", ""closeyest"")"),0.02)</f>
        <v>0.02</v>
      </c>
      <c r="F877" s="5" t="str">
        <f>IFERROR(__xludf.DUMMYFUNCTION("GOOGLEFINANCE(""ASX:FRX"", ""pe"")"),"#N/A")</f>
        <v>#N/A</v>
      </c>
      <c r="G877" s="9">
        <f>IFERROR(__xludf.DUMMYFUNCTION("GOOGLEFINANCE(""ASX:FRX"", ""high52"")"),0.03)</f>
        <v>0.03</v>
      </c>
      <c r="H877" s="9">
        <f>IFERROR(__xludf.DUMMYFUNCTION("GOOGLEFINANCE(""ASX:FRX"", ""low52"")"),0.0)</f>
        <v>0</v>
      </c>
      <c r="I877" s="9">
        <f>IFERROR(__xludf.DUMMYFUNCTION("GOOGLEFINANCE(""ASX:FRX"", ""marketcap"")"),3.6628742E7)</f>
        <v>36628742</v>
      </c>
      <c r="J877" s="5"/>
      <c r="K877" s="5"/>
      <c r="L877" s="5"/>
      <c r="M877" s="5"/>
      <c r="N877" s="11" t="s">
        <v>19</v>
      </c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6" t="s">
        <v>1772</v>
      </c>
      <c r="B878" s="6" t="s">
        <v>1773</v>
      </c>
      <c r="C878" s="5" t="s">
        <v>67</v>
      </c>
      <c r="D878" s="7">
        <f>IFERROR(__xludf.DUMMYFUNCTION("GOOGLEFINANCE(""ASX:FRX"", ""price"")"),0.02)</f>
        <v>0.02</v>
      </c>
      <c r="E878" s="8">
        <f>IFERROR(__xludf.DUMMYFUNCTION("GOOGLEFINANCE(""ASX:FRX"", ""closeyest"")"),0.02)</f>
        <v>0.02</v>
      </c>
      <c r="F878" s="5" t="str">
        <f>IFERROR(__xludf.DUMMYFUNCTION("GOOGLEFINANCE(""ASX:FRX"", ""pe"")"),"#N/A")</f>
        <v>#N/A</v>
      </c>
      <c r="G878" s="9">
        <f>IFERROR(__xludf.DUMMYFUNCTION("GOOGLEFINANCE(""ASX:FRX"", ""high52"")"),0.03)</f>
        <v>0.03</v>
      </c>
      <c r="H878" s="9">
        <f>IFERROR(__xludf.DUMMYFUNCTION("GOOGLEFINANCE(""ASX:FRX"", ""low52"")"),0.0)</f>
        <v>0</v>
      </c>
      <c r="I878" s="9">
        <f>IFERROR(__xludf.DUMMYFUNCTION("GOOGLEFINANCE(""ASX:FRX"", ""marketcap"")"),3.6628742E7)</f>
        <v>36628742</v>
      </c>
      <c r="J878" s="5"/>
      <c r="K878" s="5"/>
      <c r="L878" s="5"/>
      <c r="M878" s="5"/>
      <c r="N878" s="11" t="s">
        <v>19</v>
      </c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13" t="s">
        <v>1772</v>
      </c>
      <c r="B879" s="13" t="s">
        <v>1773</v>
      </c>
      <c r="C879" s="14" t="s">
        <v>67</v>
      </c>
      <c r="D879" s="15">
        <f>IFERROR(__xludf.DUMMYFUNCTION("GOOGLEFINANCE(""ASX:FRX"", ""price"")"),0.02)</f>
        <v>0.02</v>
      </c>
      <c r="E879" s="8">
        <f>IFERROR(__xludf.DUMMYFUNCTION("GOOGLEFINANCE(""ASX:FRX"", ""closeyest"")"),0.02)</f>
        <v>0.02</v>
      </c>
      <c r="F879" s="5" t="str">
        <f>IFERROR(__xludf.DUMMYFUNCTION("GOOGLEFINANCE(""ASX:FRX"", ""pe"")"),"#N/A")</f>
        <v>#N/A</v>
      </c>
      <c r="G879" s="9">
        <f>IFERROR(__xludf.DUMMYFUNCTION("GOOGLEFINANCE(""ASX:FRX"", ""high52"")"),0.03)</f>
        <v>0.03</v>
      </c>
      <c r="H879" s="9">
        <f>IFERROR(__xludf.DUMMYFUNCTION("GOOGLEFINANCE(""ASX:FRX"", ""low52"")"),0.0)</f>
        <v>0</v>
      </c>
      <c r="I879" s="9">
        <f>IFERROR(__xludf.DUMMYFUNCTION("GOOGLEFINANCE(""ASX:FRX"", ""marketcap"")"),3.6628742E7)</f>
        <v>36628742</v>
      </c>
      <c r="J879" s="5"/>
      <c r="K879" s="5"/>
      <c r="L879" s="5"/>
      <c r="M879" s="5"/>
      <c r="N879" s="11" t="s">
        <v>19</v>
      </c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6" t="s">
        <v>1774</v>
      </c>
      <c r="B880" s="6" t="s">
        <v>1775</v>
      </c>
      <c r="C880" s="5" t="s">
        <v>241</v>
      </c>
      <c r="D880" s="7">
        <f>IFERROR(__xludf.DUMMYFUNCTION("GOOGLEFINANCE(""ASX:FSA"", ""price"")"),1.31)</f>
        <v>1.31</v>
      </c>
      <c r="E880" s="8">
        <f>IFERROR(__xludf.DUMMYFUNCTION("GOOGLEFINANCE(""ASX:FSA"", ""closeyest"")"),1.31)</f>
        <v>1.31</v>
      </c>
      <c r="F880" s="9">
        <f>IFERROR(__xludf.DUMMYFUNCTION("GOOGLEFINANCE(""ASX:FSA"", ""pe"")"),15.12)</f>
        <v>15.12</v>
      </c>
      <c r="G880" s="9">
        <f>IFERROR(__xludf.DUMMYFUNCTION("GOOGLEFINANCE(""ASX:FSA"", ""high52"")"),1.34)</f>
        <v>1.34</v>
      </c>
      <c r="H880" s="9">
        <f>IFERROR(__xludf.DUMMYFUNCTION("GOOGLEFINANCE(""ASX:FSA"", ""low52"")"),0.79)</f>
        <v>0.79</v>
      </c>
      <c r="I880" s="9">
        <f>IFERROR(__xludf.DUMMYFUNCTION("GOOGLEFINANCE(""ASX:FSA"", ""marketcap"")"),1.63198482E8)</f>
        <v>163198482</v>
      </c>
      <c r="J880" s="5"/>
      <c r="K880" s="5"/>
      <c r="L880" s="5"/>
      <c r="M880" s="5"/>
      <c r="N880" s="10">
        <v>15.35</v>
      </c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6" t="s">
        <v>1776</v>
      </c>
      <c r="B881" s="6" t="s">
        <v>1777</v>
      </c>
      <c r="C881" s="5" t="s">
        <v>171</v>
      </c>
      <c r="D881" s="7">
        <f>IFERROR(__xludf.DUMMYFUNCTION("GOOGLEFINANCE(""ASX:FSI"", ""price"")"),1.77)</f>
        <v>1.77</v>
      </c>
      <c r="E881" s="8">
        <f>IFERROR(__xludf.DUMMYFUNCTION("GOOGLEFINANCE(""ASX:FSI"", ""closeyest"")"),1.82)</f>
        <v>1.82</v>
      </c>
      <c r="F881" s="5" t="str">
        <f>IFERROR(__xludf.DUMMYFUNCTION("GOOGLEFINANCE(""ASX:FSI"", ""pe"")"),"#N/A")</f>
        <v>#N/A</v>
      </c>
      <c r="G881" s="9">
        <f>IFERROR(__xludf.DUMMYFUNCTION("GOOGLEFINANCE(""ASX:FSI"", ""high52"")"),2.27)</f>
        <v>2.27</v>
      </c>
      <c r="H881" s="9">
        <f>IFERROR(__xludf.DUMMYFUNCTION("GOOGLEFINANCE(""ASX:FSI"", ""low52"")"),1.76)</f>
        <v>1.76</v>
      </c>
      <c r="I881" s="9">
        <f>IFERROR(__xludf.DUMMYFUNCTION("GOOGLEFINANCE(""ASX:FSI"", ""marketcap"")"),4.5767349E7)</f>
        <v>45767349</v>
      </c>
      <c r="J881" s="5"/>
      <c r="K881" s="5"/>
      <c r="L881" s="5"/>
      <c r="M881" s="5"/>
      <c r="N881" s="11" t="s">
        <v>19</v>
      </c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6" t="s">
        <v>1778</v>
      </c>
      <c r="B882" s="6" t="s">
        <v>1779</v>
      </c>
      <c r="C882" s="5" t="s">
        <v>36</v>
      </c>
      <c r="D882" s="7">
        <f>IFERROR(__xludf.DUMMYFUNCTION("GOOGLEFINANCE(""ASX:FSML"", ""price"")"),2.32)</f>
        <v>2.32</v>
      </c>
      <c r="E882" s="8">
        <f>IFERROR(__xludf.DUMMYFUNCTION("GOOGLEFINANCE(""ASX:FSML"", ""closeyest"")"),2.29)</f>
        <v>2.29</v>
      </c>
      <c r="F882" s="5" t="str">
        <f>IFERROR(__xludf.DUMMYFUNCTION("GOOGLEFINANCE(""ASX:FSML"", ""pe"")"),"#N/A")</f>
        <v>#N/A</v>
      </c>
      <c r="G882" s="9">
        <f>IFERROR(__xludf.DUMMYFUNCTION("GOOGLEFINANCE(""ASX:FSML"", ""high52"")"),2.33)</f>
        <v>2.33</v>
      </c>
      <c r="H882" s="9">
        <f>IFERROR(__xludf.DUMMYFUNCTION("GOOGLEFINANCE(""ASX:FSML"", ""low52"")"),1.51)</f>
        <v>1.51</v>
      </c>
      <c r="I882" s="9" t="str">
        <f>IFERROR(__xludf.DUMMYFUNCTION("GOOGLEFINANCE(""ASX:FSML"", ""marketcap"")"),"#N/A")</f>
        <v>#N/A</v>
      </c>
      <c r="J882" s="9">
        <v>0.042</v>
      </c>
      <c r="K882" s="9">
        <v>0.042</v>
      </c>
      <c r="L882" s="9">
        <v>0.042</v>
      </c>
      <c r="M882" s="9">
        <v>0.042</v>
      </c>
      <c r="N882" s="11" t="s">
        <v>19</v>
      </c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6" t="s">
        <v>1780</v>
      </c>
      <c r="B883" s="6" t="s">
        <v>1781</v>
      </c>
      <c r="C883" s="5" t="s">
        <v>36</v>
      </c>
      <c r="D883" s="7">
        <f>IFERROR(__xludf.DUMMYFUNCTION("GOOGLEFINANCE(""ASX:FSUB"", ""price"")"),25.29)</f>
        <v>25.29</v>
      </c>
      <c r="E883" s="8">
        <f>IFERROR(__xludf.DUMMYFUNCTION("GOOGLEFINANCE(""ASX:FSUB"", ""closeyest"")"),25.19)</f>
        <v>25.19</v>
      </c>
      <c r="F883" s="5" t="str">
        <f>IFERROR(__xludf.DUMMYFUNCTION("GOOGLEFINANCE(""ASX:FSUB"", ""pe"")"),"#N/A")</f>
        <v>#N/A</v>
      </c>
      <c r="G883" s="9">
        <f>IFERROR(__xludf.DUMMYFUNCTION("GOOGLEFINANCE(""ASX:FSUB"", ""high52"")"),25.3)</f>
        <v>25.3</v>
      </c>
      <c r="H883" s="9">
        <f>IFERROR(__xludf.DUMMYFUNCTION("GOOGLEFINANCE(""ASX:FSUB"", ""low52"")"),25.1)</f>
        <v>25.1</v>
      </c>
      <c r="I883" s="9" t="str">
        <f>IFERROR(__xludf.DUMMYFUNCTION("GOOGLEFINANCE(""ASX:FSUB"", ""marketcap"")"),"#N/A")</f>
        <v>#N/A</v>
      </c>
      <c r="J883" s="5"/>
      <c r="K883" s="5"/>
      <c r="L883" s="5"/>
      <c r="M883" s="5"/>
      <c r="N883" s="11" t="s">
        <v>19</v>
      </c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6" t="s">
        <v>1782</v>
      </c>
      <c r="B884" s="6" t="s">
        <v>1783</v>
      </c>
      <c r="C884" s="5" t="s">
        <v>15</v>
      </c>
      <c r="D884" s="7">
        <f>IFERROR(__xludf.DUMMYFUNCTION("GOOGLEFINANCE(""ASX:FTI"", ""price"")"),0.32)</f>
        <v>0.32</v>
      </c>
      <c r="E884" s="8">
        <f>IFERROR(__xludf.DUMMYFUNCTION("GOOGLEFINANCE(""ASX:FTI"", ""closeyest"")"),0.33)</f>
        <v>0.33</v>
      </c>
      <c r="F884" s="5" t="str">
        <f>IFERROR(__xludf.DUMMYFUNCTION("GOOGLEFINANCE(""ASX:FTI"", ""pe"")"),"#N/A")</f>
        <v>#N/A</v>
      </c>
      <c r="G884" s="9">
        <f>IFERROR(__xludf.DUMMYFUNCTION("GOOGLEFINANCE(""ASX:FTI"", ""high52"")"),0.43)</f>
        <v>0.43</v>
      </c>
      <c r="H884" s="9">
        <f>IFERROR(__xludf.DUMMYFUNCTION("GOOGLEFINANCE(""ASX:FTI"", ""low52"")"),0.11)</f>
        <v>0.11</v>
      </c>
      <c r="I884" s="9">
        <f>IFERROR(__xludf.DUMMYFUNCTION("GOOGLEFINANCE(""ASX:FTI"", ""marketcap"")"),4.7362494E7)</f>
        <v>47362494</v>
      </c>
      <c r="J884" s="5"/>
      <c r="K884" s="5"/>
      <c r="L884" s="5"/>
      <c r="M884" s="5"/>
      <c r="N884" s="11" t="s">
        <v>19</v>
      </c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6" t="s">
        <v>1784</v>
      </c>
      <c r="B885" s="6" t="s">
        <v>1785</v>
      </c>
      <c r="C885" s="5" t="s">
        <v>36</v>
      </c>
      <c r="D885" s="7">
        <f>IFERROR(__xludf.DUMMYFUNCTION("GOOGLEFINANCE(""ASX:FUEL"", ""price"")"),6.68)</f>
        <v>6.68</v>
      </c>
      <c r="E885" s="8">
        <f>IFERROR(__xludf.DUMMYFUNCTION("GOOGLEFINANCE(""ASX:FUEL"", ""closeyest"")"),6.85)</f>
        <v>6.85</v>
      </c>
      <c r="F885" s="5" t="str">
        <f>IFERROR(__xludf.DUMMYFUNCTION("GOOGLEFINANCE(""ASX:FUEL"", ""pe"")"),"#N/A")</f>
        <v>#N/A</v>
      </c>
      <c r="G885" s="9">
        <f>IFERROR(__xludf.DUMMYFUNCTION("GOOGLEFINANCE(""ASX:FUEL"", ""high52"")"),6.97)</f>
        <v>6.97</v>
      </c>
      <c r="H885" s="9">
        <f>IFERROR(__xludf.DUMMYFUNCTION("GOOGLEFINANCE(""ASX:FUEL"", ""low52"")"),5.28)</f>
        <v>5.28</v>
      </c>
      <c r="I885" s="9" t="str">
        <f>IFERROR(__xludf.DUMMYFUNCTION("GOOGLEFINANCE(""ASX:FUEL"", ""marketcap"")"),"#N/A")</f>
        <v>#N/A</v>
      </c>
      <c r="J885" s="5"/>
      <c r="K885" s="5"/>
      <c r="L885" s="5"/>
      <c r="M885" s="5"/>
      <c r="N885" s="11" t="s">
        <v>19</v>
      </c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6" t="s">
        <v>1786</v>
      </c>
      <c r="B886" s="6" t="s">
        <v>1787</v>
      </c>
      <c r="C886" s="5" t="s">
        <v>39</v>
      </c>
      <c r="D886" s="7">
        <f>IFERROR(__xludf.DUMMYFUNCTION("GOOGLEFINANCE(""ASX:FUL"", ""price"")"),0.1)</f>
        <v>0.1</v>
      </c>
      <c r="E886" s="8">
        <f>IFERROR(__xludf.DUMMYFUNCTION("GOOGLEFINANCE(""ASX:FUL"", ""closeyest"")"),0.1)</f>
        <v>0.1</v>
      </c>
      <c r="F886" s="5" t="str">
        <f>IFERROR(__xludf.DUMMYFUNCTION("GOOGLEFINANCE(""ASX:FUL"", ""pe"")"),"#N/A")</f>
        <v>#N/A</v>
      </c>
      <c r="G886" s="9">
        <f>IFERROR(__xludf.DUMMYFUNCTION("GOOGLEFINANCE(""ASX:FUL"", ""high52"")"),0.19)</f>
        <v>0.19</v>
      </c>
      <c r="H886" s="9">
        <f>IFERROR(__xludf.DUMMYFUNCTION("GOOGLEFINANCE(""ASX:FUL"", ""low52"")"),0.04)</f>
        <v>0.04</v>
      </c>
      <c r="I886" s="9">
        <f>IFERROR(__xludf.DUMMYFUNCTION("GOOGLEFINANCE(""ASX:FUL"", ""marketcap"")"),6916638.0)</f>
        <v>6916638</v>
      </c>
      <c r="J886" s="5"/>
      <c r="K886" s="5"/>
      <c r="L886" s="5"/>
      <c r="M886" s="5"/>
      <c r="N886" s="11" t="s">
        <v>19</v>
      </c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6" t="s">
        <v>1788</v>
      </c>
      <c r="B887" s="6" t="s">
        <v>1789</v>
      </c>
      <c r="C887" s="5" t="s">
        <v>450</v>
      </c>
      <c r="D887" s="7">
        <f>IFERROR(__xludf.DUMMYFUNCTION("GOOGLEFINANCE(""ASX:FUN"", ""price"")"),0.08)</f>
        <v>0.08</v>
      </c>
      <c r="E887" s="8">
        <f>IFERROR(__xludf.DUMMYFUNCTION("GOOGLEFINANCE(""ASX:FUN"", ""closeyest"")"),0.08)</f>
        <v>0.08</v>
      </c>
      <c r="F887" s="5" t="str">
        <f>IFERROR(__xludf.DUMMYFUNCTION("GOOGLEFINANCE(""ASX:FUN"", ""pe"")"),"#N/A")</f>
        <v>#N/A</v>
      </c>
      <c r="G887" s="9">
        <f>IFERROR(__xludf.DUMMYFUNCTION("GOOGLEFINANCE(""ASX:FUN"", ""high52"")"),0.22)</f>
        <v>0.22</v>
      </c>
      <c r="H887" s="9">
        <f>IFERROR(__xludf.DUMMYFUNCTION("GOOGLEFINANCE(""ASX:FUN"", ""low52"")"),0.05)</f>
        <v>0.05</v>
      </c>
      <c r="I887" s="9">
        <f>IFERROR(__xludf.DUMMYFUNCTION("GOOGLEFINANCE(""ASX:FUN"", ""marketcap"")"),2.2353655E7)</f>
        <v>22353655</v>
      </c>
      <c r="J887" s="5"/>
      <c r="K887" s="5"/>
      <c r="L887" s="5"/>
      <c r="M887" s="5"/>
      <c r="N887" s="11" t="s">
        <v>19</v>
      </c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6" t="s">
        <v>1790</v>
      </c>
      <c r="B888" s="6" t="s">
        <v>1791</v>
      </c>
      <c r="C888" s="5" t="s">
        <v>36</v>
      </c>
      <c r="D888" s="7" t="str">
        <f>IFERROR(__xludf.DUMMYFUNCTION("GOOGLEFINANCE(""ASX:FUTR"", ""price"")"),"#N/A")</f>
        <v>#N/A</v>
      </c>
      <c r="E888" s="8" t="str">
        <f>IFERROR(__xludf.DUMMYFUNCTION("GOOGLEFINANCE(""ASX:FUTR"", ""closeyest"")"),"#N/A")</f>
        <v>#N/A</v>
      </c>
      <c r="F888" s="5" t="str">
        <f>IFERROR(__xludf.DUMMYFUNCTION("GOOGLEFINANCE(""ASX:FUTR"", ""pe"")"),"#N/A")</f>
        <v>#N/A</v>
      </c>
      <c r="G888" s="5" t="str">
        <f>IFERROR(__xludf.DUMMYFUNCTION("GOOGLEFINANCE(""ASX:FUTR"", ""high52"")"),"#N/A")</f>
        <v>#N/A</v>
      </c>
      <c r="H888" s="5" t="str">
        <f>IFERROR(__xludf.DUMMYFUNCTION("GOOGLEFINANCE(""ASX:FUTR"", ""low52"")"),"#N/A")</f>
        <v>#N/A</v>
      </c>
      <c r="I888" s="9" t="str">
        <f>IFERROR(__xludf.DUMMYFUNCTION("GOOGLEFINANCE(""ASX:FUTR"", ""marketcap"")"),"#N/A")</f>
        <v>#N/A</v>
      </c>
      <c r="J888" s="12">
        <v>38.89</v>
      </c>
      <c r="K888" s="12">
        <v>39.0</v>
      </c>
      <c r="L888" s="12">
        <v>40.22</v>
      </c>
      <c r="M888" s="12">
        <v>34.47</v>
      </c>
      <c r="N888" s="11" t="s">
        <v>19</v>
      </c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6" t="s">
        <v>1792</v>
      </c>
      <c r="B889" s="6" t="s">
        <v>1793</v>
      </c>
      <c r="C889" s="5" t="s">
        <v>1764</v>
      </c>
      <c r="D889" s="7">
        <f>IFERROR(__xludf.DUMMYFUNCTION("GOOGLEFINANCE(""ASX:FWD"", ""price"")"),2.72)</f>
        <v>2.72</v>
      </c>
      <c r="E889" s="8">
        <f>IFERROR(__xludf.DUMMYFUNCTION("GOOGLEFINANCE(""ASX:FWD"", ""closeyest"")"),2.74)</f>
        <v>2.74</v>
      </c>
      <c r="F889" s="9">
        <f>IFERROR(__xludf.DUMMYFUNCTION("GOOGLEFINANCE(""ASX:FWD"", ""pe"")"),18.01)</f>
        <v>18.01</v>
      </c>
      <c r="G889" s="9">
        <f>IFERROR(__xludf.DUMMYFUNCTION("GOOGLEFINANCE(""ASX:FWD"", ""high52"")"),3.26)</f>
        <v>3.26</v>
      </c>
      <c r="H889" s="9">
        <f>IFERROR(__xludf.DUMMYFUNCTION("GOOGLEFINANCE(""ASX:FWD"", ""low52"")"),1.78)</f>
        <v>1.78</v>
      </c>
      <c r="I889" s="9">
        <f>IFERROR(__xludf.DUMMYFUNCTION("GOOGLEFINANCE(""ASX:FWD"", ""marketcap"")"),2.51820594E8)</f>
        <v>251820594</v>
      </c>
      <c r="J889" s="5"/>
      <c r="K889" s="5"/>
      <c r="L889" s="5"/>
      <c r="M889" s="5"/>
      <c r="N889" s="10">
        <v>18.15</v>
      </c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6" t="s">
        <v>1794</v>
      </c>
      <c r="B890" s="6" t="s">
        <v>1795</v>
      </c>
      <c r="C890" s="5" t="s">
        <v>88</v>
      </c>
      <c r="D890" s="7">
        <f>IFERROR(__xludf.DUMMYFUNCTION("GOOGLEFINANCE(""ASX:FXG"", ""price"")"),0.35)</f>
        <v>0.35</v>
      </c>
      <c r="E890" s="8">
        <f>IFERROR(__xludf.DUMMYFUNCTION("GOOGLEFINANCE(""ASX:FXG"", ""closeyest"")"),0.35)</f>
        <v>0.35</v>
      </c>
      <c r="F890" s="5" t="str">
        <f>IFERROR(__xludf.DUMMYFUNCTION("GOOGLEFINANCE(""ASX:FXG"", ""pe"")"),"#N/A")</f>
        <v>#N/A</v>
      </c>
      <c r="G890" s="9">
        <f>IFERROR(__xludf.DUMMYFUNCTION("GOOGLEFINANCE(""ASX:FXG"", ""high52"")"),0.79)</f>
        <v>0.79</v>
      </c>
      <c r="H890" s="9">
        <f>IFERROR(__xludf.DUMMYFUNCTION("GOOGLEFINANCE(""ASX:FXG"", ""low52"")"),0.09)</f>
        <v>0.09</v>
      </c>
      <c r="I890" s="9">
        <f>IFERROR(__xludf.DUMMYFUNCTION("GOOGLEFINANCE(""ASX:FXG"", ""marketcap"")"),1.69902667E8)</f>
        <v>169902667</v>
      </c>
      <c r="J890" s="5"/>
      <c r="K890" s="5"/>
      <c r="L890" s="5"/>
      <c r="M890" s="5"/>
      <c r="N890" s="11" t="s">
        <v>19</v>
      </c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6" t="s">
        <v>1796</v>
      </c>
      <c r="B891" s="6" t="s">
        <v>1797</v>
      </c>
      <c r="C891" s="5" t="s">
        <v>78</v>
      </c>
      <c r="D891" s="7">
        <f>IFERROR(__xludf.DUMMYFUNCTION("GOOGLEFINANCE(""ASX:FZR"", ""price"")"),0.16)</f>
        <v>0.16</v>
      </c>
      <c r="E891" s="8">
        <f>IFERROR(__xludf.DUMMYFUNCTION("GOOGLEFINANCE(""ASX:FZR"", ""closeyest"")"),0.16)</f>
        <v>0.16</v>
      </c>
      <c r="F891" s="5" t="str">
        <f>IFERROR(__xludf.DUMMYFUNCTION("GOOGLEFINANCE(""ASX:FZR"", ""pe"")"),"#N/A")</f>
        <v>#N/A</v>
      </c>
      <c r="G891" s="9">
        <f>IFERROR(__xludf.DUMMYFUNCTION("GOOGLEFINANCE(""ASX:FZR"", ""high52"")"),0.18)</f>
        <v>0.18</v>
      </c>
      <c r="H891" s="9">
        <f>IFERROR(__xludf.DUMMYFUNCTION("GOOGLEFINANCE(""ASX:FZR"", ""low52"")"),0.13)</f>
        <v>0.13</v>
      </c>
      <c r="I891" s="9">
        <f>IFERROR(__xludf.DUMMYFUNCTION("GOOGLEFINANCE(""ASX:FZR"", ""marketcap"")"),1.727268E7)</f>
        <v>17272680</v>
      </c>
      <c r="J891" s="5"/>
      <c r="K891" s="5"/>
      <c r="L891" s="5"/>
      <c r="M891" s="5"/>
      <c r="N891" s="11" t="s">
        <v>19</v>
      </c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6" t="s">
        <v>1798</v>
      </c>
      <c r="B892" s="6" t="s">
        <v>1799</v>
      </c>
      <c r="C892" s="5" t="s">
        <v>18</v>
      </c>
      <c r="D892" s="7">
        <f>IFERROR(__xludf.DUMMYFUNCTION("GOOGLEFINANCE(""ASX:G11"", ""price"")"),0.38)</f>
        <v>0.38</v>
      </c>
      <c r="E892" s="8">
        <f>IFERROR(__xludf.DUMMYFUNCTION("GOOGLEFINANCE(""ASX:G11"", ""closeyest"")"),0.37)</f>
        <v>0.37</v>
      </c>
      <c r="F892" s="5" t="str">
        <f>IFERROR(__xludf.DUMMYFUNCTION("GOOGLEFINANCE(""ASX:G11"", ""pe"")"),"#N/A")</f>
        <v>#N/A</v>
      </c>
      <c r="G892" s="9">
        <f>IFERROR(__xludf.DUMMYFUNCTION("GOOGLEFINANCE(""ASX:G11"", ""high52"")"),0.38)</f>
        <v>0.38</v>
      </c>
      <c r="H892" s="9">
        <f>IFERROR(__xludf.DUMMYFUNCTION("GOOGLEFINANCE(""ASX:G11"", ""low52"")"),0.11)</f>
        <v>0.11</v>
      </c>
      <c r="I892" s="9">
        <f>IFERROR(__xludf.DUMMYFUNCTION("GOOGLEFINANCE(""ASX:G11"", ""marketcap"")"),4.95861E7)</f>
        <v>49586100</v>
      </c>
      <c r="J892" s="5"/>
      <c r="K892" s="5"/>
      <c r="L892" s="5"/>
      <c r="M892" s="5"/>
      <c r="N892" s="11" t="s">
        <v>19</v>
      </c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6" t="s">
        <v>1800</v>
      </c>
      <c r="B893" s="6" t="s">
        <v>1801</v>
      </c>
      <c r="C893" s="5" t="s">
        <v>143</v>
      </c>
      <c r="D893" s="7" t="str">
        <f>IFERROR(__xludf.DUMMYFUNCTION("GOOGLEFINANCE(""ASX:G1C"", ""price"")"),"#N/A")</f>
        <v>#N/A</v>
      </c>
      <c r="E893" s="8" t="str">
        <f>IFERROR(__xludf.DUMMYFUNCTION("GOOGLEFINANCE(""ASX:G1C"", ""closeyest"")"),"#N/A")</f>
        <v>#N/A</v>
      </c>
      <c r="F893" s="5" t="str">
        <f>IFERROR(__xludf.DUMMYFUNCTION("GOOGLEFINANCE(""ASX:G1C"", ""pe"")"),"#N/A")</f>
        <v>#N/A</v>
      </c>
      <c r="G893" s="5" t="str">
        <f>IFERROR(__xludf.DUMMYFUNCTION("GOOGLEFINANCE(""ASX:G1C"", ""high52"")"),"#N/A")</f>
        <v>#N/A</v>
      </c>
      <c r="H893" s="5" t="str">
        <f>IFERROR(__xludf.DUMMYFUNCTION("GOOGLEFINANCE(""ASX:G1C"", ""low52"")"),"#N/A")</f>
        <v>#N/A</v>
      </c>
      <c r="I893" s="9" t="str">
        <f>IFERROR(__xludf.DUMMYFUNCTION("GOOGLEFINANCE(""ASX:G1C"", ""marketcap"")"),"#N/A")</f>
        <v>#N/A</v>
      </c>
      <c r="J893" s="12">
        <v>0.093</v>
      </c>
      <c r="K893" s="12">
        <v>0.097</v>
      </c>
      <c r="L893" s="12">
        <v>0.115</v>
      </c>
      <c r="M893" s="12">
        <v>0.059</v>
      </c>
      <c r="N893" s="11" t="s">
        <v>19</v>
      </c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6" t="s">
        <v>1802</v>
      </c>
      <c r="B894" s="6" t="s">
        <v>1803</v>
      </c>
      <c r="C894" s="5" t="s">
        <v>36</v>
      </c>
      <c r="D894" s="7">
        <f>IFERROR(__xludf.DUMMYFUNCTION("GOOGLEFINANCE(""ASX:G200"", ""price"")"),30.16)</f>
        <v>30.16</v>
      </c>
      <c r="E894" s="8">
        <f>IFERROR(__xludf.DUMMYFUNCTION("GOOGLEFINANCE(""ASX:G200"", ""closeyest"")"),30.02)</f>
        <v>30.02</v>
      </c>
      <c r="F894" s="5" t="str">
        <f>IFERROR(__xludf.DUMMYFUNCTION("GOOGLEFINANCE(""ASX:G200"", ""pe"")"),"#N/A")</f>
        <v>#N/A</v>
      </c>
      <c r="G894" s="9">
        <f>IFERROR(__xludf.DUMMYFUNCTION("GOOGLEFINANCE(""ASX:G200"", ""high52"")"),32.61)</f>
        <v>32.61</v>
      </c>
      <c r="H894" s="9">
        <f>IFERROR(__xludf.DUMMYFUNCTION("GOOGLEFINANCE(""ASX:G200"", ""low52"")"),22.72)</f>
        <v>22.72</v>
      </c>
      <c r="I894" s="9" t="str">
        <f>IFERROR(__xludf.DUMMYFUNCTION("GOOGLEFINANCE(""ASX:G200"", ""marketcap"")"),"#N/A")</f>
        <v>#N/A</v>
      </c>
      <c r="J894" s="5"/>
      <c r="K894" s="5"/>
      <c r="L894" s="5"/>
      <c r="M894" s="5"/>
      <c r="N894" s="11" t="s">
        <v>19</v>
      </c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6" t="s">
        <v>1804</v>
      </c>
      <c r="B895" s="6" t="s">
        <v>1805</v>
      </c>
      <c r="C895" s="5" t="s">
        <v>39</v>
      </c>
      <c r="D895" s="7">
        <f>IFERROR(__xludf.DUMMYFUNCTION("GOOGLEFINANCE(""ASX:G50"", ""price"")"),0.67)</f>
        <v>0.67</v>
      </c>
      <c r="E895" s="8">
        <f>IFERROR(__xludf.DUMMYFUNCTION("GOOGLEFINANCE(""ASX:G50"", ""closeyest"")"),0.71)</f>
        <v>0.71</v>
      </c>
      <c r="F895" s="5" t="str">
        <f>IFERROR(__xludf.DUMMYFUNCTION("GOOGLEFINANCE(""ASX:G50"", ""pe"")"),"#N/A")</f>
        <v>#N/A</v>
      </c>
      <c r="G895" s="9">
        <f>IFERROR(__xludf.DUMMYFUNCTION("GOOGLEFINANCE(""ASX:G50"", ""high52"")"),0.79)</f>
        <v>0.79</v>
      </c>
      <c r="H895" s="9">
        <f>IFERROR(__xludf.DUMMYFUNCTION("GOOGLEFINANCE(""ASX:G50"", ""low52"")"),0.1)</f>
        <v>0.1</v>
      </c>
      <c r="I895" s="9">
        <f>IFERROR(__xludf.DUMMYFUNCTION("GOOGLEFINANCE(""ASX:G50"", ""marketcap"")"),1.36849111E8)</f>
        <v>136849111</v>
      </c>
      <c r="J895" s="5"/>
      <c r="K895" s="5"/>
      <c r="L895" s="5"/>
      <c r="M895" s="5"/>
      <c r="N895" s="11" t="s">
        <v>19</v>
      </c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6" t="s">
        <v>1806</v>
      </c>
      <c r="B896" s="6" t="s">
        <v>1807</v>
      </c>
      <c r="C896" s="5" t="s">
        <v>39</v>
      </c>
      <c r="D896" s="7">
        <f>IFERROR(__xludf.DUMMYFUNCTION("GOOGLEFINANCE(""ASX:G6M"", ""price"")"),0.03)</f>
        <v>0.03</v>
      </c>
      <c r="E896" s="8">
        <f>IFERROR(__xludf.DUMMYFUNCTION("GOOGLEFINANCE(""ASX:G6M"", ""closeyest"")"),0.03)</f>
        <v>0.03</v>
      </c>
      <c r="F896" s="5" t="str">
        <f>IFERROR(__xludf.DUMMYFUNCTION("GOOGLEFINANCE(""ASX:G6M"", ""pe"")"),"#N/A")</f>
        <v>#N/A</v>
      </c>
      <c r="G896" s="9">
        <f>IFERROR(__xludf.DUMMYFUNCTION("GOOGLEFINANCE(""ASX:G6M"", ""high52"")"),2.5)</f>
        <v>2.5</v>
      </c>
      <c r="H896" s="9">
        <f>IFERROR(__xludf.DUMMYFUNCTION("GOOGLEFINANCE(""ASX:G6M"", ""low52"")"),2.5)</f>
        <v>2.5</v>
      </c>
      <c r="I896" s="9">
        <f>IFERROR(__xludf.DUMMYFUNCTION("GOOGLEFINANCE(""ASX:G6M"", ""marketcap"")"),3.0120675E7)</f>
        <v>30120675</v>
      </c>
      <c r="J896" s="5"/>
      <c r="K896" s="5"/>
      <c r="L896" s="5"/>
      <c r="M896" s="5"/>
      <c r="N896" s="11" t="s">
        <v>19</v>
      </c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6" t="s">
        <v>1808</v>
      </c>
      <c r="B897" s="6" t="s">
        <v>1809</v>
      </c>
      <c r="C897" s="5" t="s">
        <v>18</v>
      </c>
      <c r="D897" s="7">
        <f>IFERROR(__xludf.DUMMYFUNCTION("GOOGLEFINANCE(""ASX:G88"", ""price"")"),0.01)</f>
        <v>0.01</v>
      </c>
      <c r="E897" s="8">
        <f>IFERROR(__xludf.DUMMYFUNCTION("GOOGLEFINANCE(""ASX:G88"", ""closeyest"")"),0.01)</f>
        <v>0.01</v>
      </c>
      <c r="F897" s="5" t="str">
        <f>IFERROR(__xludf.DUMMYFUNCTION("GOOGLEFINANCE(""ASX:G88"", ""pe"")"),"#N/A")</f>
        <v>#N/A</v>
      </c>
      <c r="G897" s="9">
        <f>IFERROR(__xludf.DUMMYFUNCTION("GOOGLEFINANCE(""ASX:G88"", ""high52"")"),0.02)</f>
        <v>0.02</v>
      </c>
      <c r="H897" s="9">
        <f>IFERROR(__xludf.DUMMYFUNCTION("GOOGLEFINANCE(""ASX:G88"", ""low52"")"),0.01)</f>
        <v>0.01</v>
      </c>
      <c r="I897" s="9">
        <f>IFERROR(__xludf.DUMMYFUNCTION("GOOGLEFINANCE(""ASX:G88"", ""marketcap"")"),2265786.0)</f>
        <v>2265786</v>
      </c>
      <c r="J897" s="5"/>
      <c r="K897" s="5"/>
      <c r="L897" s="5"/>
      <c r="M897" s="5"/>
      <c r="N897" s="11" t="s">
        <v>19</v>
      </c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6" t="s">
        <v>1810</v>
      </c>
      <c r="B898" s="6" t="s">
        <v>1811</v>
      </c>
      <c r="C898" s="5" t="s">
        <v>88</v>
      </c>
      <c r="D898" s="7">
        <f>IFERROR(__xludf.DUMMYFUNCTION("GOOGLEFINANCE(""ASX:GA8"", ""price"")"),0.07)</f>
        <v>0.07</v>
      </c>
      <c r="E898" s="8">
        <f>IFERROR(__xludf.DUMMYFUNCTION("GOOGLEFINANCE(""ASX:GA8"", ""closeyest"")"),0.07)</f>
        <v>0.07</v>
      </c>
      <c r="F898" s="5" t="str">
        <f>IFERROR(__xludf.DUMMYFUNCTION("GOOGLEFINANCE(""ASX:GA8"", ""pe"")"),"#N/A")</f>
        <v>#N/A</v>
      </c>
      <c r="G898" s="9">
        <f>IFERROR(__xludf.DUMMYFUNCTION("GOOGLEFINANCE(""ASX:GA8"", ""high52"")"),0.07)</f>
        <v>0.07</v>
      </c>
      <c r="H898" s="9">
        <f>IFERROR(__xludf.DUMMYFUNCTION("GOOGLEFINANCE(""ASX:GA8"", ""low52"")"),0.02)</f>
        <v>0.02</v>
      </c>
      <c r="I898" s="9">
        <f>IFERROR(__xludf.DUMMYFUNCTION("GOOGLEFINANCE(""ASX:GA8"", ""marketcap"")"),3.9694673E7)</f>
        <v>39694673</v>
      </c>
      <c r="J898" s="5"/>
      <c r="K898" s="5"/>
      <c r="L898" s="5"/>
      <c r="M898" s="5"/>
      <c r="N898" s="11" t="s">
        <v>19</v>
      </c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6" t="s">
        <v>1812</v>
      </c>
      <c r="B899" s="6" t="s">
        <v>1813</v>
      </c>
      <c r="C899" s="5" t="s">
        <v>39</v>
      </c>
      <c r="D899" s="7">
        <f>IFERROR(__xludf.DUMMYFUNCTION("GOOGLEFINANCE(""ASX:GAL"", ""price"")"),0.19)</f>
        <v>0.19</v>
      </c>
      <c r="E899" s="8">
        <f>IFERROR(__xludf.DUMMYFUNCTION("GOOGLEFINANCE(""ASX:GAL"", ""closeyest"")"),0.2)</f>
        <v>0.2</v>
      </c>
      <c r="F899" s="5" t="str">
        <f>IFERROR(__xludf.DUMMYFUNCTION("GOOGLEFINANCE(""ASX:GAL"", ""pe"")"),"#N/A")</f>
        <v>#N/A</v>
      </c>
      <c r="G899" s="9">
        <f>IFERROR(__xludf.DUMMYFUNCTION("GOOGLEFINANCE(""ASX:GAL"", ""high52"")"),0.24)</f>
        <v>0.24</v>
      </c>
      <c r="H899" s="9">
        <f>IFERROR(__xludf.DUMMYFUNCTION("GOOGLEFINANCE(""ASX:GAL"", ""low52"")"),0.1)</f>
        <v>0.1</v>
      </c>
      <c r="I899" s="9">
        <f>IFERROR(__xludf.DUMMYFUNCTION("GOOGLEFINANCE(""ASX:GAL"", ""marketcap"")"),3.6610016E7)</f>
        <v>36610016</v>
      </c>
      <c r="J899" s="9">
        <v>6.92</v>
      </c>
      <c r="K899" s="9">
        <v>6.93</v>
      </c>
      <c r="L899" s="9">
        <v>7.82</v>
      </c>
      <c r="M899" s="9">
        <v>5.34</v>
      </c>
      <c r="N899" s="11" t="s">
        <v>19</v>
      </c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6" t="s">
        <v>1814</v>
      </c>
      <c r="B900" s="6" t="s">
        <v>1815</v>
      </c>
      <c r="C900" s="5" t="s">
        <v>36</v>
      </c>
      <c r="D900" s="7">
        <f>IFERROR(__xludf.DUMMYFUNCTION("GOOGLEFINANCE(""ASX:GAME"", ""price"")"),18.09)</f>
        <v>18.09</v>
      </c>
      <c r="E900" s="8">
        <f>IFERROR(__xludf.DUMMYFUNCTION("GOOGLEFINANCE(""ASX:GAME"", ""closeyest"")"),18.68)</f>
        <v>18.68</v>
      </c>
      <c r="F900" s="5" t="str">
        <f>IFERROR(__xludf.DUMMYFUNCTION("GOOGLEFINANCE(""ASX:GAME"", ""pe"")"),"#N/A")</f>
        <v>#N/A</v>
      </c>
      <c r="G900" s="9">
        <f>IFERROR(__xludf.DUMMYFUNCTION("GOOGLEFINANCE(""ASX:GAME"", ""high52"")"),21.37)</f>
        <v>21.37</v>
      </c>
      <c r="H900" s="9">
        <f>IFERROR(__xludf.DUMMYFUNCTION("GOOGLEFINANCE(""ASX:GAME"", ""low52"")"),14.04)</f>
        <v>14.04</v>
      </c>
      <c r="I900" s="9" t="str">
        <f>IFERROR(__xludf.DUMMYFUNCTION("GOOGLEFINANCE(""ASX:GAME"", ""marketcap"")"),"#N/A")</f>
        <v>#N/A</v>
      </c>
      <c r="J900" s="5"/>
      <c r="K900" s="5"/>
      <c r="L900" s="5"/>
      <c r="M900" s="5"/>
      <c r="N900" s="11" t="s">
        <v>19</v>
      </c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6" t="s">
        <v>1816</v>
      </c>
      <c r="B901" s="6" t="s">
        <v>1817</v>
      </c>
      <c r="C901" s="5" t="s">
        <v>1818</v>
      </c>
      <c r="D901" s="7">
        <f>IFERROR(__xludf.DUMMYFUNCTION("GOOGLEFINANCE(""ASX:GAP"", ""price"")"),0.09)</f>
        <v>0.09</v>
      </c>
      <c r="E901" s="8">
        <f>IFERROR(__xludf.DUMMYFUNCTION("GOOGLEFINANCE(""ASX:GAP"", ""closeyest"")"),0.09)</f>
        <v>0.09</v>
      </c>
      <c r="F901" s="5" t="str">
        <f>IFERROR(__xludf.DUMMYFUNCTION("GOOGLEFINANCE(""ASX:GAP"", ""pe"")"),"#N/A")</f>
        <v>#N/A</v>
      </c>
      <c r="G901" s="9">
        <f>IFERROR(__xludf.DUMMYFUNCTION("GOOGLEFINANCE(""ASX:GAP"", ""high52"")"),0.14)</f>
        <v>0.14</v>
      </c>
      <c r="H901" s="9">
        <f>IFERROR(__xludf.DUMMYFUNCTION("GOOGLEFINANCE(""ASX:GAP"", ""low52"")"),0.09)</f>
        <v>0.09</v>
      </c>
      <c r="I901" s="9">
        <f>IFERROR(__xludf.DUMMYFUNCTION("GOOGLEFINANCE(""ASX:GAP"", ""marketcap"")"),2.5617385E7)</f>
        <v>25617385</v>
      </c>
      <c r="J901" s="5"/>
      <c r="K901" s="5"/>
      <c r="L901" s="5"/>
      <c r="M901" s="5"/>
      <c r="N901" s="11" t="s">
        <v>19</v>
      </c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6" t="s">
        <v>1819</v>
      </c>
      <c r="B902" s="6" t="s">
        <v>1820</v>
      </c>
      <c r="C902" s="5" t="s">
        <v>36</v>
      </c>
      <c r="D902" s="7">
        <f>IFERROR(__xludf.DUMMYFUNCTION("GOOGLEFINANCE(""ASX:GARP"", ""price"")"),12.9)</f>
        <v>12.9</v>
      </c>
      <c r="E902" s="8">
        <f>IFERROR(__xludf.DUMMYFUNCTION("GOOGLEFINANCE(""ASX:GARP"", ""closeyest"")"),12.97)</f>
        <v>12.97</v>
      </c>
      <c r="F902" s="5" t="str">
        <f>IFERROR(__xludf.DUMMYFUNCTION("GOOGLEFINANCE(""ASX:GARP"", ""pe"")"),"#N/A")</f>
        <v>#N/A</v>
      </c>
      <c r="G902" s="9">
        <f>IFERROR(__xludf.DUMMYFUNCTION("GOOGLEFINANCE(""ASX:GARP"", ""high52"")"),13.74)</f>
        <v>13.74</v>
      </c>
      <c r="H902" s="9">
        <f>IFERROR(__xludf.DUMMYFUNCTION("GOOGLEFINANCE(""ASX:GARP"", ""low52"")"),10.41)</f>
        <v>10.41</v>
      </c>
      <c r="I902" s="9" t="str">
        <f>IFERROR(__xludf.DUMMYFUNCTION("GOOGLEFINANCE(""ASX:GARP"", ""marketcap"")"),"#N/A")</f>
        <v>#N/A</v>
      </c>
      <c r="J902" s="5"/>
      <c r="K902" s="5"/>
      <c r="L902" s="5"/>
      <c r="M902" s="5"/>
      <c r="N902" s="11" t="s">
        <v>19</v>
      </c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6" t="s">
        <v>1821</v>
      </c>
      <c r="B903" s="6" t="s">
        <v>1822</v>
      </c>
      <c r="C903" s="5" t="s">
        <v>1823</v>
      </c>
      <c r="D903" s="7">
        <f>IFERROR(__xludf.DUMMYFUNCTION("GOOGLEFINANCE(""ASX:GAS"", ""price"")"),0.03)</f>
        <v>0.03</v>
      </c>
      <c r="E903" s="8">
        <f>IFERROR(__xludf.DUMMYFUNCTION("GOOGLEFINANCE(""ASX:GAS"", ""closeyest"")"),0.03)</f>
        <v>0.03</v>
      </c>
      <c r="F903" s="5" t="str">
        <f>IFERROR(__xludf.DUMMYFUNCTION("GOOGLEFINANCE(""ASX:GAS"", ""pe"")"),"#N/A")</f>
        <v>#N/A</v>
      </c>
      <c r="G903" s="9">
        <f>IFERROR(__xludf.DUMMYFUNCTION("GOOGLEFINANCE(""ASX:GAS"", ""high52"")"),0.05)</f>
        <v>0.05</v>
      </c>
      <c r="H903" s="9">
        <f>IFERROR(__xludf.DUMMYFUNCTION("GOOGLEFINANCE(""ASX:GAS"", ""low52"")"),0.02)</f>
        <v>0.02</v>
      </c>
      <c r="I903" s="9">
        <f>IFERROR(__xludf.DUMMYFUNCTION("GOOGLEFINANCE(""ASX:GAS"", ""marketcap"")"),9546271.0)</f>
        <v>9546271</v>
      </c>
      <c r="J903" s="5"/>
      <c r="K903" s="5"/>
      <c r="L903" s="5"/>
      <c r="M903" s="5"/>
      <c r="N903" s="11" t="s">
        <v>19</v>
      </c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6" t="s">
        <v>1824</v>
      </c>
      <c r="B904" s="6" t="s">
        <v>1825</v>
      </c>
      <c r="C904" s="5" t="s">
        <v>18</v>
      </c>
      <c r="D904" s="7">
        <f>IFERROR(__xludf.DUMMYFUNCTION("GOOGLEFINANCE(""ASX:GBE"", ""price"")"),0.05)</f>
        <v>0.05</v>
      </c>
      <c r="E904" s="8">
        <f>IFERROR(__xludf.DUMMYFUNCTION("GOOGLEFINANCE(""ASX:GBE"", ""closeyest"")"),0.05)</f>
        <v>0.05</v>
      </c>
      <c r="F904" s="5" t="str">
        <f>IFERROR(__xludf.DUMMYFUNCTION("GOOGLEFINANCE(""ASX:GBE"", ""pe"")"),"#N/A")</f>
        <v>#N/A</v>
      </c>
      <c r="G904" s="9">
        <f>IFERROR(__xludf.DUMMYFUNCTION("GOOGLEFINANCE(""ASX:GBE"", ""high52"")"),0.09)</f>
        <v>0.09</v>
      </c>
      <c r="H904" s="9">
        <f>IFERROR(__xludf.DUMMYFUNCTION("GOOGLEFINANCE(""ASX:GBE"", ""low52"")"),0.02)</f>
        <v>0.02</v>
      </c>
      <c r="I904" s="9">
        <f>IFERROR(__xludf.DUMMYFUNCTION("GOOGLEFINANCE(""ASX:GBE"", ""marketcap"")"),3.9692314E7)</f>
        <v>39692314</v>
      </c>
      <c r="J904" s="5"/>
      <c r="K904" s="5"/>
      <c r="L904" s="5"/>
      <c r="M904" s="5"/>
      <c r="N904" s="11" t="s">
        <v>19</v>
      </c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6" t="s">
        <v>1826</v>
      </c>
      <c r="B905" s="6" t="s">
        <v>1827</v>
      </c>
      <c r="C905" s="5" t="s">
        <v>18</v>
      </c>
      <c r="D905" s="7">
        <f>IFERROR(__xludf.DUMMYFUNCTION("GOOGLEFINANCE(""ASX:GBM"", ""price"")"),0.04)</f>
        <v>0.04</v>
      </c>
      <c r="E905" s="8">
        <f>IFERROR(__xludf.DUMMYFUNCTION("GOOGLEFINANCE(""ASX:GBM"", ""closeyest"")"),0.03)</f>
        <v>0.03</v>
      </c>
      <c r="F905" s="5" t="str">
        <f>IFERROR(__xludf.DUMMYFUNCTION("GOOGLEFINANCE(""ASX:GBM"", ""pe"")"),"#N/A")</f>
        <v>#N/A</v>
      </c>
      <c r="G905" s="9">
        <f>IFERROR(__xludf.DUMMYFUNCTION("GOOGLEFINANCE(""ASX:GBM"", ""high52"")"),0.04)</f>
        <v>0.04</v>
      </c>
      <c r="H905" s="9">
        <f>IFERROR(__xludf.DUMMYFUNCTION("GOOGLEFINANCE(""ASX:GBM"", ""low52"")"),0.03)</f>
        <v>0.03</v>
      </c>
      <c r="I905" s="9">
        <f>IFERROR(__xludf.DUMMYFUNCTION("GOOGLEFINANCE(""ASX:GBM"", ""marketcap"")"),1.85441628E8)</f>
        <v>185441628</v>
      </c>
      <c r="J905" s="5"/>
      <c r="K905" s="5"/>
      <c r="L905" s="5"/>
      <c r="M905" s="5"/>
      <c r="N905" s="11" t="s">
        <v>19</v>
      </c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6" t="s">
        <v>1828</v>
      </c>
      <c r="B906" s="6" t="s">
        <v>1829</v>
      </c>
      <c r="C906" s="5" t="s">
        <v>36</v>
      </c>
      <c r="D906" s="7">
        <f>IFERROR(__xludf.DUMMYFUNCTION("GOOGLEFINANCE(""ASX:GBND"", ""price"")"),20.52)</f>
        <v>20.52</v>
      </c>
      <c r="E906" s="8">
        <f>IFERROR(__xludf.DUMMYFUNCTION("GOOGLEFINANCE(""ASX:GBND"", ""closeyest"")"),20.46)</f>
        <v>20.46</v>
      </c>
      <c r="F906" s="5" t="str">
        <f>IFERROR(__xludf.DUMMYFUNCTION("GOOGLEFINANCE(""ASX:GBND"", ""pe"")"),"#N/A")</f>
        <v>#N/A</v>
      </c>
      <c r="G906" s="9">
        <f>IFERROR(__xludf.DUMMYFUNCTION("GOOGLEFINANCE(""ASX:GBND"", ""high52"")"),20.95)</f>
        <v>20.95</v>
      </c>
      <c r="H906" s="9">
        <f>IFERROR(__xludf.DUMMYFUNCTION("GOOGLEFINANCE(""ASX:GBND"", ""low52"")"),20.07)</f>
        <v>20.07</v>
      </c>
      <c r="I906" s="9" t="str">
        <f>IFERROR(__xludf.DUMMYFUNCTION("GOOGLEFINANCE(""ASX:GBND"", ""marketcap"")"),"#N/A")</f>
        <v>#N/A</v>
      </c>
      <c r="J906" s="5"/>
      <c r="K906" s="5"/>
      <c r="L906" s="5"/>
      <c r="M906" s="5"/>
      <c r="N906" s="11" t="s">
        <v>19</v>
      </c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6" t="s">
        <v>1830</v>
      </c>
      <c r="B907" s="6" t="s">
        <v>1831</v>
      </c>
      <c r="C907" s="5" t="s">
        <v>88</v>
      </c>
      <c r="D907" s="7">
        <f>IFERROR(__xludf.DUMMYFUNCTION("GOOGLEFINANCE(""ASX:GBR"", ""price"")"),0.11)</f>
        <v>0.11</v>
      </c>
      <c r="E907" s="8">
        <f>IFERROR(__xludf.DUMMYFUNCTION("GOOGLEFINANCE(""ASX:GBR"", ""closeyest"")"),0.1)</f>
        <v>0.1</v>
      </c>
      <c r="F907" s="5" t="str">
        <f>IFERROR(__xludf.DUMMYFUNCTION("GOOGLEFINANCE(""ASX:GBR"", ""pe"")"),"#N/A")</f>
        <v>#N/A</v>
      </c>
      <c r="G907" s="9">
        <f>IFERROR(__xludf.DUMMYFUNCTION("GOOGLEFINANCE(""ASX:GBR"", ""high52"")"),0.11)</f>
        <v>0.11</v>
      </c>
      <c r="H907" s="9">
        <f>IFERROR(__xludf.DUMMYFUNCTION("GOOGLEFINANCE(""ASX:GBR"", ""low52"")"),0.04)</f>
        <v>0.04</v>
      </c>
      <c r="I907" s="9">
        <f>IFERROR(__xludf.DUMMYFUNCTION("GOOGLEFINANCE(""ASX:GBR"", ""marketcap"")"),1.06028156E8)</f>
        <v>106028156</v>
      </c>
      <c r="J907" s="5"/>
      <c r="K907" s="5"/>
      <c r="L907" s="5"/>
      <c r="M907" s="5"/>
      <c r="N907" s="11" t="s">
        <v>19</v>
      </c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6" t="s">
        <v>1832</v>
      </c>
      <c r="B908" s="6" t="s">
        <v>1833</v>
      </c>
      <c r="C908" s="5" t="s">
        <v>171</v>
      </c>
      <c r="D908" s="7">
        <f>IFERROR(__xludf.DUMMYFUNCTION("GOOGLEFINANCE(""ASX:GC1"", ""price"")"),0.47)</f>
        <v>0.47</v>
      </c>
      <c r="E908" s="8">
        <f>IFERROR(__xludf.DUMMYFUNCTION("GOOGLEFINANCE(""ASX:GC1"", ""closeyest"")"),0.47)</f>
        <v>0.47</v>
      </c>
      <c r="F908" s="9">
        <f>IFERROR(__xludf.DUMMYFUNCTION("GOOGLEFINANCE(""ASX:GC1"", ""pe"")"),5.15)</f>
        <v>5.15</v>
      </c>
      <c r="G908" s="9">
        <f>IFERROR(__xludf.DUMMYFUNCTION("GOOGLEFINANCE(""ASX:GC1"", ""high52"")"),0.57)</f>
        <v>0.57</v>
      </c>
      <c r="H908" s="9">
        <f>IFERROR(__xludf.DUMMYFUNCTION("GOOGLEFINANCE(""ASX:GC1"", ""low52"")"),0.4)</f>
        <v>0.4</v>
      </c>
      <c r="I908" s="9">
        <f>IFERROR(__xludf.DUMMYFUNCTION("GOOGLEFINANCE(""ASX:GC1"", ""marketcap"")"),2.232703E7)</f>
        <v>22327030</v>
      </c>
      <c r="J908" s="5"/>
      <c r="K908" s="5"/>
      <c r="L908" s="5"/>
      <c r="M908" s="5"/>
      <c r="N908" s="10">
        <v>5.15</v>
      </c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6" t="s">
        <v>1834</v>
      </c>
      <c r="B909" s="6" t="s">
        <v>1835</v>
      </c>
      <c r="C909" s="5" t="s">
        <v>36</v>
      </c>
      <c r="D909" s="7" t="str">
        <f>IFERROR(__xludf.DUMMYFUNCTION("GOOGLEFINANCE(""ASX:GCAP"", ""price"")"),"#N/A")</f>
        <v>#N/A</v>
      </c>
      <c r="E909" s="8" t="str">
        <f>IFERROR(__xludf.DUMMYFUNCTION("GOOGLEFINANCE(""ASX:GCAP"", ""closeyest"")"),"#N/A")</f>
        <v>#N/A</v>
      </c>
      <c r="F909" s="5" t="str">
        <f>IFERROR(__xludf.DUMMYFUNCTION("GOOGLEFINANCE(""ASX:GCAP"", ""pe"")"),"#N/A")</f>
        <v>#N/A</v>
      </c>
      <c r="G909" s="5" t="str">
        <f>IFERROR(__xludf.DUMMYFUNCTION("GOOGLEFINANCE(""ASX:GCAP"", ""high52"")"),"#N/A")</f>
        <v>#N/A</v>
      </c>
      <c r="H909" s="5" t="str">
        <f>IFERROR(__xludf.DUMMYFUNCTION("GOOGLEFINANCE(""ASX:GCAP"", ""low52"")"),"#N/A")</f>
        <v>#N/A</v>
      </c>
      <c r="I909" s="9" t="str">
        <f>IFERROR(__xludf.DUMMYFUNCTION("GOOGLEFINANCE(""ASX:GCAP"", ""marketcap"")"),"#N/A")</f>
        <v>#N/A</v>
      </c>
      <c r="J909" s="12">
        <v>8.89</v>
      </c>
      <c r="K909" s="12">
        <v>8.91</v>
      </c>
      <c r="L909" s="12">
        <v>8.95</v>
      </c>
      <c r="M909" s="12">
        <v>8.55</v>
      </c>
      <c r="N909" s="11" t="s">
        <v>19</v>
      </c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6" t="s">
        <v>1836</v>
      </c>
      <c r="B910" s="6" t="s">
        <v>1837</v>
      </c>
      <c r="C910" s="5" t="s">
        <v>1838</v>
      </c>
      <c r="D910" s="7">
        <f>IFERROR(__xludf.DUMMYFUNCTION("GOOGLEFINANCE(""ASX:GCI"", ""price"")"),2.07)</f>
        <v>2.07</v>
      </c>
      <c r="E910" s="8">
        <f>IFERROR(__xludf.DUMMYFUNCTION("GOOGLEFINANCE(""ASX:GCI"", ""closeyest"")"),2.05)</f>
        <v>2.05</v>
      </c>
      <c r="F910" s="9">
        <f>IFERROR(__xludf.DUMMYFUNCTION("GOOGLEFINANCE(""ASX:GCI"", ""pe"")"),12.49)</f>
        <v>12.49</v>
      </c>
      <c r="G910" s="9">
        <f>IFERROR(__xludf.DUMMYFUNCTION("GOOGLEFINANCE(""ASX:GCI"", ""high52"")"),2.12)</f>
        <v>2.12</v>
      </c>
      <c r="H910" s="9">
        <f>IFERROR(__xludf.DUMMYFUNCTION("GOOGLEFINANCE(""ASX:GCI"", ""low52"")"),1.89)</f>
        <v>1.89</v>
      </c>
      <c r="I910" s="9">
        <f>IFERROR(__xludf.DUMMYFUNCTION("GOOGLEFINANCE(""ASX:GCI"", ""marketcap"")"),1.222335788E9)</f>
        <v>1222335788</v>
      </c>
      <c r="J910" s="5"/>
      <c r="K910" s="5"/>
      <c r="L910" s="5"/>
      <c r="M910" s="5"/>
      <c r="N910" s="10">
        <v>12.43</v>
      </c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6" t="s">
        <v>1839</v>
      </c>
      <c r="B911" s="6" t="s">
        <v>1840</v>
      </c>
      <c r="C911" s="5" t="s">
        <v>18</v>
      </c>
      <c r="D911" s="7">
        <f>IFERROR(__xludf.DUMMYFUNCTION("GOOGLEFINANCE(""ASX:GCM"", ""price"")"),0.01)</f>
        <v>0.01</v>
      </c>
      <c r="E911" s="8">
        <f>IFERROR(__xludf.DUMMYFUNCTION("GOOGLEFINANCE(""ASX:GCM"", ""closeyest"")"),0.01)</f>
        <v>0.01</v>
      </c>
      <c r="F911" s="5" t="str">
        <f>IFERROR(__xludf.DUMMYFUNCTION("GOOGLEFINANCE(""ASX:GCM"", ""pe"")"),"#N/A")</f>
        <v>#N/A</v>
      </c>
      <c r="G911" s="9">
        <f>IFERROR(__xludf.DUMMYFUNCTION("GOOGLEFINANCE(""ASX:GCM"", ""high52"")"),0.04)</f>
        <v>0.04</v>
      </c>
      <c r="H911" s="9">
        <f>IFERROR(__xludf.DUMMYFUNCTION("GOOGLEFINANCE(""ASX:GCM"", ""low52"")"),0.01)</f>
        <v>0.01</v>
      </c>
      <c r="I911" s="9">
        <f>IFERROR(__xludf.DUMMYFUNCTION("GOOGLEFINANCE(""ASX:GCM"", ""marketcap"")"),5.6425979E7)</f>
        <v>56425979</v>
      </c>
      <c r="J911" s="5"/>
      <c r="K911" s="5"/>
      <c r="L911" s="5"/>
      <c r="M911" s="5"/>
      <c r="N911" s="11" t="s">
        <v>19</v>
      </c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6" t="s">
        <v>1841</v>
      </c>
      <c r="B912" s="6" t="s">
        <v>1842</v>
      </c>
      <c r="C912" s="5" t="s">
        <v>36</v>
      </c>
      <c r="D912" s="7">
        <f>IFERROR(__xludf.DUMMYFUNCTION("GOOGLEFINANCE(""ASX:GCQF"", ""price"")"),4.92)</f>
        <v>4.92</v>
      </c>
      <c r="E912" s="8">
        <f>IFERROR(__xludf.DUMMYFUNCTION("GOOGLEFINANCE(""ASX:GCQF"", ""closeyest"")"),4.89)</f>
        <v>4.89</v>
      </c>
      <c r="F912" s="5" t="str">
        <f>IFERROR(__xludf.DUMMYFUNCTION("GOOGLEFINANCE(""ASX:GCQF"", ""pe"")"),"#N/A")</f>
        <v>#N/A</v>
      </c>
      <c r="G912" s="9">
        <f>IFERROR(__xludf.DUMMYFUNCTION("GOOGLEFINANCE(""ASX:GCQF"", ""high52"")"),5.6)</f>
        <v>5.6</v>
      </c>
      <c r="H912" s="9">
        <f>IFERROR(__xludf.DUMMYFUNCTION("GOOGLEFINANCE(""ASX:GCQF"", ""low52"")"),4.65)</f>
        <v>4.65</v>
      </c>
      <c r="I912" s="9" t="str">
        <f>IFERROR(__xludf.DUMMYFUNCTION("GOOGLEFINANCE(""ASX:GCQF"", ""marketcap"")"),"#N/A")</f>
        <v>#N/A</v>
      </c>
      <c r="J912" s="5"/>
      <c r="K912" s="5"/>
      <c r="L912" s="5"/>
      <c r="M912" s="5"/>
      <c r="N912" s="11" t="s">
        <v>19</v>
      </c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6" t="s">
        <v>1843</v>
      </c>
      <c r="B913" s="6" t="s">
        <v>1844</v>
      </c>
      <c r="C913" s="5" t="s">
        <v>18</v>
      </c>
      <c r="D913" s="7">
        <f>IFERROR(__xludf.DUMMYFUNCTION("GOOGLEFINANCE(""ASX:GCR"", ""price"")"),0.0)</f>
        <v>0</v>
      </c>
      <c r="E913" s="8">
        <f>IFERROR(__xludf.DUMMYFUNCTION("GOOGLEFINANCE(""ASX:GCR"", ""closeyest"")"),0.0)</f>
        <v>0</v>
      </c>
      <c r="F913" s="5" t="str">
        <f>IFERROR(__xludf.DUMMYFUNCTION("GOOGLEFINANCE(""ASX:GCR"", ""pe"")"),"#N/A")</f>
        <v>#N/A</v>
      </c>
      <c r="G913" s="9">
        <f>IFERROR(__xludf.DUMMYFUNCTION("GOOGLEFINANCE(""ASX:GCR"", ""high52"")"),0.0)</f>
        <v>0</v>
      </c>
      <c r="H913" s="9">
        <f>IFERROR(__xludf.DUMMYFUNCTION("GOOGLEFINANCE(""ASX:GCR"", ""low52"")"),0.0)</f>
        <v>0</v>
      </c>
      <c r="I913" s="9">
        <f>IFERROR(__xludf.DUMMYFUNCTION("GOOGLEFINANCE(""ASX:GCR"", ""marketcap"")"),2194510.0)</f>
        <v>2194510</v>
      </c>
      <c r="J913" s="12">
        <v>0.002</v>
      </c>
      <c r="K913" s="12">
        <v>0.002</v>
      </c>
      <c r="L913" s="12">
        <v>0.002</v>
      </c>
      <c r="M913" s="12">
        <v>0.002</v>
      </c>
      <c r="N913" s="11" t="s">
        <v>19</v>
      </c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6" t="s">
        <v>1845</v>
      </c>
      <c r="B914" s="6" t="s">
        <v>1846</v>
      </c>
      <c r="C914" s="5" t="s">
        <v>418</v>
      </c>
      <c r="D914" s="7">
        <f>IFERROR(__xludf.DUMMYFUNCTION("GOOGLEFINANCE(""ASX:GDF"", ""price"")"),1.15)</f>
        <v>1.15</v>
      </c>
      <c r="E914" s="8">
        <f>IFERROR(__xludf.DUMMYFUNCTION("GOOGLEFINANCE(""ASX:GDF"", ""closeyest"")"),1.14)</f>
        <v>1.14</v>
      </c>
      <c r="F914" s="5" t="str">
        <f>IFERROR(__xludf.DUMMYFUNCTION("GOOGLEFINANCE(""ASX:GDF"", ""pe"")"),"#N/A")</f>
        <v>#N/A</v>
      </c>
      <c r="G914" s="9">
        <f>IFERROR(__xludf.DUMMYFUNCTION("GOOGLEFINANCE(""ASX:GDF"", ""high52"")"),1.3)</f>
        <v>1.3</v>
      </c>
      <c r="H914" s="9">
        <f>IFERROR(__xludf.DUMMYFUNCTION("GOOGLEFINANCE(""ASX:GDF"", ""low52"")"),1.08)</f>
        <v>1.08</v>
      </c>
      <c r="I914" s="9">
        <f>IFERROR(__xludf.DUMMYFUNCTION("GOOGLEFINANCE(""ASX:GDF"", ""marketcap"")"),2.50208944E8)</f>
        <v>250208944</v>
      </c>
      <c r="J914" s="5"/>
      <c r="K914" s="5"/>
      <c r="L914" s="5"/>
      <c r="M914" s="5"/>
      <c r="N914" s="11" t="s">
        <v>19</v>
      </c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6" t="s">
        <v>1847</v>
      </c>
      <c r="B915" s="6" t="s">
        <v>1848</v>
      </c>
      <c r="C915" s="5" t="s">
        <v>1849</v>
      </c>
      <c r="D915" s="7">
        <f>IFERROR(__xludf.DUMMYFUNCTION("GOOGLEFINANCE(""ASX:GDG"", ""price"")"),5.88)</f>
        <v>5.88</v>
      </c>
      <c r="E915" s="8">
        <f>IFERROR(__xludf.DUMMYFUNCTION("GOOGLEFINANCE(""ASX:GDG"", ""closeyest"")"),5.74)</f>
        <v>5.74</v>
      </c>
      <c r="F915" s="9">
        <f>IFERROR(__xludf.DUMMYFUNCTION("GOOGLEFINANCE(""ASX:GDG"", ""pe"")"),50.56)</f>
        <v>50.56</v>
      </c>
      <c r="G915" s="9">
        <f>IFERROR(__xludf.DUMMYFUNCTION("GOOGLEFINANCE(""ASX:GDG"", ""high52"")"),7.77)</f>
        <v>7.77</v>
      </c>
      <c r="H915" s="9">
        <f>IFERROR(__xludf.DUMMYFUNCTION("GOOGLEFINANCE(""ASX:GDG"", ""low52"")"),3.61)</f>
        <v>3.61</v>
      </c>
      <c r="I915" s="9">
        <f>IFERROR(__xludf.DUMMYFUNCTION("GOOGLEFINANCE(""ASX:GDG"", ""marketcap"")"),2.349901473E9)</f>
        <v>2349901473</v>
      </c>
      <c r="J915" s="5"/>
      <c r="K915" s="5"/>
      <c r="L915" s="5"/>
      <c r="M915" s="5"/>
      <c r="N915" s="10">
        <v>50.74</v>
      </c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6" t="s">
        <v>1850</v>
      </c>
      <c r="B916" s="6" t="s">
        <v>1851</v>
      </c>
      <c r="C916" s="5" t="s">
        <v>143</v>
      </c>
      <c r="D916" s="7">
        <f>IFERROR(__xludf.DUMMYFUNCTION("GOOGLEFINANCE(""ASX:GDI"", ""price"")"),0.64)</f>
        <v>0.64</v>
      </c>
      <c r="E916" s="8">
        <f>IFERROR(__xludf.DUMMYFUNCTION("GOOGLEFINANCE(""ASX:GDI"", ""closeyest"")"),0.63)</f>
        <v>0.63</v>
      </c>
      <c r="F916" s="9">
        <f>IFERROR(__xludf.DUMMYFUNCTION("GOOGLEFINANCE(""ASX:GDI"", ""pe"")"),9.71)</f>
        <v>9.71</v>
      </c>
      <c r="G916" s="9">
        <f>IFERROR(__xludf.DUMMYFUNCTION("GOOGLEFINANCE(""ASX:GDI"", ""high52"")"),0.73)</f>
        <v>0.73</v>
      </c>
      <c r="H916" s="9">
        <f>IFERROR(__xludf.DUMMYFUNCTION("GOOGLEFINANCE(""ASX:GDI"", ""low52"")"),0.56)</f>
        <v>0.56</v>
      </c>
      <c r="I916" s="9">
        <f>IFERROR(__xludf.DUMMYFUNCTION("GOOGLEFINANCE(""ASX:GDI"", ""marketcap"")"),3.42787282E8)</f>
        <v>342787282</v>
      </c>
      <c r="J916" s="5"/>
      <c r="K916" s="5"/>
      <c r="L916" s="5"/>
      <c r="M916" s="5"/>
      <c r="N916" s="10">
        <v>9.63</v>
      </c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6" t="s">
        <v>1852</v>
      </c>
      <c r="B917" s="6" t="s">
        <v>1853</v>
      </c>
      <c r="C917" s="5" t="s">
        <v>18</v>
      </c>
      <c r="D917" s="7">
        <f>IFERROR(__xludf.DUMMYFUNCTION("GOOGLEFINANCE(""ASX:GDM"", ""price"")"),0.3)</f>
        <v>0.3</v>
      </c>
      <c r="E917" s="8">
        <f>IFERROR(__xludf.DUMMYFUNCTION("GOOGLEFINANCE(""ASX:GDM"", ""closeyest"")"),0.29)</f>
        <v>0.29</v>
      </c>
      <c r="F917" s="5" t="str">
        <f>IFERROR(__xludf.DUMMYFUNCTION("GOOGLEFINANCE(""ASX:GDM"", ""pe"")"),"#N/A")</f>
        <v>#N/A</v>
      </c>
      <c r="G917" s="9">
        <f>IFERROR(__xludf.DUMMYFUNCTION("GOOGLEFINANCE(""ASX:GDM"", ""high52"")"),0.53)</f>
        <v>0.53</v>
      </c>
      <c r="H917" s="9">
        <f>IFERROR(__xludf.DUMMYFUNCTION("GOOGLEFINANCE(""ASX:GDM"", ""low52"")"),0.26)</f>
        <v>0.26</v>
      </c>
      <c r="I917" s="9">
        <f>IFERROR(__xludf.DUMMYFUNCTION("GOOGLEFINANCE(""ASX:GDM"", ""marketcap"")"),1.5056211E7)</f>
        <v>15056211</v>
      </c>
      <c r="J917" s="9">
        <v>0.001</v>
      </c>
      <c r="K917" s="9">
        <v>0.001</v>
      </c>
      <c r="L917" s="9">
        <v>0.003</v>
      </c>
      <c r="M917" s="9">
        <v>0.001</v>
      </c>
      <c r="N917" s="11" t="s">
        <v>19</v>
      </c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6" t="s">
        <v>1854</v>
      </c>
      <c r="B918" s="6" t="s">
        <v>1855</v>
      </c>
      <c r="C918" s="5" t="s">
        <v>18</v>
      </c>
      <c r="D918" s="7">
        <f>IFERROR(__xludf.DUMMYFUNCTION("GOOGLEFINANCE(""ASX:GDR"", ""price"")"),0.21)</f>
        <v>0.21</v>
      </c>
      <c r="E918" s="8">
        <f>IFERROR(__xludf.DUMMYFUNCTION("GOOGLEFINANCE(""ASX:GDR"", ""closeyest"")"),0.2)</f>
        <v>0.2</v>
      </c>
      <c r="F918" s="5" t="str">
        <f>IFERROR(__xludf.DUMMYFUNCTION("GOOGLEFINANCE(""ASX:GDR"", ""pe"")"),"#N/A")</f>
        <v>#N/A</v>
      </c>
      <c r="G918" s="9">
        <f>IFERROR(__xludf.DUMMYFUNCTION("GOOGLEFINANCE(""ASX:GDR"", ""high52"")"),0.24)</f>
        <v>0.24</v>
      </c>
      <c r="H918" s="9">
        <f>IFERROR(__xludf.DUMMYFUNCTION("GOOGLEFINANCE(""ASX:GDR"", ""low52"")"),0.18)</f>
        <v>0.18</v>
      </c>
      <c r="I918" s="9">
        <f>IFERROR(__xludf.DUMMYFUNCTION("GOOGLEFINANCE(""ASX:GDR"", ""marketcap"")"),6.5525406E7)</f>
        <v>65525406</v>
      </c>
      <c r="J918" s="5"/>
      <c r="K918" s="5"/>
      <c r="L918" s="5"/>
      <c r="M918" s="5"/>
      <c r="N918" s="11" t="s">
        <v>19</v>
      </c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6" t="s">
        <v>1856</v>
      </c>
      <c r="B919" s="6" t="s">
        <v>1857</v>
      </c>
      <c r="C919" s="5" t="s">
        <v>36</v>
      </c>
      <c r="D919" s="7">
        <f>IFERROR(__xludf.DUMMYFUNCTION("GOOGLEFINANCE(""ASX:GDX"", ""price"")"),136.79)</f>
        <v>136.79</v>
      </c>
      <c r="E919" s="8">
        <f>IFERROR(__xludf.DUMMYFUNCTION("GOOGLEFINANCE(""ASX:GDX"", ""closeyest"")"),134.89)</f>
        <v>134.89</v>
      </c>
      <c r="F919" s="5" t="str">
        <f>IFERROR(__xludf.DUMMYFUNCTION("GOOGLEFINANCE(""ASX:GDX"", ""pe"")"),"#N/A")</f>
        <v>#N/A</v>
      </c>
      <c r="G919" s="9">
        <f>IFERROR(__xludf.DUMMYFUNCTION("GOOGLEFINANCE(""ASX:GDX"", ""high52"")"),139.2)</f>
        <v>139.2</v>
      </c>
      <c r="H919" s="9">
        <f>IFERROR(__xludf.DUMMYFUNCTION("GOOGLEFINANCE(""ASX:GDX"", ""low52"")"),55.52)</f>
        <v>55.52</v>
      </c>
      <c r="I919" s="9" t="str">
        <f>IFERROR(__xludf.DUMMYFUNCTION("GOOGLEFINANCE(""ASX:GDX"", ""marketcap"")"),"#N/A")</f>
        <v>#N/A</v>
      </c>
      <c r="J919" s="5"/>
      <c r="K919" s="5"/>
      <c r="L919" s="5"/>
      <c r="M919" s="5"/>
      <c r="N919" s="11" t="s">
        <v>19</v>
      </c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6" t="s">
        <v>1858</v>
      </c>
      <c r="B920" s="6" t="s">
        <v>1859</v>
      </c>
      <c r="C920" s="5" t="s">
        <v>36</v>
      </c>
      <c r="D920" s="7">
        <f>IFERROR(__xludf.DUMMYFUNCTION("GOOGLEFINANCE(""ASX:GEAR"", ""price"")"),34.8)</f>
        <v>34.8</v>
      </c>
      <c r="E920" s="8">
        <f>IFERROR(__xludf.DUMMYFUNCTION("GOOGLEFINANCE(""ASX:GEAR"", ""closeyest"")"),34.71)</f>
        <v>34.71</v>
      </c>
      <c r="F920" s="5" t="str">
        <f>IFERROR(__xludf.DUMMYFUNCTION("GOOGLEFINANCE(""ASX:GEAR"", ""pe"")"),"#N/A")</f>
        <v>#N/A</v>
      </c>
      <c r="G920" s="9">
        <f>IFERROR(__xludf.DUMMYFUNCTION("GOOGLEFINANCE(""ASX:GEAR"", ""high52"")"),39.08)</f>
        <v>39.08</v>
      </c>
      <c r="H920" s="9">
        <f>IFERROR(__xludf.DUMMYFUNCTION("GOOGLEFINANCE(""ASX:GEAR"", ""low52"")"),21.95)</f>
        <v>21.95</v>
      </c>
      <c r="I920" s="9" t="str">
        <f>IFERROR(__xludf.DUMMYFUNCTION("GOOGLEFINANCE(""ASX:GEAR"", ""marketcap"")"),"#N/A")</f>
        <v>#N/A</v>
      </c>
      <c r="J920" s="5"/>
      <c r="K920" s="5"/>
      <c r="L920" s="5"/>
      <c r="M920" s="5"/>
      <c r="N920" s="11" t="s">
        <v>19</v>
      </c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6" t="s">
        <v>1860</v>
      </c>
      <c r="B921" s="6" t="s">
        <v>1861</v>
      </c>
      <c r="C921" s="5" t="s">
        <v>88</v>
      </c>
      <c r="D921" s="7">
        <f>IFERROR(__xludf.DUMMYFUNCTION("GOOGLEFINANCE(""ASX:GED"", ""price"")"),0.06)</f>
        <v>0.06</v>
      </c>
      <c r="E921" s="8">
        <f>IFERROR(__xludf.DUMMYFUNCTION("GOOGLEFINANCE(""ASX:GED"", ""closeyest"")"),0.06)</f>
        <v>0.06</v>
      </c>
      <c r="F921" s="5" t="str">
        <f>IFERROR(__xludf.DUMMYFUNCTION("GOOGLEFINANCE(""ASX:GED"", ""pe"")"),"#N/A")</f>
        <v>#N/A</v>
      </c>
      <c r="G921" s="9">
        <f>IFERROR(__xludf.DUMMYFUNCTION("GOOGLEFINANCE(""ASX:GED"", ""high52"")"),0.09)</f>
        <v>0.09</v>
      </c>
      <c r="H921" s="9">
        <f>IFERROR(__xludf.DUMMYFUNCTION("GOOGLEFINANCE(""ASX:GED"", ""low52"")"),0.02)</f>
        <v>0.02</v>
      </c>
      <c r="I921" s="9">
        <f>IFERROR(__xludf.DUMMYFUNCTION("GOOGLEFINANCE(""ASX:GED"", ""marketcap"")"),1.5078867E7)</f>
        <v>15078867</v>
      </c>
      <c r="J921" s="5"/>
      <c r="K921" s="5"/>
      <c r="L921" s="5"/>
      <c r="M921" s="5"/>
      <c r="N921" s="11" t="s">
        <v>19</v>
      </c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6" t="s">
        <v>1862</v>
      </c>
      <c r="B922" s="6" t="s">
        <v>1863</v>
      </c>
      <c r="C922" s="5" t="s">
        <v>246</v>
      </c>
      <c r="D922" s="7">
        <f>IFERROR(__xludf.DUMMYFUNCTION("GOOGLEFINANCE(""ASX:GEM"", ""price"")"),0.7)</f>
        <v>0.7</v>
      </c>
      <c r="E922" s="8">
        <f>IFERROR(__xludf.DUMMYFUNCTION("GOOGLEFINANCE(""ASX:GEM"", ""closeyest"")"),0.67)</f>
        <v>0.67</v>
      </c>
      <c r="F922" s="9">
        <f>IFERROR(__xludf.DUMMYFUNCTION("GOOGLEFINANCE(""ASX:GEM"", ""pe"")"),7.94)</f>
        <v>7.94</v>
      </c>
      <c r="G922" s="9">
        <f>IFERROR(__xludf.DUMMYFUNCTION("GOOGLEFINANCE(""ASX:GEM"", ""high52"")"),1.4)</f>
        <v>1.4</v>
      </c>
      <c r="H922" s="9">
        <f>IFERROR(__xludf.DUMMYFUNCTION("GOOGLEFINANCE(""ASX:GEM"", ""low52"")"),0.64)</f>
        <v>0.64</v>
      </c>
      <c r="I922" s="9">
        <f>IFERROR(__xludf.DUMMYFUNCTION("GOOGLEFINANCE(""ASX:GEM"", ""marketcap"")"),5.3623336E8)</f>
        <v>536233360</v>
      </c>
      <c r="J922" s="5"/>
      <c r="K922" s="5"/>
      <c r="L922" s="5"/>
      <c r="M922" s="5"/>
      <c r="N922" s="10">
        <v>7.82</v>
      </c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6" t="s">
        <v>1864</v>
      </c>
      <c r="B923" s="6" t="s">
        <v>1865</v>
      </c>
      <c r="C923" s="5" t="s">
        <v>212</v>
      </c>
      <c r="D923" s="7">
        <f>IFERROR(__xludf.DUMMYFUNCTION("GOOGLEFINANCE(""ASX:GEN"", ""price"")"),0.01)</f>
        <v>0.01</v>
      </c>
      <c r="E923" s="8">
        <f>IFERROR(__xludf.DUMMYFUNCTION("GOOGLEFINANCE(""ASX:GEN"", ""closeyest"")"),0.01)</f>
        <v>0.01</v>
      </c>
      <c r="F923" s="5" t="str">
        <f>IFERROR(__xludf.DUMMYFUNCTION("GOOGLEFINANCE(""ASX:GEN"", ""pe"")"),"#N/A")</f>
        <v>#N/A</v>
      </c>
      <c r="G923" s="9">
        <f>IFERROR(__xludf.DUMMYFUNCTION("GOOGLEFINANCE(""ASX:GEN"", ""high52"")"),0.05)</f>
        <v>0.05</v>
      </c>
      <c r="H923" s="9">
        <f>IFERROR(__xludf.DUMMYFUNCTION("GOOGLEFINANCE(""ASX:GEN"", ""low52"")"),0.01)</f>
        <v>0.01</v>
      </c>
      <c r="I923" s="9">
        <f>IFERROR(__xludf.DUMMYFUNCTION("GOOGLEFINANCE(""ASX:GEN"", ""marketcap"")"),2.8004011E7)</f>
        <v>28004011</v>
      </c>
      <c r="J923" s="5"/>
      <c r="K923" s="5"/>
      <c r="L923" s="5"/>
      <c r="M923" s="5"/>
      <c r="N923" s="11" t="s">
        <v>19</v>
      </c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6" t="s">
        <v>1864</v>
      </c>
      <c r="B924" s="6" t="s">
        <v>1865</v>
      </c>
      <c r="C924" s="5" t="s">
        <v>212</v>
      </c>
      <c r="D924" s="7">
        <f>IFERROR(__xludf.DUMMYFUNCTION("GOOGLEFINANCE(""ASX:GEN"", ""price"")"),0.01)</f>
        <v>0.01</v>
      </c>
      <c r="E924" s="8">
        <f>IFERROR(__xludf.DUMMYFUNCTION("GOOGLEFINANCE(""ASX:GEN"", ""closeyest"")"),0.01)</f>
        <v>0.01</v>
      </c>
      <c r="F924" s="5" t="str">
        <f>IFERROR(__xludf.DUMMYFUNCTION("GOOGLEFINANCE(""ASX:GEN"", ""pe"")"),"#N/A")</f>
        <v>#N/A</v>
      </c>
      <c r="G924" s="9">
        <f>IFERROR(__xludf.DUMMYFUNCTION("GOOGLEFINANCE(""ASX:GEN"", ""high52"")"),0.05)</f>
        <v>0.05</v>
      </c>
      <c r="H924" s="9">
        <f>IFERROR(__xludf.DUMMYFUNCTION("GOOGLEFINANCE(""ASX:GEN"", ""low52"")"),0.01)</f>
        <v>0.01</v>
      </c>
      <c r="I924" s="9">
        <f>IFERROR(__xludf.DUMMYFUNCTION("GOOGLEFINANCE(""ASX:GEN"", ""marketcap"")"),2.8004011E7)</f>
        <v>28004011</v>
      </c>
      <c r="J924" s="5"/>
      <c r="K924" s="5"/>
      <c r="L924" s="5"/>
      <c r="M924" s="5"/>
      <c r="N924" s="11" t="s">
        <v>19</v>
      </c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6" t="s">
        <v>1866</v>
      </c>
      <c r="B925" s="6" t="s">
        <v>1867</v>
      </c>
      <c r="C925" s="5" t="s">
        <v>18</v>
      </c>
      <c r="D925" s="7">
        <f>IFERROR(__xludf.DUMMYFUNCTION("GOOGLEFINANCE(""ASX:GES"", ""price"")"),0.01)</f>
        <v>0.01</v>
      </c>
      <c r="E925" s="8">
        <f>IFERROR(__xludf.DUMMYFUNCTION("GOOGLEFINANCE(""ASX:GES"", ""closeyest"")"),0.01)</f>
        <v>0.01</v>
      </c>
      <c r="F925" s="5" t="str">
        <f>IFERROR(__xludf.DUMMYFUNCTION("GOOGLEFINANCE(""ASX:GES"", ""pe"")"),"#N/A")</f>
        <v>#N/A</v>
      </c>
      <c r="G925" s="9">
        <f>IFERROR(__xludf.DUMMYFUNCTION("GOOGLEFINANCE(""ASX:GES"", ""high52"")"),0.02)</f>
        <v>0.02</v>
      </c>
      <c r="H925" s="9">
        <f>IFERROR(__xludf.DUMMYFUNCTION("GOOGLEFINANCE(""ASX:GES"", ""low52"")"),0.0)</f>
        <v>0</v>
      </c>
      <c r="I925" s="9">
        <f>IFERROR(__xludf.DUMMYFUNCTION("GOOGLEFINANCE(""ASX:GES"", ""marketcap"")"),5479890.0)</f>
        <v>5479890</v>
      </c>
      <c r="J925" s="5"/>
      <c r="K925" s="5"/>
      <c r="L925" s="5"/>
      <c r="M925" s="5"/>
      <c r="N925" s="11" t="s">
        <v>19</v>
      </c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6" t="s">
        <v>1868</v>
      </c>
      <c r="B926" s="6" t="s">
        <v>1869</v>
      </c>
      <c r="C926" s="5" t="s">
        <v>171</v>
      </c>
      <c r="D926" s="7">
        <f>IFERROR(__xludf.DUMMYFUNCTION("GOOGLEFINANCE(""ASX:GFL"", ""price"")"),3.54)</f>
        <v>3.54</v>
      </c>
      <c r="E926" s="8">
        <f>IFERROR(__xludf.DUMMYFUNCTION("GOOGLEFINANCE(""ASX:GFL"", ""closeyest"")"),3.54)</f>
        <v>3.54</v>
      </c>
      <c r="F926" s="9">
        <f>IFERROR(__xludf.DUMMYFUNCTION("GOOGLEFINANCE(""ASX:GFL"", ""pe"")"),65.25)</f>
        <v>65.25</v>
      </c>
      <c r="G926" s="9">
        <f>IFERROR(__xludf.DUMMYFUNCTION("GOOGLEFINANCE(""ASX:GFL"", ""high52"")"),4.0)</f>
        <v>4</v>
      </c>
      <c r="H926" s="9">
        <f>IFERROR(__xludf.DUMMYFUNCTION("GOOGLEFINANCE(""ASX:GFL"", ""low52"")"),3.52)</f>
        <v>3.52</v>
      </c>
      <c r="I926" s="9">
        <f>IFERROR(__xludf.DUMMYFUNCTION("GOOGLEFINANCE(""ASX:GFL"", ""marketcap"")"),3.9901251E7)</f>
        <v>39901251</v>
      </c>
      <c r="J926" s="5"/>
      <c r="K926" s="5"/>
      <c r="L926" s="5"/>
      <c r="M926" s="5"/>
      <c r="N926" s="10">
        <v>64.88</v>
      </c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6" t="s">
        <v>1870</v>
      </c>
      <c r="B927" s="6" t="s">
        <v>1871</v>
      </c>
      <c r="C927" s="5" t="s">
        <v>1872</v>
      </c>
      <c r="D927" s="7">
        <f>IFERROR(__xludf.DUMMYFUNCTION("GOOGLEFINANCE(""ASX:GG1"", ""price"")"),0.2)</f>
        <v>0.2</v>
      </c>
      <c r="E927" s="8">
        <f>IFERROR(__xludf.DUMMYFUNCTION("GOOGLEFINANCE(""ASX:GG1"", ""closeyest"")"),0.2)</f>
        <v>0.2</v>
      </c>
      <c r="F927" s="5" t="str">
        <f>IFERROR(__xludf.DUMMYFUNCTION("GOOGLEFINANCE(""ASX:GG1"", ""pe"")"),"#N/A")</f>
        <v>#N/A</v>
      </c>
      <c r="G927" s="9">
        <f>IFERROR(__xludf.DUMMYFUNCTION("GOOGLEFINANCE(""ASX:GG1"", ""high52"")"),0.39)</f>
        <v>0.39</v>
      </c>
      <c r="H927" s="9">
        <f>IFERROR(__xludf.DUMMYFUNCTION("GOOGLEFINANCE(""ASX:GG1"", ""low52"")"),0.16)</f>
        <v>0.16</v>
      </c>
      <c r="I927" s="9" t="str">
        <f>IFERROR(__xludf.DUMMYFUNCTION("GOOGLEFINANCE(""ASX:GG1"", ""marketcap"")"),"#N/A")</f>
        <v>#N/A</v>
      </c>
      <c r="J927" s="5"/>
      <c r="K927" s="5"/>
      <c r="L927" s="5"/>
      <c r="M927" s="5"/>
      <c r="N927" s="11" t="s">
        <v>19</v>
      </c>
      <c r="O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6" t="s">
        <v>1873</v>
      </c>
      <c r="B928" s="6" t="s">
        <v>1874</v>
      </c>
      <c r="C928" s="5" t="s">
        <v>88</v>
      </c>
      <c r="D928" s="7">
        <f>IFERROR(__xludf.DUMMYFUNCTION("GOOGLEFINANCE(""ASX:GG8"", ""price"")"),0.55)</f>
        <v>0.55</v>
      </c>
      <c r="E928" s="8">
        <f>IFERROR(__xludf.DUMMYFUNCTION("GOOGLEFINANCE(""ASX:GG8"", ""closeyest"")"),0.55)</f>
        <v>0.55</v>
      </c>
      <c r="F928" s="5" t="str">
        <f>IFERROR(__xludf.DUMMYFUNCTION("GOOGLEFINANCE(""ASX:GG8"", ""pe"")"),"#N/A")</f>
        <v>#N/A</v>
      </c>
      <c r="G928" s="9">
        <f>IFERROR(__xludf.DUMMYFUNCTION("GOOGLEFINANCE(""ASX:GG8"", ""high52"")"),0.6)</f>
        <v>0.6</v>
      </c>
      <c r="H928" s="9">
        <f>IFERROR(__xludf.DUMMYFUNCTION("GOOGLEFINANCE(""ASX:GG8"", ""low52"")"),0.2)</f>
        <v>0.2</v>
      </c>
      <c r="I928" s="9">
        <f>IFERROR(__xludf.DUMMYFUNCTION("GOOGLEFINANCE(""ASX:GG8"", ""marketcap"")"),4.01579208E8)</f>
        <v>401579208</v>
      </c>
      <c r="J928" s="5"/>
      <c r="K928" s="5"/>
      <c r="L928" s="5"/>
      <c r="M928" s="5"/>
      <c r="N928" s="11" t="s">
        <v>19</v>
      </c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6" t="s">
        <v>1875</v>
      </c>
      <c r="B929" s="6" t="s">
        <v>1876</v>
      </c>
      <c r="C929" s="5" t="s">
        <v>36</v>
      </c>
      <c r="D929" s="7" t="str">
        <f>IFERROR(__xludf.DUMMYFUNCTION("GOOGLEFINANCE(""ASX:GGAB"", ""price"")"),"#N/A")</f>
        <v>#N/A</v>
      </c>
      <c r="E929" s="8" t="str">
        <f>IFERROR(__xludf.DUMMYFUNCTION("GOOGLEFINANCE(""ASX:GGAB"", ""closeyest"")"),"#N/A")</f>
        <v>#N/A</v>
      </c>
      <c r="F929" s="5" t="str">
        <f>IFERROR(__xludf.DUMMYFUNCTION("GOOGLEFINANCE(""ASX:GGAB"", ""pe"")"),"#N/A")</f>
        <v>#N/A</v>
      </c>
      <c r="G929" s="5" t="str">
        <f>IFERROR(__xludf.DUMMYFUNCTION("GOOGLEFINANCE(""ASX:GGAB"", ""high52"")"),"#N/A")</f>
        <v>#N/A</v>
      </c>
      <c r="H929" s="5" t="str">
        <f>IFERROR(__xludf.DUMMYFUNCTION("GOOGLEFINANCE(""ASX:GGAB"", ""low52"")"),"#N/A")</f>
        <v>#N/A</v>
      </c>
      <c r="I929" s="9" t="str">
        <f>IFERROR(__xludf.DUMMYFUNCTION("GOOGLEFINANCE(""ASX:GGAB"", ""marketcap"")"),"#N/A")</f>
        <v>#N/A</v>
      </c>
      <c r="J929" s="12">
        <v>19.44</v>
      </c>
      <c r="K929" s="12">
        <v>19.33</v>
      </c>
      <c r="L929" s="12">
        <v>22.61</v>
      </c>
      <c r="M929" s="12">
        <v>19.21</v>
      </c>
      <c r="N929" s="11" t="s">
        <v>19</v>
      </c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6" t="s">
        <v>1877</v>
      </c>
      <c r="B930" s="6" t="s">
        <v>1878</v>
      </c>
      <c r="C930" s="5" t="s">
        <v>36</v>
      </c>
      <c r="D930" s="7">
        <f>IFERROR(__xludf.DUMMYFUNCTION("GOOGLEFINANCE(""ASX:GGBL"", ""price"")"),25.92)</f>
        <v>25.92</v>
      </c>
      <c r="E930" s="8">
        <f>IFERROR(__xludf.DUMMYFUNCTION("GOOGLEFINANCE(""ASX:GGBL"", ""closeyest"")"),26.06)</f>
        <v>26.06</v>
      </c>
      <c r="F930" s="5" t="str">
        <f>IFERROR(__xludf.DUMMYFUNCTION("GOOGLEFINANCE(""ASX:GGBL"", ""pe"")"),"#N/A")</f>
        <v>#N/A</v>
      </c>
      <c r="G930" s="9">
        <f>IFERROR(__xludf.DUMMYFUNCTION("GOOGLEFINANCE(""ASX:GGBL"", ""high52"")"),26.75)</f>
        <v>26.75</v>
      </c>
      <c r="H930" s="9">
        <f>IFERROR(__xludf.DUMMYFUNCTION("GOOGLEFINANCE(""ASX:GGBL"", ""low52"")"),25.01)</f>
        <v>25.01</v>
      </c>
      <c r="I930" s="9" t="str">
        <f>IFERROR(__xludf.DUMMYFUNCTION("GOOGLEFINANCE(""ASX:GGBL"", ""marketcap"")"),"#N/A")</f>
        <v>#N/A</v>
      </c>
      <c r="J930" s="5"/>
      <c r="K930" s="5"/>
      <c r="L930" s="5"/>
      <c r="M930" s="5"/>
      <c r="N930" s="11" t="s">
        <v>19</v>
      </c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6" t="s">
        <v>1879</v>
      </c>
      <c r="B931" s="6" t="s">
        <v>1880</v>
      </c>
      <c r="C931" s="5" t="s">
        <v>78</v>
      </c>
      <c r="D931" s="7">
        <f>IFERROR(__xludf.DUMMYFUNCTION("GOOGLEFINANCE(""ASX:GGE"", ""price"")"),0.0)</f>
        <v>0</v>
      </c>
      <c r="E931" s="8">
        <f>IFERROR(__xludf.DUMMYFUNCTION("GOOGLEFINANCE(""ASX:GGE"", ""closeyest"")"),0.0)</f>
        <v>0</v>
      </c>
      <c r="F931" s="5" t="str">
        <f>IFERROR(__xludf.DUMMYFUNCTION("GOOGLEFINANCE(""ASX:GGE"", ""pe"")"),"#N/A")</f>
        <v>#N/A</v>
      </c>
      <c r="G931" s="9">
        <f>IFERROR(__xludf.DUMMYFUNCTION("GOOGLEFINANCE(""ASX:GGE"", ""high52"")"),0.0)</f>
        <v>0</v>
      </c>
      <c r="H931" s="9">
        <f>IFERROR(__xludf.DUMMYFUNCTION("GOOGLEFINANCE(""ASX:GGE"", ""low52"")"),0.0)</f>
        <v>0</v>
      </c>
      <c r="I931" s="9">
        <f>IFERROR(__xludf.DUMMYFUNCTION("GOOGLEFINANCE(""ASX:GGE"", ""marketcap"")"),2450388.0)</f>
        <v>2450388</v>
      </c>
      <c r="J931" s="12">
        <v>0.002</v>
      </c>
      <c r="K931" s="12">
        <v>0.002</v>
      </c>
      <c r="L931" s="12">
        <v>0.004</v>
      </c>
      <c r="M931" s="12">
        <v>0.001</v>
      </c>
      <c r="N931" s="11" t="s">
        <v>19</v>
      </c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6" t="s">
        <v>1881</v>
      </c>
      <c r="B932" s="6" t="s">
        <v>1882</v>
      </c>
      <c r="C932" s="5" t="s">
        <v>36</v>
      </c>
      <c r="D932" s="7" t="str">
        <f>IFERROR(__xludf.DUMMYFUNCTION("GOOGLEFINANCE(""ASX:GGFD"", ""price"")"),"#N/A")</f>
        <v>#N/A</v>
      </c>
      <c r="E932" s="8" t="str">
        <f>IFERROR(__xludf.DUMMYFUNCTION("GOOGLEFINANCE(""ASX:GGFD"", ""closeyest"")"),"#N/A")</f>
        <v>#N/A</v>
      </c>
      <c r="F932" s="5" t="str">
        <f>IFERROR(__xludf.DUMMYFUNCTION("GOOGLEFINANCE(""ASX:GGFD"", ""pe"")"),"#N/A")</f>
        <v>#N/A</v>
      </c>
      <c r="G932" s="5" t="str">
        <f>IFERROR(__xludf.DUMMYFUNCTION("GOOGLEFINANCE(""ASX:GGFD"", ""high52"")"),"#N/A")</f>
        <v>#N/A</v>
      </c>
      <c r="H932" s="5" t="str">
        <f>IFERROR(__xludf.DUMMYFUNCTION("GOOGLEFINANCE(""ASX:GGFD"", ""low52"")"),"#N/A")</f>
        <v>#N/A</v>
      </c>
      <c r="I932" s="9" t="str">
        <f>IFERROR(__xludf.DUMMYFUNCTION("GOOGLEFINANCE(""ASX:GGFD"", ""marketcap"")"),"#N/A")</f>
        <v>#N/A</v>
      </c>
      <c r="J932" s="12">
        <v>20.46</v>
      </c>
      <c r="K932" s="12">
        <v>20.46</v>
      </c>
      <c r="L932" s="12">
        <v>21.25</v>
      </c>
      <c r="M932" s="12">
        <v>17.46</v>
      </c>
      <c r="N932" s="11" t="s">
        <v>19</v>
      </c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6" t="s">
        <v>1883</v>
      </c>
      <c r="B933" s="6" t="s">
        <v>1884</v>
      </c>
      <c r="C933" s="5" t="s">
        <v>18</v>
      </c>
      <c r="D933" s="7">
        <f>IFERROR(__xludf.DUMMYFUNCTION("GOOGLEFINANCE(""ASX:GGP"", ""price"")"),11.38)</f>
        <v>11.38</v>
      </c>
      <c r="E933" s="8">
        <f>IFERROR(__xludf.DUMMYFUNCTION("GOOGLEFINANCE(""ASX:GGP"", ""closeyest"")"),10.78)</f>
        <v>10.78</v>
      </c>
      <c r="F933" s="9">
        <f>IFERROR(__xludf.DUMMYFUNCTION("GOOGLEFINANCE(""ASX:GGP"", ""pe"")"),18.02)</f>
        <v>18.02</v>
      </c>
      <c r="G933" s="9">
        <f>IFERROR(__xludf.DUMMYFUNCTION("GOOGLEFINANCE(""ASX:GGP"", ""high52"")"),11.62)</f>
        <v>11.62</v>
      </c>
      <c r="H933" s="9">
        <f>IFERROR(__xludf.DUMMYFUNCTION("GOOGLEFINANCE(""ASX:GGP"", ""low52"")"),4.91)</f>
        <v>4.91</v>
      </c>
      <c r="I933" s="9">
        <f>IFERROR(__xludf.DUMMYFUNCTION("GOOGLEFINANCE(""ASX:GGP"", ""marketcap"")"),7.4869813787E10)</f>
        <v>74869813787</v>
      </c>
      <c r="J933" s="5"/>
      <c r="K933" s="5"/>
      <c r="L933" s="5"/>
      <c r="M933" s="5"/>
      <c r="N933" s="10">
        <v>16.72</v>
      </c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6" t="s">
        <v>1885</v>
      </c>
      <c r="B934" s="6" t="s">
        <v>1886</v>
      </c>
      <c r="C934" s="5" t="s">
        <v>18</v>
      </c>
      <c r="D934" s="7">
        <f>IFERROR(__xludf.DUMMYFUNCTION("GOOGLEFINANCE(""ASX:GGR"", ""price"")"),0.19)</f>
        <v>0.19</v>
      </c>
      <c r="E934" s="8">
        <f>IFERROR(__xludf.DUMMYFUNCTION("GOOGLEFINANCE(""ASX:GGR"", ""closeyest"")"),0.19)</f>
        <v>0.19</v>
      </c>
      <c r="F934" s="5" t="str">
        <f>IFERROR(__xludf.DUMMYFUNCTION("GOOGLEFINANCE(""ASX:GGR"", ""pe"")"),"#N/A")</f>
        <v>#N/A</v>
      </c>
      <c r="G934" s="9">
        <f>IFERROR(__xludf.DUMMYFUNCTION("GOOGLEFINANCE(""ASX:GGR"", ""high52"")"),0.2)</f>
        <v>0.2</v>
      </c>
      <c r="H934" s="9">
        <f>IFERROR(__xludf.DUMMYFUNCTION("GOOGLEFINANCE(""ASX:GGR"", ""low52"")"),0.13)</f>
        <v>0.13</v>
      </c>
      <c r="I934" s="9">
        <f>IFERROR(__xludf.DUMMYFUNCTION("GOOGLEFINANCE(""ASX:GGR"", ""marketcap"")"),2.0708251E7)</f>
        <v>20708251</v>
      </c>
      <c r="J934" s="5"/>
      <c r="K934" s="5"/>
      <c r="L934" s="5"/>
      <c r="M934" s="5"/>
      <c r="N934" s="11" t="s">
        <v>19</v>
      </c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6" t="s">
        <v>1887</v>
      </c>
      <c r="B935" s="6" t="s">
        <v>1888</v>
      </c>
      <c r="C935" s="5" t="s">
        <v>36</v>
      </c>
      <c r="D935" s="7" t="str">
        <f>IFERROR(__xludf.DUMMYFUNCTION("GOOGLEFINANCE(""ASX:GGUS"", ""price"")"),"#N/A")</f>
        <v>#N/A</v>
      </c>
      <c r="E935" s="8" t="str">
        <f>IFERROR(__xludf.DUMMYFUNCTION("GOOGLEFINANCE(""ASX:GGUS"", ""closeyest"")"),"#N/A")</f>
        <v>#N/A</v>
      </c>
      <c r="F935" s="5" t="str">
        <f>IFERROR(__xludf.DUMMYFUNCTION("GOOGLEFINANCE(""ASX:GGUS"", ""pe"")"),"#N/A")</f>
        <v>#N/A</v>
      </c>
      <c r="G935" s="5" t="str">
        <f>IFERROR(__xludf.DUMMYFUNCTION("GOOGLEFINANCE(""ASX:GGUS"", ""high52"")"),"#N/A")</f>
        <v>#N/A</v>
      </c>
      <c r="H935" s="5" t="str">
        <f>IFERROR(__xludf.DUMMYFUNCTION("GOOGLEFINANCE(""ASX:GGUS"", ""low52"")"),"#N/A")</f>
        <v>#N/A</v>
      </c>
      <c r="I935" s="9" t="str">
        <f>IFERROR(__xludf.DUMMYFUNCTION("GOOGLEFINANCE(""ASX:GGUS"", ""marketcap"")"),"#N/A")</f>
        <v>#N/A</v>
      </c>
      <c r="J935" s="12">
        <v>52.33</v>
      </c>
      <c r="K935" s="12">
        <v>51.85</v>
      </c>
      <c r="L935" s="12">
        <v>52.69</v>
      </c>
      <c r="M935" s="12">
        <v>25.0</v>
      </c>
      <c r="N935" s="11" t="s">
        <v>19</v>
      </c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6" t="s">
        <v>1889</v>
      </c>
      <c r="B936" s="6" t="s">
        <v>1890</v>
      </c>
      <c r="C936" s="5" t="s">
        <v>36</v>
      </c>
      <c r="D936" s="7">
        <f>IFERROR(__xludf.DUMMYFUNCTION("GOOGLEFINANCE(""ASX:GHHF"", ""price"")"),34.1)</f>
        <v>34.1</v>
      </c>
      <c r="E936" s="8">
        <f>IFERROR(__xludf.DUMMYFUNCTION("GOOGLEFINANCE(""ASX:GHHF"", ""closeyest"")"),34.19)</f>
        <v>34.19</v>
      </c>
      <c r="F936" s="5" t="str">
        <f>IFERROR(__xludf.DUMMYFUNCTION("GOOGLEFINANCE(""ASX:GHHF"", ""pe"")"),"#N/A")</f>
        <v>#N/A</v>
      </c>
      <c r="G936" s="9">
        <f>IFERROR(__xludf.DUMMYFUNCTION("GOOGLEFINANCE(""ASX:GHHF"", ""high52"")"),35.32)</f>
        <v>35.32</v>
      </c>
      <c r="H936" s="9">
        <f>IFERROR(__xludf.DUMMYFUNCTION("GOOGLEFINANCE(""ASX:GHHF"", ""low52"")"),24.31)</f>
        <v>24.31</v>
      </c>
      <c r="I936" s="9" t="str">
        <f>IFERROR(__xludf.DUMMYFUNCTION("GOOGLEFINANCE(""ASX:GHHF"", ""marketcap"")"),"#N/A")</f>
        <v>#N/A</v>
      </c>
      <c r="J936" s="5"/>
      <c r="K936" s="5"/>
      <c r="L936" s="5"/>
      <c r="M936" s="5"/>
      <c r="N936" s="11" t="s">
        <v>19</v>
      </c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6" t="s">
        <v>1891</v>
      </c>
      <c r="B937" s="6" t="s">
        <v>1892</v>
      </c>
      <c r="C937" s="5" t="s">
        <v>36</v>
      </c>
      <c r="D937" s="7" t="str">
        <f>IFERROR(__xludf.DUMMYFUNCTION("GOOGLEFINANCE(""ASX:GHIF"", ""price"")"),"#N/A")</f>
        <v>#N/A</v>
      </c>
      <c r="E937" s="8" t="str">
        <f>IFERROR(__xludf.DUMMYFUNCTION("GOOGLEFINANCE(""ASX:GHIF"", ""closeyest"")"),"#N/A")</f>
        <v>#N/A</v>
      </c>
      <c r="F937" s="5" t="str">
        <f>IFERROR(__xludf.DUMMYFUNCTION("GOOGLEFINANCE(""ASX:GHIF"", ""pe"")"),"#N/A")</f>
        <v>#N/A</v>
      </c>
      <c r="G937" s="5" t="str">
        <f>IFERROR(__xludf.DUMMYFUNCTION("GOOGLEFINANCE(""ASX:GHIF"", ""high52"")"),"#N/A")</f>
        <v>#N/A</v>
      </c>
      <c r="H937" s="5" t="str">
        <f>IFERROR(__xludf.DUMMYFUNCTION("GOOGLEFINANCE(""ASX:GHIF"", ""low52"")"),"#N/A")</f>
        <v>#N/A</v>
      </c>
      <c r="I937" s="9" t="str">
        <f>IFERROR(__xludf.DUMMYFUNCTION("GOOGLEFINANCE(""ASX:GHIF"", ""marketcap"")"),"#N/A")</f>
        <v>#N/A</v>
      </c>
      <c r="J937" s="12">
        <v>12.15</v>
      </c>
      <c r="K937" s="12">
        <v>12.15</v>
      </c>
      <c r="L937" s="12">
        <v>12.54</v>
      </c>
      <c r="M937" s="12">
        <v>12.09</v>
      </c>
      <c r="N937" s="11" t="s">
        <v>19</v>
      </c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6" t="s">
        <v>1893</v>
      </c>
      <c r="B938" s="6" t="s">
        <v>1894</v>
      </c>
      <c r="C938" s="5" t="s">
        <v>36</v>
      </c>
      <c r="D938" s="7">
        <f>IFERROR(__xludf.DUMMYFUNCTION("GOOGLEFINANCE(""ASX:GHLD"", ""price"")"),70.09)</f>
        <v>70.09</v>
      </c>
      <c r="E938" s="8">
        <f>IFERROR(__xludf.DUMMYFUNCTION("GOOGLEFINANCE(""ASX:GHLD"", ""closeyest"")"),69.89)</f>
        <v>69.89</v>
      </c>
      <c r="F938" s="5" t="str">
        <f>IFERROR(__xludf.DUMMYFUNCTION("GOOGLEFINANCE(""ASX:GHLD"", ""pe"")"),"#N/A")</f>
        <v>#N/A</v>
      </c>
      <c r="G938" s="9">
        <f>IFERROR(__xludf.DUMMYFUNCTION("GOOGLEFINANCE(""ASX:GHLD"", ""high52"")"),72.24)</f>
        <v>72.24</v>
      </c>
      <c r="H938" s="9">
        <f>IFERROR(__xludf.DUMMYFUNCTION("GOOGLEFINANCE(""ASX:GHLD"", ""low52"")"),47.16)</f>
        <v>47.16</v>
      </c>
      <c r="I938" s="9" t="str">
        <f>IFERROR(__xludf.DUMMYFUNCTION("GOOGLEFINANCE(""ASX:GHLD"", ""marketcap"")"),"#N/A")</f>
        <v>#N/A</v>
      </c>
      <c r="J938" s="5"/>
      <c r="K938" s="5"/>
      <c r="L938" s="5"/>
      <c r="M938" s="5"/>
      <c r="N938" s="11" t="s">
        <v>19</v>
      </c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6" t="s">
        <v>1895</v>
      </c>
      <c r="B939" s="6" t="s">
        <v>1896</v>
      </c>
      <c r="C939" s="5" t="s">
        <v>88</v>
      </c>
      <c r="D939" s="7">
        <f>IFERROR(__xludf.DUMMYFUNCTION("GOOGLEFINANCE(""ASX:GHM"", ""price"")"),0.77)</f>
        <v>0.77</v>
      </c>
      <c r="E939" s="8">
        <f>IFERROR(__xludf.DUMMYFUNCTION("GOOGLEFINANCE(""ASX:GHM"", ""closeyest"")"),0.75)</f>
        <v>0.75</v>
      </c>
      <c r="F939" s="5" t="str">
        <f>IFERROR(__xludf.DUMMYFUNCTION("GOOGLEFINANCE(""ASX:GHM"", ""pe"")"),"#N/A")</f>
        <v>#N/A</v>
      </c>
      <c r="G939" s="9">
        <f>IFERROR(__xludf.DUMMYFUNCTION("GOOGLEFINANCE(""ASX:GHM"", ""high52"")"),0.92)</f>
        <v>0.92</v>
      </c>
      <c r="H939" s="9">
        <f>IFERROR(__xludf.DUMMYFUNCTION("GOOGLEFINANCE(""ASX:GHM"", ""low52"")"),0.21)</f>
        <v>0.21</v>
      </c>
      <c r="I939" s="9">
        <f>IFERROR(__xludf.DUMMYFUNCTION("GOOGLEFINANCE(""ASX:GHM"", ""marketcap"")"),1.65885274E8)</f>
        <v>165885274</v>
      </c>
      <c r="J939" s="5"/>
      <c r="K939" s="5"/>
      <c r="L939" s="5"/>
      <c r="M939" s="5"/>
      <c r="N939" s="11" t="s">
        <v>19</v>
      </c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6" t="s">
        <v>1897</v>
      </c>
      <c r="B940" s="6" t="s">
        <v>1898</v>
      </c>
      <c r="C940" s="5" t="s">
        <v>1899</v>
      </c>
      <c r="D940" s="7">
        <f>IFERROR(__xludf.DUMMYFUNCTION("GOOGLEFINANCE(""ASX:GHY"", ""price"")"),0.42)</f>
        <v>0.42</v>
      </c>
      <c r="E940" s="8">
        <f>IFERROR(__xludf.DUMMYFUNCTION("GOOGLEFINANCE(""ASX:GHY"", ""closeyest"")"),0.45)</f>
        <v>0.45</v>
      </c>
      <c r="F940" s="5" t="str">
        <f>IFERROR(__xludf.DUMMYFUNCTION("GOOGLEFINANCE(""ASX:GHY"", ""pe"")"),"#N/A")</f>
        <v>#N/A</v>
      </c>
      <c r="G940" s="9">
        <f>IFERROR(__xludf.DUMMYFUNCTION("GOOGLEFINANCE(""ASX:GHY"", ""high52"")"),0.76)</f>
        <v>0.76</v>
      </c>
      <c r="H940" s="9">
        <f>IFERROR(__xludf.DUMMYFUNCTION("GOOGLEFINANCE(""ASX:GHY"", ""low52"")"),0.4)</f>
        <v>0.4</v>
      </c>
      <c r="I940" s="9">
        <f>IFERROR(__xludf.DUMMYFUNCTION("GOOGLEFINANCE(""ASX:GHY"", ""marketcap"")"),7.4984487E7)</f>
        <v>74984487</v>
      </c>
      <c r="J940" s="5"/>
      <c r="K940" s="5"/>
      <c r="L940" s="5"/>
      <c r="M940" s="5"/>
      <c r="N940" s="11" t="s">
        <v>19</v>
      </c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6" t="s">
        <v>1900</v>
      </c>
      <c r="B941" s="6" t="s">
        <v>1901</v>
      </c>
      <c r="C941" s="5" t="s">
        <v>18</v>
      </c>
      <c r="D941" s="7">
        <f>IFERROR(__xludf.DUMMYFUNCTION("GOOGLEFINANCE(""ASX:GIB"", ""price"")"),0.07)</f>
        <v>0.07</v>
      </c>
      <c r="E941" s="8">
        <f>IFERROR(__xludf.DUMMYFUNCTION("GOOGLEFINANCE(""ASX:GIB"", ""closeyest"")"),0.07)</f>
        <v>0.07</v>
      </c>
      <c r="F941" s="5" t="str">
        <f>IFERROR(__xludf.DUMMYFUNCTION("GOOGLEFINANCE(""ASX:GIB"", ""pe"")"),"#N/A")</f>
        <v>#N/A</v>
      </c>
      <c r="G941" s="9">
        <f>IFERROR(__xludf.DUMMYFUNCTION("GOOGLEFINANCE(""ASX:GIB"", ""high52"")"),0.07)</f>
        <v>0.07</v>
      </c>
      <c r="H941" s="9">
        <f>IFERROR(__xludf.DUMMYFUNCTION("GOOGLEFINANCE(""ASX:GIB"", ""low52"")"),0.03)</f>
        <v>0.03</v>
      </c>
      <c r="I941" s="9">
        <f>IFERROR(__xludf.DUMMYFUNCTION("GOOGLEFINANCE(""ASX:GIB"", ""marketcap"")"),1.3943104E7)</f>
        <v>13943104</v>
      </c>
      <c r="J941" s="5"/>
      <c r="K941" s="5"/>
      <c r="L941" s="5"/>
      <c r="M941" s="5"/>
      <c r="N941" s="11" t="s">
        <v>19</v>
      </c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6" t="s">
        <v>1902</v>
      </c>
      <c r="B942" s="6" t="s">
        <v>1903</v>
      </c>
      <c r="C942" s="5" t="s">
        <v>36</v>
      </c>
      <c r="D942" s="7" t="str">
        <f>IFERROR(__xludf.DUMMYFUNCTION("GOOGLEFINANCE(""ASX:GIVE"", ""price"")"),"#N/A")</f>
        <v>#N/A</v>
      </c>
      <c r="E942" s="8" t="str">
        <f>IFERROR(__xludf.DUMMYFUNCTION("GOOGLEFINANCE(""ASX:GIVE"", ""closeyest"")"),"#N/A")</f>
        <v>#N/A</v>
      </c>
      <c r="F942" s="5" t="str">
        <f>IFERROR(__xludf.DUMMYFUNCTION("GOOGLEFINANCE(""ASX:GIVE"", ""pe"")"),"#N/A")</f>
        <v>#N/A</v>
      </c>
      <c r="G942" s="5" t="str">
        <f>IFERROR(__xludf.DUMMYFUNCTION("GOOGLEFINANCE(""ASX:GIVE"", ""high52"")"),"#N/A")</f>
        <v>#N/A</v>
      </c>
      <c r="H942" s="5" t="str">
        <f>IFERROR(__xludf.DUMMYFUNCTION("GOOGLEFINANCE(""ASX:GIVE"", ""low52"")"),"#N/A")</f>
        <v>#N/A</v>
      </c>
      <c r="I942" s="9" t="str">
        <f>IFERROR(__xludf.DUMMYFUNCTION("GOOGLEFINANCE(""ASX:GIVE"", ""marketcap"")"),"#N/A")</f>
        <v>#N/A</v>
      </c>
      <c r="J942" s="10">
        <v>3.0</v>
      </c>
      <c r="K942" s="10">
        <v>2.98</v>
      </c>
      <c r="L942" s="10">
        <v>3.5</v>
      </c>
      <c r="M942" s="10">
        <v>2.94</v>
      </c>
      <c r="N942" s="11" t="s">
        <v>19</v>
      </c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6" t="s">
        <v>1904</v>
      </c>
      <c r="B943" s="6" t="s">
        <v>1905</v>
      </c>
      <c r="C943" s="5" t="s">
        <v>39</v>
      </c>
      <c r="D943" s="7">
        <f>IFERROR(__xludf.DUMMYFUNCTION("GOOGLEFINANCE(""ASX:GL1"", ""price"")"),0.64)</f>
        <v>0.64</v>
      </c>
      <c r="E943" s="8">
        <f>IFERROR(__xludf.DUMMYFUNCTION("GOOGLEFINANCE(""ASX:GL1"", ""closeyest"")"),0.65)</f>
        <v>0.65</v>
      </c>
      <c r="F943" s="5" t="str">
        <f>IFERROR(__xludf.DUMMYFUNCTION("GOOGLEFINANCE(""ASX:GL1"", ""pe"")"),"#N/A")</f>
        <v>#N/A</v>
      </c>
      <c r="G943" s="9">
        <f>IFERROR(__xludf.DUMMYFUNCTION("GOOGLEFINANCE(""ASX:GL1"", ""high52"")"),0.7)</f>
        <v>0.7</v>
      </c>
      <c r="H943" s="9">
        <f>IFERROR(__xludf.DUMMYFUNCTION("GOOGLEFINANCE(""ASX:GL1"", ""low52"")"),0.14)</f>
        <v>0.14</v>
      </c>
      <c r="I943" s="9">
        <f>IFERROR(__xludf.DUMMYFUNCTION("GOOGLEFINANCE(""ASX:GL1"", ""marketcap"")"),1.66179132E8)</f>
        <v>166179132</v>
      </c>
      <c r="J943" s="5"/>
      <c r="K943" s="5"/>
      <c r="L943" s="5"/>
      <c r="M943" s="5"/>
      <c r="N943" s="11" t="s">
        <v>19</v>
      </c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6" t="s">
        <v>1906</v>
      </c>
      <c r="B944" s="6" t="s">
        <v>1907</v>
      </c>
      <c r="C944" s="5" t="s">
        <v>550</v>
      </c>
      <c r="D944" s="7">
        <f>IFERROR(__xludf.DUMMYFUNCTION("GOOGLEFINANCE(""ASX:GLB"", ""price"")"),2.55)</f>
        <v>2.55</v>
      </c>
      <c r="E944" s="8">
        <f>IFERROR(__xludf.DUMMYFUNCTION("GOOGLEFINANCE(""ASX:GLB"", ""closeyest"")"),2.53)</f>
        <v>2.53</v>
      </c>
      <c r="F944" s="9">
        <f>IFERROR(__xludf.DUMMYFUNCTION("GOOGLEFINANCE(""ASX:GLB"", ""pe"")"),10.79)</f>
        <v>10.79</v>
      </c>
      <c r="G944" s="9">
        <f>IFERROR(__xludf.DUMMYFUNCTION("GOOGLEFINANCE(""ASX:GLB"", ""high52"")"),3.79)</f>
        <v>3.79</v>
      </c>
      <c r="H944" s="9">
        <f>IFERROR(__xludf.DUMMYFUNCTION("GOOGLEFINANCE(""ASX:GLB"", ""low52"")"),2.45)</f>
        <v>2.45</v>
      </c>
      <c r="I944" s="9">
        <f>IFERROR(__xludf.DUMMYFUNCTION("GOOGLEFINANCE(""ASX:GLB"", ""marketcap"")"),1.05732764E8)</f>
        <v>105732764</v>
      </c>
      <c r="J944" s="5"/>
      <c r="K944" s="5"/>
      <c r="L944" s="5"/>
      <c r="M944" s="5"/>
      <c r="N944" s="10">
        <v>10.71</v>
      </c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6" t="s">
        <v>1908</v>
      </c>
      <c r="B945" s="6" t="s">
        <v>1909</v>
      </c>
      <c r="C945" s="5" t="s">
        <v>36</v>
      </c>
      <c r="D945" s="7">
        <f>IFERROR(__xludf.DUMMYFUNCTION("GOOGLEFINANCE(""ASX:GLDN"", ""price"")"),52.49)</f>
        <v>52.49</v>
      </c>
      <c r="E945" s="8">
        <f>IFERROR(__xludf.DUMMYFUNCTION("GOOGLEFINANCE(""ASX:GLDN"", ""closeyest"")"),52.81)</f>
        <v>52.81</v>
      </c>
      <c r="F945" s="5" t="str">
        <f>IFERROR(__xludf.DUMMYFUNCTION("GOOGLEFINANCE(""ASX:GLDN"", ""pe"")"),"#N/A")</f>
        <v>#N/A</v>
      </c>
      <c r="G945" s="9">
        <f>IFERROR(__xludf.DUMMYFUNCTION("GOOGLEFINANCE(""ASX:GLDN"", ""high52"")"),56.0)</f>
        <v>56</v>
      </c>
      <c r="H945" s="9">
        <f>IFERROR(__xludf.DUMMYFUNCTION("GOOGLEFINANCE(""ASX:GLDN"", ""low52"")"),33.58)</f>
        <v>33.58</v>
      </c>
      <c r="I945" s="9" t="str">
        <f>IFERROR(__xludf.DUMMYFUNCTION("GOOGLEFINANCE(""ASX:GLDN"", ""marketcap"")"),"#N/A")</f>
        <v>#N/A</v>
      </c>
      <c r="J945" s="9">
        <v>3.67</v>
      </c>
      <c r="K945" s="9">
        <v>3.65</v>
      </c>
      <c r="L945" s="9">
        <v>3.84</v>
      </c>
      <c r="M945" s="9">
        <v>3.12</v>
      </c>
      <c r="N945" s="11" t="s">
        <v>19</v>
      </c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6" t="s">
        <v>1910</v>
      </c>
      <c r="B946" s="6" t="s">
        <v>1911</v>
      </c>
      <c r="C946" s="5" t="s">
        <v>550</v>
      </c>
      <c r="D946" s="7">
        <f>IFERROR(__xludf.DUMMYFUNCTION("GOOGLEFINANCE(""ASX:GLE"", ""price"")"),0.12)</f>
        <v>0.12</v>
      </c>
      <c r="E946" s="8">
        <f>IFERROR(__xludf.DUMMYFUNCTION("GOOGLEFINANCE(""ASX:GLE"", ""closeyest"")"),0.12)</f>
        <v>0.12</v>
      </c>
      <c r="F946" s="5" t="str">
        <f>IFERROR(__xludf.DUMMYFUNCTION("GOOGLEFINANCE(""ASX:GLE"", ""pe"")"),"#N/A")</f>
        <v>#N/A</v>
      </c>
      <c r="G946" s="9">
        <f>IFERROR(__xludf.DUMMYFUNCTION("GOOGLEFINANCE(""ASX:GLE"", ""high52"")"),0.2)</f>
        <v>0.2</v>
      </c>
      <c r="H946" s="9">
        <f>IFERROR(__xludf.DUMMYFUNCTION("GOOGLEFINANCE(""ASX:GLE"", ""low52"")"),0.1)</f>
        <v>0.1</v>
      </c>
      <c r="I946" s="9">
        <f>IFERROR(__xludf.DUMMYFUNCTION("GOOGLEFINANCE(""ASX:GLE"", ""marketcap"")"),8521500.0)</f>
        <v>8521500</v>
      </c>
      <c r="J946" s="5"/>
      <c r="K946" s="5"/>
      <c r="L946" s="5"/>
      <c r="M946" s="5"/>
      <c r="N946" s="11" t="s">
        <v>19</v>
      </c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6" t="s">
        <v>1912</v>
      </c>
      <c r="B947" s="6" t="s">
        <v>1913</v>
      </c>
      <c r="C947" s="5" t="s">
        <v>143</v>
      </c>
      <c r="D947" s="7">
        <f>IFERROR(__xludf.DUMMYFUNCTION("GOOGLEFINANCE(""ASX:GLF"", ""price"")"),5.02)</f>
        <v>5.02</v>
      </c>
      <c r="E947" s="8">
        <f>IFERROR(__xludf.DUMMYFUNCTION("GOOGLEFINANCE(""ASX:GLF"", ""closeyest"")"),5.05)</f>
        <v>5.05</v>
      </c>
      <c r="F947" s="9">
        <f>IFERROR(__xludf.DUMMYFUNCTION("GOOGLEFINANCE(""ASX:GLF"", ""pe"")"),36.35)</f>
        <v>36.35</v>
      </c>
      <c r="G947" s="9">
        <f>IFERROR(__xludf.DUMMYFUNCTION("GOOGLEFINANCE(""ASX:GLF"", ""high52"")"),5.44)</f>
        <v>5.44</v>
      </c>
      <c r="H947" s="9">
        <f>IFERROR(__xludf.DUMMYFUNCTION("GOOGLEFINANCE(""ASX:GLF"", ""low52"")"),3.95)</f>
        <v>3.95</v>
      </c>
      <c r="I947" s="9">
        <f>IFERROR(__xludf.DUMMYFUNCTION("GOOGLEFINANCE(""ASX:GLF"", ""marketcap"")"),1.90904776E9)</f>
        <v>1909047760</v>
      </c>
      <c r="J947" s="5"/>
      <c r="K947" s="5"/>
      <c r="L947" s="5"/>
      <c r="M947" s="5"/>
      <c r="N947" s="10">
        <v>36.86</v>
      </c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6" t="s">
        <v>1914</v>
      </c>
      <c r="B948" s="6" t="s">
        <v>1915</v>
      </c>
      <c r="C948" s="5" t="s">
        <v>62</v>
      </c>
      <c r="D948" s="7">
        <f>IFERROR(__xludf.DUMMYFUNCTION("GOOGLEFINANCE(""ASX:GLH"", ""price"")"),0.09)</f>
        <v>0.09</v>
      </c>
      <c r="E948" s="8">
        <f>IFERROR(__xludf.DUMMYFUNCTION("GOOGLEFINANCE(""ASX:GLH"", ""closeyest"")"),0.09)</f>
        <v>0.09</v>
      </c>
      <c r="F948" s="5" t="str">
        <f>IFERROR(__xludf.DUMMYFUNCTION("GOOGLEFINANCE(""ASX:GLH"", ""pe"")"),"#N/A")</f>
        <v>#N/A</v>
      </c>
      <c r="G948" s="9">
        <f>IFERROR(__xludf.DUMMYFUNCTION("GOOGLEFINANCE(""ASX:GLH"", ""high52"")"),0.15)</f>
        <v>0.15</v>
      </c>
      <c r="H948" s="9">
        <f>IFERROR(__xludf.DUMMYFUNCTION("GOOGLEFINANCE(""ASX:GLH"", ""low52"")"),0.05)</f>
        <v>0.05</v>
      </c>
      <c r="I948" s="9">
        <f>IFERROR(__xludf.DUMMYFUNCTION("GOOGLEFINANCE(""ASX:GLH"", ""marketcap"")"),4822408.0)</f>
        <v>4822408</v>
      </c>
      <c r="J948" s="12">
        <v>0.085</v>
      </c>
      <c r="K948" s="12">
        <v>0.087</v>
      </c>
      <c r="L948" s="12">
        <v>0.15</v>
      </c>
      <c r="M948" s="12">
        <v>0.051</v>
      </c>
      <c r="N948" s="11" t="s">
        <v>19</v>
      </c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6" t="s">
        <v>1916</v>
      </c>
      <c r="B949" s="6" t="s">
        <v>1917</v>
      </c>
      <c r="C949" s="5" t="s">
        <v>36</v>
      </c>
      <c r="D949" s="7">
        <f>IFERROR(__xludf.DUMMYFUNCTION("GOOGLEFINANCE(""ASX:GLIN"", ""price"")"),28.76)</f>
        <v>28.76</v>
      </c>
      <c r="E949" s="8">
        <f>IFERROR(__xludf.DUMMYFUNCTION("GOOGLEFINANCE(""ASX:GLIN"", ""closeyest"")"),28.81)</f>
        <v>28.81</v>
      </c>
      <c r="F949" s="5" t="str">
        <f>IFERROR(__xludf.DUMMYFUNCTION("GOOGLEFINANCE(""ASX:GLIN"", ""pe"")"),"#N/A")</f>
        <v>#N/A</v>
      </c>
      <c r="G949" s="9">
        <f>IFERROR(__xludf.DUMMYFUNCTION("GOOGLEFINANCE(""ASX:GLIN"", ""high52"")"),29.9)</f>
        <v>29.9</v>
      </c>
      <c r="H949" s="9">
        <f>IFERROR(__xludf.DUMMYFUNCTION("GOOGLEFINANCE(""ASX:GLIN"", ""low52"")"),24.98)</f>
        <v>24.98</v>
      </c>
      <c r="I949" s="9" t="str">
        <f>IFERROR(__xludf.DUMMYFUNCTION("GOOGLEFINANCE(""ASX:GLIN"", ""marketcap"")"),"#N/A")</f>
        <v>#N/A</v>
      </c>
      <c r="J949" s="5"/>
      <c r="K949" s="5"/>
      <c r="L949" s="5"/>
      <c r="M949" s="5"/>
      <c r="N949" s="11" t="s">
        <v>19</v>
      </c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6" t="s">
        <v>1918</v>
      </c>
      <c r="B950" s="6" t="s">
        <v>1919</v>
      </c>
      <c r="C950" s="5" t="s">
        <v>78</v>
      </c>
      <c r="D950" s="7">
        <f>IFERROR(__xludf.DUMMYFUNCTION("GOOGLEFINANCE(""ASX:GLL"", ""price"")"),0.01)</f>
        <v>0.01</v>
      </c>
      <c r="E950" s="8">
        <f>IFERROR(__xludf.DUMMYFUNCTION("GOOGLEFINANCE(""ASX:GLL"", ""closeyest"")"),0.01)</f>
        <v>0.01</v>
      </c>
      <c r="F950" s="5" t="str">
        <f>IFERROR(__xludf.DUMMYFUNCTION("GOOGLEFINANCE(""ASX:GLL"", ""pe"")"),"#N/A")</f>
        <v>#N/A</v>
      </c>
      <c r="G950" s="9">
        <f>IFERROR(__xludf.DUMMYFUNCTION("GOOGLEFINANCE(""ASX:GLL"", ""high52"")"),0.02)</f>
        <v>0.02</v>
      </c>
      <c r="H950" s="9">
        <f>IFERROR(__xludf.DUMMYFUNCTION("GOOGLEFINANCE(""ASX:GLL"", ""low52"")"),0.01)</f>
        <v>0.01</v>
      </c>
      <c r="I950" s="9">
        <f>IFERROR(__xludf.DUMMYFUNCTION("GOOGLEFINANCE(""ASX:GLL"", ""marketcap"")"),5033616.0)</f>
        <v>5033616</v>
      </c>
      <c r="J950" s="5"/>
      <c r="K950" s="5"/>
      <c r="L950" s="5"/>
      <c r="M950" s="5"/>
      <c r="N950" s="11" t="s">
        <v>19</v>
      </c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6" t="s">
        <v>1920</v>
      </c>
      <c r="B951" s="6" t="s">
        <v>1921</v>
      </c>
      <c r="C951" s="5" t="s">
        <v>39</v>
      </c>
      <c r="D951" s="7">
        <f>IFERROR(__xludf.DUMMYFUNCTION("GOOGLEFINANCE(""ASX:GLN"", ""price"")"),0.36)</f>
        <v>0.36</v>
      </c>
      <c r="E951" s="8">
        <f>IFERROR(__xludf.DUMMYFUNCTION("GOOGLEFINANCE(""ASX:GLN"", ""closeyest"")"),0.35)</f>
        <v>0.35</v>
      </c>
      <c r="F951" s="5" t="str">
        <f>IFERROR(__xludf.DUMMYFUNCTION("GOOGLEFINANCE(""ASX:GLN"", ""pe"")"),"#N/A")</f>
        <v>#N/A</v>
      </c>
      <c r="G951" s="9">
        <f>IFERROR(__xludf.DUMMYFUNCTION("GOOGLEFINANCE(""ASX:GLN"", ""high52"")"),0.37)</f>
        <v>0.37</v>
      </c>
      <c r="H951" s="9">
        <f>IFERROR(__xludf.DUMMYFUNCTION("GOOGLEFINANCE(""ASX:GLN"", ""low52"")"),0.09)</f>
        <v>0.09</v>
      </c>
      <c r="I951" s="9">
        <f>IFERROR(__xludf.DUMMYFUNCTION("GOOGLEFINANCE(""ASX:GLN"", ""marketcap"")"),4.08337216E8)</f>
        <v>408337216</v>
      </c>
      <c r="J951" s="5"/>
      <c r="K951" s="5"/>
      <c r="L951" s="5"/>
      <c r="M951" s="5"/>
      <c r="N951" s="11" t="s">
        <v>19</v>
      </c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6" t="s">
        <v>1922</v>
      </c>
      <c r="B952" s="6" t="s">
        <v>1923</v>
      </c>
      <c r="C952" s="5" t="s">
        <v>36</v>
      </c>
      <c r="D952" s="7" t="str">
        <f>IFERROR(__xludf.DUMMYFUNCTION("GOOGLEFINANCE(""ASX:GLOB"", ""price"")"),"#N/A")</f>
        <v>#N/A</v>
      </c>
      <c r="E952" s="8" t="str">
        <f>IFERROR(__xludf.DUMMYFUNCTION("GOOGLEFINANCE(""ASX:GLOB"", ""closeyest"")"),"#N/A")</f>
        <v>#N/A</v>
      </c>
      <c r="F952" s="5" t="str">
        <f>IFERROR(__xludf.DUMMYFUNCTION("GOOGLEFINANCE(""ASX:GLOB"", ""pe"")"),"#N/A")</f>
        <v>#N/A</v>
      </c>
      <c r="G952" s="5" t="str">
        <f>IFERROR(__xludf.DUMMYFUNCTION("GOOGLEFINANCE(""ASX:GLOB"", ""high52"")"),"#N/A")</f>
        <v>#N/A</v>
      </c>
      <c r="H952" s="5" t="str">
        <f>IFERROR(__xludf.DUMMYFUNCTION("GOOGLEFINANCE(""ASX:GLOB"", ""low52"")"),"#N/A")</f>
        <v>#N/A</v>
      </c>
      <c r="I952" s="9" t="str">
        <f>IFERROR(__xludf.DUMMYFUNCTION("GOOGLEFINANCE(""ASX:GLOB"", ""marketcap"")"),"#N/A")</f>
        <v>#N/A</v>
      </c>
      <c r="J952" s="12">
        <v>4.96</v>
      </c>
      <c r="K952" s="12">
        <v>4.96</v>
      </c>
      <c r="L952" s="12">
        <v>5.3</v>
      </c>
      <c r="M952" s="12">
        <v>4.56</v>
      </c>
      <c r="N952" s="11" t="s">
        <v>19</v>
      </c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6" t="s">
        <v>1924</v>
      </c>
      <c r="B953" s="6" t="s">
        <v>1925</v>
      </c>
      <c r="C953" s="5" t="s">
        <v>36</v>
      </c>
      <c r="D953" s="7">
        <f>IFERROR(__xludf.DUMMYFUNCTION("GOOGLEFINANCE(""ASX:GLPR"", ""price"")"),26.49)</f>
        <v>26.49</v>
      </c>
      <c r="E953" s="8">
        <f>IFERROR(__xludf.DUMMYFUNCTION("GOOGLEFINANCE(""ASX:GLPR"", ""closeyest"")"),26.63)</f>
        <v>26.63</v>
      </c>
      <c r="F953" s="5" t="str">
        <f>IFERROR(__xludf.DUMMYFUNCTION("GOOGLEFINANCE(""ASX:GLPR"", ""pe"")"),"#N/A")</f>
        <v>#N/A</v>
      </c>
      <c r="G953" s="9">
        <f>IFERROR(__xludf.DUMMYFUNCTION("GOOGLEFINANCE(""ASX:GLPR"", ""high52"")"),28.02)</f>
        <v>28.02</v>
      </c>
      <c r="H953" s="9">
        <f>IFERROR(__xludf.DUMMYFUNCTION("GOOGLEFINANCE(""ASX:GLPR"", ""low52"")"),22.59)</f>
        <v>22.59</v>
      </c>
      <c r="I953" s="9" t="str">
        <f>IFERROR(__xludf.DUMMYFUNCTION("GOOGLEFINANCE(""ASX:GLPR"", ""marketcap"")"),"#N/A")</f>
        <v>#N/A</v>
      </c>
      <c r="J953" s="5"/>
      <c r="K953" s="5"/>
      <c r="L953" s="5"/>
      <c r="M953" s="5"/>
      <c r="N953" s="11" t="s">
        <v>19</v>
      </c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6" t="s">
        <v>1926</v>
      </c>
      <c r="B954" s="6" t="s">
        <v>1927</v>
      </c>
      <c r="C954" s="5" t="s">
        <v>171</v>
      </c>
      <c r="D954" s="7">
        <f>IFERROR(__xludf.DUMMYFUNCTION("GOOGLEFINANCE(""ASX:GLS"", ""price"")"),1.73)</f>
        <v>1.73</v>
      </c>
      <c r="E954" s="8">
        <f>IFERROR(__xludf.DUMMYFUNCTION("GOOGLEFINANCE(""ASX:GLS"", ""closeyest"")"),1.71)</f>
        <v>1.71</v>
      </c>
      <c r="F954" s="9">
        <f>IFERROR(__xludf.DUMMYFUNCTION("GOOGLEFINANCE(""ASX:GLS"", ""pe"")"),54.89)</f>
        <v>54.89</v>
      </c>
      <c r="G954" s="9">
        <f>IFERROR(__xludf.DUMMYFUNCTION("GOOGLEFINANCE(""ASX:GLS"", ""high52"")"),1.87)</f>
        <v>1.87</v>
      </c>
      <c r="H954" s="9">
        <f>IFERROR(__xludf.DUMMYFUNCTION("GOOGLEFINANCE(""ASX:GLS"", ""low52"")"),1.65)</f>
        <v>1.65</v>
      </c>
      <c r="I954" s="9">
        <f>IFERROR(__xludf.DUMMYFUNCTION("GOOGLEFINANCE(""ASX:GLS"", ""marketcap"")"),9.43835764E8)</f>
        <v>943835764</v>
      </c>
      <c r="J954" s="12">
        <v>1.705</v>
      </c>
      <c r="K954" s="12">
        <v>1.685</v>
      </c>
      <c r="L954" s="12">
        <v>1.87</v>
      </c>
      <c r="M954" s="12">
        <v>1.65</v>
      </c>
      <c r="N954" s="10">
        <v>52.82</v>
      </c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6" t="s">
        <v>1928</v>
      </c>
      <c r="B955" s="6" t="s">
        <v>1929</v>
      </c>
      <c r="C955" s="5" t="s">
        <v>88</v>
      </c>
      <c r="D955" s="7">
        <f>IFERROR(__xludf.DUMMYFUNCTION("GOOGLEFINANCE(""ASX:GMD"", ""price"")"),7.49)</f>
        <v>7.49</v>
      </c>
      <c r="E955" s="8">
        <f>IFERROR(__xludf.DUMMYFUNCTION("GOOGLEFINANCE(""ASX:GMD"", ""closeyest"")"),7.48)</f>
        <v>7.48</v>
      </c>
      <c r="F955" s="9">
        <f>IFERROR(__xludf.DUMMYFUNCTION("GOOGLEFINANCE(""ASX:GMD"", ""pe"")"),38.25)</f>
        <v>38.25</v>
      </c>
      <c r="G955" s="9">
        <f>IFERROR(__xludf.DUMMYFUNCTION("GOOGLEFINANCE(""ASX:GMD"", ""high52"")"),7.63)</f>
        <v>7.63</v>
      </c>
      <c r="H955" s="9">
        <f>IFERROR(__xludf.DUMMYFUNCTION("GOOGLEFINANCE(""ASX:GMD"", ""low52"")"),2.53)</f>
        <v>2.53</v>
      </c>
      <c r="I955" s="9">
        <f>IFERROR(__xludf.DUMMYFUNCTION("GOOGLEFINANCE(""ASX:GMD"", ""marketcap"")"),8.556036458E9)</f>
        <v>8556036458</v>
      </c>
      <c r="J955" s="5"/>
      <c r="K955" s="5"/>
      <c r="L955" s="5"/>
      <c r="M955" s="5"/>
      <c r="N955" s="10">
        <v>37.28</v>
      </c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6" t="s">
        <v>1930</v>
      </c>
      <c r="B956" s="6" t="s">
        <v>1931</v>
      </c>
      <c r="C956" s="5" t="s">
        <v>418</v>
      </c>
      <c r="D956" s="7">
        <f>IFERROR(__xludf.DUMMYFUNCTION("GOOGLEFINANCE(""ASX:GMG"", ""price"")"),30.32)</f>
        <v>30.32</v>
      </c>
      <c r="E956" s="8">
        <f>IFERROR(__xludf.DUMMYFUNCTION("GOOGLEFINANCE(""ASX:GMG"", ""closeyest"")"),30.42)</f>
        <v>30.42</v>
      </c>
      <c r="F956" s="9">
        <f>IFERROR(__xludf.DUMMYFUNCTION("GOOGLEFINANCE(""ASX:GMG"", ""pe"")"),35.94)</f>
        <v>35.94</v>
      </c>
      <c r="G956" s="9">
        <f>IFERROR(__xludf.DUMMYFUNCTION("GOOGLEFINANCE(""ASX:GMG"", ""high52"")"),39.15)</f>
        <v>39.15</v>
      </c>
      <c r="H956" s="9">
        <f>IFERROR(__xludf.DUMMYFUNCTION("GOOGLEFINANCE(""ASX:GMG"", ""low52"")"),25.01)</f>
        <v>25.01</v>
      </c>
      <c r="I956" s="9">
        <f>IFERROR(__xludf.DUMMYFUNCTION("GOOGLEFINANCE(""ASX:GMG"", ""marketcap"")"),6.1998092815E10)</f>
        <v>61998092815</v>
      </c>
      <c r="J956" s="5"/>
      <c r="K956" s="5"/>
      <c r="L956" s="5"/>
      <c r="M956" s="5"/>
      <c r="N956" s="10">
        <v>36.53</v>
      </c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6" t="s">
        <v>1932</v>
      </c>
      <c r="B957" s="6" t="s">
        <v>1933</v>
      </c>
      <c r="C957" s="5" t="s">
        <v>18</v>
      </c>
      <c r="D957" s="7">
        <f>IFERROR(__xludf.DUMMYFUNCTION("GOOGLEFINANCE(""ASX:GML"", ""price"")"),0.08)</f>
        <v>0.08</v>
      </c>
      <c r="E957" s="8">
        <f>IFERROR(__xludf.DUMMYFUNCTION("GOOGLEFINANCE(""ASX:GML"", ""closeyest"")"),0.07)</f>
        <v>0.07</v>
      </c>
      <c r="F957" s="9">
        <f>IFERROR(__xludf.DUMMYFUNCTION("GOOGLEFINANCE(""ASX:GML"", ""pe"")"),15.38)</f>
        <v>15.38</v>
      </c>
      <c r="G957" s="9">
        <f>IFERROR(__xludf.DUMMYFUNCTION("GOOGLEFINANCE(""ASX:GML"", ""high52"")"),0.12)</f>
        <v>0.12</v>
      </c>
      <c r="H957" s="9">
        <f>IFERROR(__xludf.DUMMYFUNCTION("GOOGLEFINANCE(""ASX:GML"", ""low52"")"),0.02)</f>
        <v>0.02</v>
      </c>
      <c r="I957" s="9">
        <f>IFERROR(__xludf.DUMMYFUNCTION("GOOGLEFINANCE(""ASX:GML"", ""marketcap"")"),1.79055766E8)</f>
        <v>179055766</v>
      </c>
      <c r="J957" s="5"/>
      <c r="K957" s="5"/>
      <c r="L957" s="5"/>
      <c r="M957" s="5"/>
      <c r="N957" s="10">
        <v>14.78</v>
      </c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6" t="s">
        <v>1934</v>
      </c>
      <c r="B958" s="6" t="s">
        <v>1935</v>
      </c>
      <c r="C958" s="5" t="s">
        <v>18</v>
      </c>
      <c r="D958" s="7">
        <f>IFERROR(__xludf.DUMMYFUNCTION("GOOGLEFINANCE(""ASX:GMN"", ""price"")"),0.06)</f>
        <v>0.06</v>
      </c>
      <c r="E958" s="8">
        <f>IFERROR(__xludf.DUMMYFUNCTION("GOOGLEFINANCE(""ASX:GMN"", ""closeyest"")"),0.06)</f>
        <v>0.06</v>
      </c>
      <c r="F958" s="5" t="str">
        <f>IFERROR(__xludf.DUMMYFUNCTION("GOOGLEFINANCE(""ASX:GMN"", ""pe"")"),"#N/A")</f>
        <v>#N/A</v>
      </c>
      <c r="G958" s="9">
        <f>IFERROR(__xludf.DUMMYFUNCTION("GOOGLEFINANCE(""ASX:GMN"", ""high52"")"),0.18)</f>
        <v>0.18</v>
      </c>
      <c r="H958" s="9">
        <f>IFERROR(__xludf.DUMMYFUNCTION("GOOGLEFINANCE(""ASX:GMN"", ""low52"")"),0.04)</f>
        <v>0.04</v>
      </c>
      <c r="I958" s="9">
        <f>IFERROR(__xludf.DUMMYFUNCTION("GOOGLEFINANCE(""ASX:GMN"", ""marketcap"")"),1.1732189E7)</f>
        <v>11732189</v>
      </c>
      <c r="J958" s="5"/>
      <c r="K958" s="5"/>
      <c r="L958" s="5"/>
      <c r="M958" s="5"/>
      <c r="N958" s="11" t="s">
        <v>19</v>
      </c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6" t="s">
        <v>1936</v>
      </c>
      <c r="B959" s="6" t="s">
        <v>1937</v>
      </c>
      <c r="C959" s="5" t="s">
        <v>36</v>
      </c>
      <c r="D959" s="7">
        <f>IFERROR(__xludf.DUMMYFUNCTION("GOOGLEFINANCE(""ASX:GMTL"", ""price"")"),14.3)</f>
        <v>14.3</v>
      </c>
      <c r="E959" s="8">
        <f>IFERROR(__xludf.DUMMYFUNCTION("GOOGLEFINANCE(""ASX:GMTL"", ""closeyest"")"),14.47)</f>
        <v>14.47</v>
      </c>
      <c r="F959" s="5" t="str">
        <f>IFERROR(__xludf.DUMMYFUNCTION("GOOGLEFINANCE(""ASX:GMTL"", ""pe"")"),"#N/A")</f>
        <v>#N/A</v>
      </c>
      <c r="G959" s="9">
        <f>IFERROR(__xludf.DUMMYFUNCTION("GOOGLEFINANCE(""ASX:GMTL"", ""high52"")"),14.98)</f>
        <v>14.98</v>
      </c>
      <c r="H959" s="9">
        <f>IFERROR(__xludf.DUMMYFUNCTION("GOOGLEFINANCE(""ASX:GMTL"", ""low52"")"),6.43)</f>
        <v>6.43</v>
      </c>
      <c r="I959" s="9" t="str">
        <f>IFERROR(__xludf.DUMMYFUNCTION("GOOGLEFINANCE(""ASX:GMTL"", ""marketcap"")"),"#N/A")</f>
        <v>#N/A</v>
      </c>
      <c r="J959" s="5"/>
      <c r="K959" s="5"/>
      <c r="L959" s="5"/>
      <c r="M959" s="5"/>
      <c r="N959" s="11" t="s">
        <v>19</v>
      </c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6" t="s">
        <v>1938</v>
      </c>
      <c r="B960" s="6" t="s">
        <v>1939</v>
      </c>
      <c r="C960" s="5" t="s">
        <v>36</v>
      </c>
      <c r="D960" s="7" t="str">
        <f>IFERROR(__xludf.DUMMYFUNCTION("GOOGLEFINANCE(""ASX:GMVW"", ""price"")"),"#N/A")</f>
        <v>#N/A</v>
      </c>
      <c r="E960" s="8" t="str">
        <f>IFERROR(__xludf.DUMMYFUNCTION("GOOGLEFINANCE(""ASX:GMVW"", ""closeyest"")"),"#N/A")</f>
        <v>#N/A</v>
      </c>
      <c r="F960" s="5" t="str">
        <f>IFERROR(__xludf.DUMMYFUNCTION("GOOGLEFINANCE(""ASX:GMVW"", ""pe"")"),"#N/A")</f>
        <v>#N/A</v>
      </c>
      <c r="G960" s="5" t="str">
        <f>IFERROR(__xludf.DUMMYFUNCTION("GOOGLEFINANCE(""ASX:GMVW"", ""high52"")"),"#N/A")</f>
        <v>#N/A</v>
      </c>
      <c r="H960" s="5" t="str">
        <f>IFERROR(__xludf.DUMMYFUNCTION("GOOGLEFINANCE(""ASX:GMVW"", ""low52"")"),"#N/A")</f>
        <v>#N/A</v>
      </c>
      <c r="I960" s="9" t="str">
        <f>IFERROR(__xludf.DUMMYFUNCTION("GOOGLEFINANCE(""ASX:GMVW"", ""marketcap"")"),"#N/A")</f>
        <v>#N/A</v>
      </c>
      <c r="J960" s="10">
        <v>39.21</v>
      </c>
      <c r="K960" s="10">
        <v>38.7</v>
      </c>
      <c r="L960" s="10">
        <v>45.21</v>
      </c>
      <c r="M960" s="10">
        <v>29.15</v>
      </c>
      <c r="N960" s="11" t="s">
        <v>19</v>
      </c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6" t="s">
        <v>1940</v>
      </c>
      <c r="B961" s="6" t="s">
        <v>1941</v>
      </c>
      <c r="C961" s="5" t="s">
        <v>128</v>
      </c>
      <c r="D961" s="7">
        <f>IFERROR(__xludf.DUMMYFUNCTION("GOOGLEFINANCE(""ASX:GNC"", ""price"")"),7.21)</f>
        <v>7.21</v>
      </c>
      <c r="E961" s="8">
        <f>IFERROR(__xludf.DUMMYFUNCTION("GOOGLEFINANCE(""ASX:GNC"", ""closeyest"")"),7.14)</f>
        <v>7.14</v>
      </c>
      <c r="F961" s="9">
        <f>IFERROR(__xludf.DUMMYFUNCTION("GOOGLEFINANCE(""ASX:GNC"", ""pe"")"),40.0)</f>
        <v>40</v>
      </c>
      <c r="G961" s="9">
        <f>IFERROR(__xludf.DUMMYFUNCTION("GOOGLEFINANCE(""ASX:GNC"", ""high52"")"),9.13)</f>
        <v>9.13</v>
      </c>
      <c r="H961" s="9">
        <f>IFERROR(__xludf.DUMMYFUNCTION("GOOGLEFINANCE(""ASX:GNC"", ""low52"")"),6.34)</f>
        <v>6.34</v>
      </c>
      <c r="I961" s="9">
        <f>IFERROR(__xludf.DUMMYFUNCTION("GOOGLEFINANCE(""ASX:GNC"", ""marketcap"")"),1.602788055E9)</f>
        <v>1602788055</v>
      </c>
      <c r="J961" s="5"/>
      <c r="K961" s="5"/>
      <c r="L961" s="5"/>
      <c r="M961" s="5"/>
      <c r="N961" s="10">
        <v>40.0</v>
      </c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6" t="s">
        <v>1942</v>
      </c>
      <c r="B962" s="6" t="s">
        <v>1943</v>
      </c>
      <c r="C962" s="5" t="s">
        <v>36</v>
      </c>
      <c r="D962" s="7">
        <f>IFERROR(__xludf.DUMMYFUNCTION("GOOGLEFINANCE(""ASX:GNDQ"", ""price"")"),33.95)</f>
        <v>33.95</v>
      </c>
      <c r="E962" s="8">
        <f>IFERROR(__xludf.DUMMYFUNCTION("GOOGLEFINANCE(""ASX:GNDQ"", ""closeyest"")"),33.97)</f>
        <v>33.97</v>
      </c>
      <c r="F962" s="5" t="str">
        <f>IFERROR(__xludf.DUMMYFUNCTION("GOOGLEFINANCE(""ASX:GNDQ"", ""pe"")"),"#N/A")</f>
        <v>#N/A</v>
      </c>
      <c r="G962" s="9">
        <f>IFERROR(__xludf.DUMMYFUNCTION("GOOGLEFINANCE(""ASX:GNDQ"", ""high52"")"),36.8)</f>
        <v>36.8</v>
      </c>
      <c r="H962" s="9">
        <f>IFERROR(__xludf.DUMMYFUNCTION("GOOGLEFINANCE(""ASX:GNDQ"", ""low52"")"),21.3)</f>
        <v>21.3</v>
      </c>
      <c r="I962" s="9" t="str">
        <f>IFERROR(__xludf.DUMMYFUNCTION("GOOGLEFINANCE(""ASX:GNDQ"", ""marketcap"")"),"#N/A")</f>
        <v>#N/A</v>
      </c>
      <c r="J962" s="5"/>
      <c r="K962" s="5"/>
      <c r="L962" s="5"/>
      <c r="M962" s="5"/>
      <c r="N962" s="11" t="s">
        <v>19</v>
      </c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6" t="s">
        <v>1944</v>
      </c>
      <c r="B963" s="6" t="s">
        <v>1945</v>
      </c>
      <c r="C963" s="5" t="s">
        <v>954</v>
      </c>
      <c r="D963" s="7">
        <f>IFERROR(__xludf.DUMMYFUNCTION("GOOGLEFINANCE(""ASX:GNE"", ""price"")"),2.08)</f>
        <v>2.08</v>
      </c>
      <c r="E963" s="8">
        <f>IFERROR(__xludf.DUMMYFUNCTION("GOOGLEFINANCE(""ASX:GNE"", ""closeyest"")"),2.07)</f>
        <v>2.07</v>
      </c>
      <c r="F963" s="5" t="str">
        <f>IFERROR(__xludf.DUMMYFUNCTION("GOOGLEFINANCE(""ASX:GNE"", ""pe"")"),"#N/A")</f>
        <v>#N/A</v>
      </c>
      <c r="G963" s="9">
        <f>IFERROR(__xludf.DUMMYFUNCTION("GOOGLEFINANCE(""ASX:GNE"", ""high52"")"),2.25)</f>
        <v>2.25</v>
      </c>
      <c r="H963" s="9">
        <f>IFERROR(__xludf.DUMMYFUNCTION("GOOGLEFINANCE(""ASX:GNE"", ""low52"")"),1.91)</f>
        <v>1.91</v>
      </c>
      <c r="I963" s="9">
        <f>IFERROR(__xludf.DUMMYFUNCTION("GOOGLEFINANCE(""ASX:GNE"", ""marketcap"")"),2.672607E9)</f>
        <v>2672607000</v>
      </c>
      <c r="J963" s="5"/>
      <c r="K963" s="5"/>
      <c r="L963" s="5"/>
      <c r="M963" s="5"/>
      <c r="N963" s="11" t="s">
        <v>19</v>
      </c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6" t="s">
        <v>1946</v>
      </c>
      <c r="B964" s="6" t="s">
        <v>1947</v>
      </c>
      <c r="C964" s="5" t="s">
        <v>123</v>
      </c>
      <c r="D964" s="7">
        <f>IFERROR(__xludf.DUMMYFUNCTION("GOOGLEFINANCE(""ASX:GNG"", ""price"")"),4.4)</f>
        <v>4.4</v>
      </c>
      <c r="E964" s="8">
        <f>IFERROR(__xludf.DUMMYFUNCTION("GOOGLEFINANCE(""ASX:GNG"", ""closeyest"")"),4.28)</f>
        <v>4.28</v>
      </c>
      <c r="F964" s="9">
        <f>IFERROR(__xludf.DUMMYFUNCTION("GOOGLEFINANCE(""ASX:GNG"", ""pe"")"),22.15)</f>
        <v>22.15</v>
      </c>
      <c r="G964" s="9">
        <f>IFERROR(__xludf.DUMMYFUNCTION("GOOGLEFINANCE(""ASX:GNG"", ""high52"")"),4.62)</f>
        <v>4.62</v>
      </c>
      <c r="H964" s="9">
        <f>IFERROR(__xludf.DUMMYFUNCTION("GOOGLEFINANCE(""ASX:GNG"", ""low52"")"),2.47)</f>
        <v>2.47</v>
      </c>
      <c r="I964" s="9">
        <f>IFERROR(__xludf.DUMMYFUNCTION("GOOGLEFINANCE(""ASX:GNG"", ""marketcap"")"),7.47075576E8)</f>
        <v>747075576</v>
      </c>
      <c r="J964" s="5"/>
      <c r="K964" s="5"/>
      <c r="L964" s="5"/>
      <c r="M964" s="5"/>
      <c r="N964" s="10">
        <v>22.1</v>
      </c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6" t="s">
        <v>1948</v>
      </c>
      <c r="B965" s="6" t="s">
        <v>1949</v>
      </c>
      <c r="C965" s="5" t="s">
        <v>18</v>
      </c>
      <c r="D965" s="7">
        <f>IFERROR(__xludf.DUMMYFUNCTION("GOOGLEFINANCE(""ASX:GNM"", ""price"")"),0.05)</f>
        <v>0.05</v>
      </c>
      <c r="E965" s="8">
        <f>IFERROR(__xludf.DUMMYFUNCTION("GOOGLEFINANCE(""ASX:GNM"", ""closeyest"")"),0.05)</f>
        <v>0.05</v>
      </c>
      <c r="F965" s="5" t="str">
        <f>IFERROR(__xludf.DUMMYFUNCTION("GOOGLEFINANCE(""ASX:GNM"", ""pe"")"),"#N/A")</f>
        <v>#N/A</v>
      </c>
      <c r="G965" s="9">
        <f>IFERROR(__xludf.DUMMYFUNCTION("GOOGLEFINANCE(""ASX:GNM"", ""high52"")"),0.12)</f>
        <v>0.12</v>
      </c>
      <c r="H965" s="9">
        <f>IFERROR(__xludf.DUMMYFUNCTION("GOOGLEFINANCE(""ASX:GNM"", ""low52"")"),0.01)</f>
        <v>0.01</v>
      </c>
      <c r="I965" s="9">
        <f>IFERROR(__xludf.DUMMYFUNCTION("GOOGLEFINANCE(""ASX:GNM"", ""marketcap"")"),2.0507405E7)</f>
        <v>20507405</v>
      </c>
      <c r="J965" s="5"/>
      <c r="K965" s="5"/>
      <c r="L965" s="5"/>
      <c r="M965" s="5"/>
      <c r="N965" s="11" t="s">
        <v>19</v>
      </c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6" t="s">
        <v>1950</v>
      </c>
      <c r="B966" s="6" t="s">
        <v>1951</v>
      </c>
      <c r="C966" s="5" t="s">
        <v>123</v>
      </c>
      <c r="D966" s="7">
        <f>IFERROR(__xludf.DUMMYFUNCTION("GOOGLEFINANCE(""ASX:GNP"", ""price"")"),6.14)</f>
        <v>6.14</v>
      </c>
      <c r="E966" s="8">
        <f>IFERROR(__xludf.DUMMYFUNCTION("GOOGLEFINANCE(""ASX:GNP"", ""closeyest"")"),6.0)</f>
        <v>6</v>
      </c>
      <c r="F966" s="9">
        <f>IFERROR(__xludf.DUMMYFUNCTION("GOOGLEFINANCE(""ASX:GNP"", ""pe"")"),31.7)</f>
        <v>31.7</v>
      </c>
      <c r="G966" s="9">
        <f>IFERROR(__xludf.DUMMYFUNCTION("GOOGLEFINANCE(""ASX:GNP"", ""high52"")"),6.98)</f>
        <v>6.98</v>
      </c>
      <c r="H966" s="9">
        <f>IFERROR(__xludf.DUMMYFUNCTION("GOOGLEFINANCE(""ASX:GNP"", ""low52"")"),2.32)</f>
        <v>2.32</v>
      </c>
      <c r="I966" s="9">
        <f>IFERROR(__xludf.DUMMYFUNCTION("GOOGLEFINANCE(""ASX:GNP"", ""marketcap"")"),1.114567159E9)</f>
        <v>1114567159</v>
      </c>
      <c r="J966" s="5"/>
      <c r="K966" s="5"/>
      <c r="L966" s="5"/>
      <c r="M966" s="5"/>
      <c r="N966" s="10">
        <v>32.0</v>
      </c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6" t="s">
        <v>1952</v>
      </c>
      <c r="B967" s="6" t="s">
        <v>1953</v>
      </c>
      <c r="C967" s="5" t="s">
        <v>36</v>
      </c>
      <c r="D967" s="7">
        <f>IFERROR(__xludf.DUMMYFUNCTION("GOOGLEFINANCE(""ASX:GOAT"", ""price"")"),29.57)</f>
        <v>29.57</v>
      </c>
      <c r="E967" s="8">
        <f>IFERROR(__xludf.DUMMYFUNCTION("GOOGLEFINANCE(""ASX:GOAT"", ""closeyest"")"),29.47)</f>
        <v>29.47</v>
      </c>
      <c r="F967" s="5" t="str">
        <f>IFERROR(__xludf.DUMMYFUNCTION("GOOGLEFINANCE(""ASX:GOAT"", ""pe"")"),"#N/A")</f>
        <v>#N/A</v>
      </c>
      <c r="G967" s="9">
        <f>IFERROR(__xludf.DUMMYFUNCTION("GOOGLEFINANCE(""ASX:GOAT"", ""high52"")"),30.02)</f>
        <v>30.02</v>
      </c>
      <c r="H967" s="9">
        <f>IFERROR(__xludf.DUMMYFUNCTION("GOOGLEFINANCE(""ASX:GOAT"", ""low52"")"),26.04)</f>
        <v>26.04</v>
      </c>
      <c r="I967" s="9" t="str">
        <f>IFERROR(__xludf.DUMMYFUNCTION("GOOGLEFINANCE(""ASX:GOAT"", ""marketcap"")"),"#N/A")</f>
        <v>#N/A</v>
      </c>
      <c r="J967" s="5"/>
      <c r="K967" s="5"/>
      <c r="L967" s="5"/>
      <c r="M967" s="5"/>
      <c r="N967" s="11" t="s">
        <v>19</v>
      </c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6" t="s">
        <v>1954</v>
      </c>
      <c r="B968" s="6" t="s">
        <v>1955</v>
      </c>
      <c r="C968" s="5" t="s">
        <v>36</v>
      </c>
      <c r="D968" s="7" t="str">
        <f>IFERROR(__xludf.DUMMYFUNCTION("GOOGLEFINANCE(""ASX:GOOD"", ""price"")"),"#N/A")</f>
        <v>#N/A</v>
      </c>
      <c r="E968" s="8" t="str">
        <f>IFERROR(__xludf.DUMMYFUNCTION("GOOGLEFINANCE(""ASX:GOOD"", ""closeyest"")"),"#N/A")</f>
        <v>#N/A</v>
      </c>
      <c r="F968" s="5" t="str">
        <f>IFERROR(__xludf.DUMMYFUNCTION("GOOGLEFINANCE(""ASX:GOOD"", ""pe"")"),"#N/A")</f>
        <v>#N/A</v>
      </c>
      <c r="G968" s="5" t="str">
        <f>IFERROR(__xludf.DUMMYFUNCTION("GOOGLEFINANCE(""ASX:GOOD"", ""high52"")"),"#N/A")</f>
        <v>#N/A</v>
      </c>
      <c r="H968" s="5" t="str">
        <f>IFERROR(__xludf.DUMMYFUNCTION("GOOGLEFINANCE(""ASX:GOOD"", ""low52"")"),"#N/A")</f>
        <v>#N/A</v>
      </c>
      <c r="I968" s="9" t="str">
        <f>IFERROR(__xludf.DUMMYFUNCTION("GOOGLEFINANCE(""ASX:GOOD"", ""marketcap"")"),"#N/A")</f>
        <v>#N/A</v>
      </c>
      <c r="J968" s="12">
        <v>50.47</v>
      </c>
      <c r="K968" s="12">
        <v>50.47</v>
      </c>
      <c r="L968" s="12">
        <v>51.53</v>
      </c>
      <c r="M968" s="12">
        <v>50.14</v>
      </c>
      <c r="N968" s="11" t="s">
        <v>19</v>
      </c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6" t="s">
        <v>1956</v>
      </c>
      <c r="B969" s="6" t="s">
        <v>1957</v>
      </c>
      <c r="C969" s="5" t="s">
        <v>36</v>
      </c>
      <c r="D969" s="7">
        <f>IFERROR(__xludf.DUMMYFUNCTION("GOOGLEFINANCE(""ASX:GOVT"", ""price"")"),24.16)</f>
        <v>24.16</v>
      </c>
      <c r="E969" s="8">
        <f>IFERROR(__xludf.DUMMYFUNCTION("GOOGLEFINANCE(""ASX:GOVT"", ""closeyest"")"),24.16)</f>
        <v>24.16</v>
      </c>
      <c r="F969" s="5" t="str">
        <f>IFERROR(__xludf.DUMMYFUNCTION("GOOGLEFINANCE(""ASX:GOVT"", ""pe"")"),"#N/A")</f>
        <v>#N/A</v>
      </c>
      <c r="G969" s="9">
        <f>IFERROR(__xludf.DUMMYFUNCTION("GOOGLEFINANCE(""ASX:GOVT"", ""high52"")"),25.02)</f>
        <v>25.02</v>
      </c>
      <c r="H969" s="9">
        <f>IFERROR(__xludf.DUMMYFUNCTION("GOOGLEFINANCE(""ASX:GOVT"", ""low52"")"),23.69)</f>
        <v>23.69</v>
      </c>
      <c r="I969" s="9" t="str">
        <f>IFERROR(__xludf.DUMMYFUNCTION("GOOGLEFINANCE(""ASX:GOVT"", ""marketcap"")"),"#N/A")</f>
        <v>#N/A</v>
      </c>
      <c r="J969" s="5"/>
      <c r="K969" s="5"/>
      <c r="L969" s="5"/>
      <c r="M969" s="5"/>
      <c r="N969" s="11" t="s">
        <v>19</v>
      </c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6" t="s">
        <v>1958</v>
      </c>
      <c r="B970" s="6" t="s">
        <v>1959</v>
      </c>
      <c r="C970" s="5" t="s">
        <v>143</v>
      </c>
      <c r="D970" s="7">
        <f>IFERROR(__xludf.DUMMYFUNCTION("GOOGLEFINANCE(""ASX:GOW"", ""price"")"),2.31)</f>
        <v>2.31</v>
      </c>
      <c r="E970" s="8">
        <f>IFERROR(__xludf.DUMMYFUNCTION("GOOGLEFINANCE(""ASX:GOW"", ""closeyest"")"),2.29)</f>
        <v>2.29</v>
      </c>
      <c r="F970" s="5" t="str">
        <f>IFERROR(__xludf.DUMMYFUNCTION("GOOGLEFINANCE(""ASX:GOW"", ""pe"")"),"#N/A")</f>
        <v>#N/A</v>
      </c>
      <c r="G970" s="9">
        <f>IFERROR(__xludf.DUMMYFUNCTION("GOOGLEFINANCE(""ASX:GOW"", ""high52"")"),2.45)</f>
        <v>2.45</v>
      </c>
      <c r="H970" s="9">
        <f>IFERROR(__xludf.DUMMYFUNCTION("GOOGLEFINANCE(""ASX:GOW"", ""low52"")"),2.09)</f>
        <v>2.09</v>
      </c>
      <c r="I970" s="9">
        <f>IFERROR(__xludf.DUMMYFUNCTION("GOOGLEFINANCE(""ASX:GOW"", ""marketcap"")"),1.24500819E8)</f>
        <v>124500819</v>
      </c>
      <c r="J970" s="5"/>
      <c r="K970" s="5"/>
      <c r="L970" s="5"/>
      <c r="M970" s="5"/>
      <c r="N970" s="11" t="s">
        <v>19</v>
      </c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6" t="s">
        <v>1960</v>
      </c>
      <c r="B971" s="6" t="s">
        <v>1961</v>
      </c>
      <c r="C971" s="5" t="s">
        <v>418</v>
      </c>
      <c r="D971" s="7">
        <f>IFERROR(__xludf.DUMMYFUNCTION("GOOGLEFINANCE(""ASX:GOZ"", ""price"")"),2.44)</f>
        <v>2.44</v>
      </c>
      <c r="E971" s="8">
        <f>IFERROR(__xludf.DUMMYFUNCTION("GOOGLEFINANCE(""ASX:GOZ"", ""closeyest"")"),2.42)</f>
        <v>2.42</v>
      </c>
      <c r="F971" s="5" t="str">
        <f>IFERROR(__xludf.DUMMYFUNCTION("GOOGLEFINANCE(""ASX:GOZ"", ""pe"")"),"#N/A")</f>
        <v>#N/A</v>
      </c>
      <c r="G971" s="9">
        <f>IFERROR(__xludf.DUMMYFUNCTION("GOOGLEFINANCE(""ASX:GOZ"", ""high52"")"),2.68)</f>
        <v>2.68</v>
      </c>
      <c r="H971" s="9">
        <f>IFERROR(__xludf.DUMMYFUNCTION("GOOGLEFINANCE(""ASX:GOZ"", ""low52"")"),2.12)</f>
        <v>2.12</v>
      </c>
      <c r="I971" s="9">
        <f>IFERROR(__xludf.DUMMYFUNCTION("GOOGLEFINANCE(""ASX:GOZ"", ""marketcap"")"),1.840499119E9)</f>
        <v>1840499119</v>
      </c>
      <c r="J971" s="5"/>
      <c r="K971" s="5"/>
      <c r="L971" s="5"/>
      <c r="M971" s="5"/>
      <c r="N971" s="11" t="s">
        <v>19</v>
      </c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6" t="s">
        <v>1962</v>
      </c>
      <c r="B972" s="6" t="s">
        <v>1963</v>
      </c>
      <c r="C972" s="5" t="s">
        <v>36</v>
      </c>
      <c r="D972" s="7">
        <f>IFERROR(__xludf.DUMMYFUNCTION("GOOGLEFINANCE(""ASX:GPEQ"", ""price"")"),23.91)</f>
        <v>23.91</v>
      </c>
      <c r="E972" s="8">
        <f>IFERROR(__xludf.DUMMYFUNCTION("GOOGLEFINANCE(""ASX:GPEQ"", ""closeyest"")"),23.92)</f>
        <v>23.92</v>
      </c>
      <c r="F972" s="5" t="str">
        <f>IFERROR(__xludf.DUMMYFUNCTION("GOOGLEFINANCE(""ASX:GPEQ"", ""pe"")"),"#N/A")</f>
        <v>#N/A</v>
      </c>
      <c r="G972" s="9">
        <f>IFERROR(__xludf.DUMMYFUNCTION("GOOGLEFINANCE(""ASX:GPEQ"", ""high52"")"),30.0)</f>
        <v>30</v>
      </c>
      <c r="H972" s="9">
        <f>IFERROR(__xludf.DUMMYFUNCTION("GOOGLEFINANCE(""ASX:GPEQ"", ""low52"")"),20.73)</f>
        <v>20.73</v>
      </c>
      <c r="I972" s="9" t="str">
        <f>IFERROR(__xludf.DUMMYFUNCTION("GOOGLEFINANCE(""ASX:GPEQ"", ""marketcap"")"),"#N/A")</f>
        <v>#N/A</v>
      </c>
      <c r="J972" s="5"/>
      <c r="K972" s="5"/>
      <c r="L972" s="5"/>
      <c r="M972" s="5"/>
      <c r="N972" s="11" t="s">
        <v>19</v>
      </c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6" t="s">
        <v>1964</v>
      </c>
      <c r="B973" s="6" t="s">
        <v>1965</v>
      </c>
      <c r="C973" s="5" t="s">
        <v>18</v>
      </c>
      <c r="D973" s="7">
        <f>IFERROR(__xludf.DUMMYFUNCTION("GOOGLEFINANCE(""ASX:GPR"", ""price"")"),0.05)</f>
        <v>0.05</v>
      </c>
      <c r="E973" s="8">
        <f>IFERROR(__xludf.DUMMYFUNCTION("GOOGLEFINANCE(""ASX:GPR"", ""closeyest"")"),0.05)</f>
        <v>0.05</v>
      </c>
      <c r="F973" s="5" t="str">
        <f>IFERROR(__xludf.DUMMYFUNCTION("GOOGLEFINANCE(""ASX:GPR"", ""pe"")"),"#N/A")</f>
        <v>#N/A</v>
      </c>
      <c r="G973" s="9">
        <f>IFERROR(__xludf.DUMMYFUNCTION("GOOGLEFINANCE(""ASX:GPR"", ""high52"")"),0.05)</f>
        <v>0.05</v>
      </c>
      <c r="H973" s="9">
        <f>IFERROR(__xludf.DUMMYFUNCTION("GOOGLEFINANCE(""ASX:GPR"", ""low52"")"),0.02)</f>
        <v>0.02</v>
      </c>
      <c r="I973" s="9">
        <f>IFERROR(__xludf.DUMMYFUNCTION("GOOGLEFINANCE(""ASX:GPR"", ""marketcap"")"),1.69266001E8)</f>
        <v>169266001</v>
      </c>
      <c r="J973" s="5"/>
      <c r="K973" s="5"/>
      <c r="L973" s="5"/>
      <c r="M973" s="5"/>
      <c r="N973" s="11" t="s">
        <v>19</v>
      </c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6" t="s">
        <v>1966</v>
      </c>
      <c r="B974" s="6" t="s">
        <v>1967</v>
      </c>
      <c r="C974" s="5" t="s">
        <v>1968</v>
      </c>
      <c r="D974" s="7">
        <f>IFERROR(__xludf.DUMMYFUNCTION("GOOGLEFINANCE(""ASX:GPT"", ""price"")"),5.51)</f>
        <v>5.51</v>
      </c>
      <c r="E974" s="8">
        <f>IFERROR(__xludf.DUMMYFUNCTION("GOOGLEFINANCE(""ASX:GPT"", ""closeyest"")"),5.36)</f>
        <v>5.36</v>
      </c>
      <c r="F974" s="9">
        <f>IFERROR(__xludf.DUMMYFUNCTION("GOOGLEFINANCE(""ASX:GPT"", ""pe"")"),27.94)</f>
        <v>27.94</v>
      </c>
      <c r="G974" s="9">
        <f>IFERROR(__xludf.DUMMYFUNCTION("GOOGLEFINANCE(""ASX:GPT"", ""high52"")"),5.75)</f>
        <v>5.75</v>
      </c>
      <c r="H974" s="9">
        <f>IFERROR(__xludf.DUMMYFUNCTION("GOOGLEFINANCE(""ASX:GPT"", ""low52"")"),4.21)</f>
        <v>4.21</v>
      </c>
      <c r="I974" s="9">
        <f>IFERROR(__xludf.DUMMYFUNCTION("GOOGLEFINANCE(""ASX:GPT"", ""marketcap"")"),1.0554829708E10)</f>
        <v>10554829708</v>
      </c>
      <c r="J974" s="5"/>
      <c r="K974" s="5"/>
      <c r="L974" s="5"/>
      <c r="M974" s="5"/>
      <c r="N974" s="10">
        <v>27.68</v>
      </c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6" t="s">
        <v>1969</v>
      </c>
      <c r="B975" s="6" t="s">
        <v>1970</v>
      </c>
      <c r="C975" s="5" t="s">
        <v>171</v>
      </c>
      <c r="D975" s="7">
        <f>IFERROR(__xludf.DUMMYFUNCTION("GOOGLEFINANCE(""ASX:GQG"", ""price"")"),1.8)</f>
        <v>1.8</v>
      </c>
      <c r="E975" s="8">
        <f>IFERROR(__xludf.DUMMYFUNCTION("GOOGLEFINANCE(""ASX:GQG"", ""closeyest"")"),1.77)</f>
        <v>1.77</v>
      </c>
      <c r="F975" s="9">
        <f>IFERROR(__xludf.DUMMYFUNCTION("GOOGLEFINANCE(""ASX:GQG"", ""pe"")"),7.78)</f>
        <v>7.78</v>
      </c>
      <c r="G975" s="9">
        <f>IFERROR(__xludf.DUMMYFUNCTION("GOOGLEFINANCE(""ASX:GQG"", ""high52"")"),2.61)</f>
        <v>2.61</v>
      </c>
      <c r="H975" s="9">
        <f>IFERROR(__xludf.DUMMYFUNCTION("GOOGLEFINANCE(""ASX:GQG"", ""low52"")"),1.43)</f>
        <v>1.43</v>
      </c>
      <c r="I975" s="9">
        <f>IFERROR(__xludf.DUMMYFUNCTION("GOOGLEFINANCE(""ASX:GQG"", ""marketcap"")"),5.319521859E9)</f>
        <v>5319521859</v>
      </c>
      <c r="J975" s="5"/>
      <c r="K975" s="5"/>
      <c r="L975" s="5"/>
      <c r="M975" s="5"/>
      <c r="N975" s="10">
        <v>7.61</v>
      </c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6" t="s">
        <v>1971</v>
      </c>
      <c r="B976" s="6" t="s">
        <v>1972</v>
      </c>
      <c r="C976" s="5" t="s">
        <v>18</v>
      </c>
      <c r="D976" s="7">
        <f>IFERROR(__xludf.DUMMYFUNCTION("GOOGLEFINANCE(""ASX:GR8"", ""price"")"),0.2)</f>
        <v>0.2</v>
      </c>
      <c r="E976" s="8">
        <f>IFERROR(__xludf.DUMMYFUNCTION("GOOGLEFINANCE(""ASX:GR8"", ""closeyest"")"),0.2)</f>
        <v>0.2</v>
      </c>
      <c r="F976" s="5" t="str">
        <f>IFERROR(__xludf.DUMMYFUNCTION("GOOGLEFINANCE(""ASX:GR8"", ""pe"")"),"#N/A")</f>
        <v>#N/A</v>
      </c>
      <c r="G976" s="9">
        <f>IFERROR(__xludf.DUMMYFUNCTION("GOOGLEFINANCE(""ASX:GR8"", ""high52"")"),0.24)</f>
        <v>0.24</v>
      </c>
      <c r="H976" s="9">
        <f>IFERROR(__xludf.DUMMYFUNCTION("GOOGLEFINANCE(""ASX:GR8"", ""low52"")"),0.1)</f>
        <v>0.1</v>
      </c>
      <c r="I976" s="9">
        <f>IFERROR(__xludf.DUMMYFUNCTION("GOOGLEFINANCE(""ASX:GR8"", ""marketcap"")"),7297880.0)</f>
        <v>7297880</v>
      </c>
      <c r="J976" s="5"/>
      <c r="K976" s="5"/>
      <c r="L976" s="5"/>
      <c r="M976" s="5"/>
      <c r="N976" s="11" t="s">
        <v>19</v>
      </c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6" t="s">
        <v>1973</v>
      </c>
      <c r="B977" s="6" t="s">
        <v>1974</v>
      </c>
      <c r="C977" s="5" t="s">
        <v>39</v>
      </c>
      <c r="D977" s="7">
        <f>IFERROR(__xludf.DUMMYFUNCTION("GOOGLEFINANCE(""ASX:GRE"", ""price"")"),0.14)</f>
        <v>0.14</v>
      </c>
      <c r="E977" s="8">
        <f>IFERROR(__xludf.DUMMYFUNCTION("GOOGLEFINANCE(""ASX:GRE"", ""closeyest"")"),0.13)</f>
        <v>0.13</v>
      </c>
      <c r="F977" s="5" t="str">
        <f>IFERROR(__xludf.DUMMYFUNCTION("GOOGLEFINANCE(""ASX:GRE"", ""pe"")"),"#N/A")</f>
        <v>#N/A</v>
      </c>
      <c r="G977" s="9">
        <f>IFERROR(__xludf.DUMMYFUNCTION("GOOGLEFINANCE(""ASX:GRE"", ""high52"")"),0.14)</f>
        <v>0.14</v>
      </c>
      <c r="H977" s="9">
        <f>IFERROR(__xludf.DUMMYFUNCTION("GOOGLEFINANCE(""ASX:GRE"", ""low52"")"),0.04)</f>
        <v>0.04</v>
      </c>
      <c r="I977" s="9">
        <f>IFERROR(__xludf.DUMMYFUNCTION("GOOGLEFINANCE(""ASX:GRE"", ""marketcap"")"),2.2915427E7)</f>
        <v>22915427</v>
      </c>
      <c r="J977" s="5"/>
      <c r="K977" s="5"/>
      <c r="L977" s="5"/>
      <c r="M977" s="5"/>
      <c r="N977" s="11" t="s">
        <v>19</v>
      </c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6" t="s">
        <v>1975</v>
      </c>
      <c r="B978" s="6" t="s">
        <v>1976</v>
      </c>
      <c r="C978" s="5" t="s">
        <v>36</v>
      </c>
      <c r="D978" s="7">
        <f>IFERROR(__xludf.DUMMYFUNCTION("GOOGLEFINANCE(""ASX:GRIN"", ""price"")"),19.71)</f>
        <v>19.71</v>
      </c>
      <c r="E978" s="8">
        <f>IFERROR(__xludf.DUMMYFUNCTION("GOOGLEFINANCE(""ASX:GRIN"", ""closeyest"")"),19.87)</f>
        <v>19.87</v>
      </c>
      <c r="F978" s="5" t="str">
        <f>IFERROR(__xludf.DUMMYFUNCTION("GOOGLEFINANCE(""ASX:GRIN"", ""pe"")"),"#N/A")</f>
        <v>#N/A</v>
      </c>
      <c r="G978" s="9">
        <f>IFERROR(__xludf.DUMMYFUNCTION("GOOGLEFINANCE(""ASX:GRIN"", ""high52"")"),22.45)</f>
        <v>22.45</v>
      </c>
      <c r="H978" s="9">
        <f>IFERROR(__xludf.DUMMYFUNCTION("GOOGLEFINANCE(""ASX:GRIN"", ""low52"")"),18.78)</f>
        <v>18.78</v>
      </c>
      <c r="I978" s="9" t="str">
        <f>IFERROR(__xludf.DUMMYFUNCTION("GOOGLEFINANCE(""ASX:GRIN"", ""marketcap"")"),"#N/A")</f>
        <v>#N/A</v>
      </c>
      <c r="J978" s="5"/>
      <c r="K978" s="5"/>
      <c r="L978" s="5"/>
      <c r="M978" s="5"/>
      <c r="N978" s="11" t="s">
        <v>19</v>
      </c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6" t="s">
        <v>1977</v>
      </c>
      <c r="B979" s="6" t="s">
        <v>1978</v>
      </c>
      <c r="C979" s="5" t="s">
        <v>18</v>
      </c>
      <c r="D979" s="7">
        <f>IFERROR(__xludf.DUMMYFUNCTION("GOOGLEFINANCE(""ASX:GRL"", ""price"")"),0.03)</f>
        <v>0.03</v>
      </c>
      <c r="E979" s="8">
        <f>IFERROR(__xludf.DUMMYFUNCTION("GOOGLEFINANCE(""ASX:GRL"", ""closeyest"")"),0.03)</f>
        <v>0.03</v>
      </c>
      <c r="F979" s="5" t="str">
        <f>IFERROR(__xludf.DUMMYFUNCTION("GOOGLEFINANCE(""ASX:GRL"", ""pe"")"),"#N/A")</f>
        <v>#N/A</v>
      </c>
      <c r="G979" s="9">
        <f>IFERROR(__xludf.DUMMYFUNCTION("GOOGLEFINANCE(""ASX:GRL"", ""high52"")"),0.04)</f>
        <v>0.04</v>
      </c>
      <c r="H979" s="9">
        <f>IFERROR(__xludf.DUMMYFUNCTION("GOOGLEFINANCE(""ASX:GRL"", ""low52"")"),0.01)</f>
        <v>0.01</v>
      </c>
      <c r="I979" s="9">
        <f>IFERROR(__xludf.DUMMYFUNCTION("GOOGLEFINANCE(""ASX:GRL"", ""marketcap"")"),1.6924474E7)</f>
        <v>16924474</v>
      </c>
      <c r="J979" s="5"/>
      <c r="K979" s="5"/>
      <c r="L979" s="5"/>
      <c r="M979" s="5"/>
      <c r="N979" s="11" t="s">
        <v>19</v>
      </c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6" t="s">
        <v>1979</v>
      </c>
      <c r="B980" s="6" t="s">
        <v>1980</v>
      </c>
      <c r="C980" s="5" t="s">
        <v>36</v>
      </c>
      <c r="D980" s="7">
        <f>IFERROR(__xludf.DUMMYFUNCTION("GOOGLEFINANCE(""ASX:GRNV"", ""price"")"),33.05)</f>
        <v>33.05</v>
      </c>
      <c r="E980" s="8">
        <f>IFERROR(__xludf.DUMMYFUNCTION("GOOGLEFINANCE(""ASX:GRNV"", ""closeyest"")"),32.88)</f>
        <v>32.88</v>
      </c>
      <c r="F980" s="5" t="str">
        <f>IFERROR(__xludf.DUMMYFUNCTION("GOOGLEFINANCE(""ASX:GRNV"", ""pe"")"),"#N/A")</f>
        <v>#N/A</v>
      </c>
      <c r="G980" s="9">
        <f>IFERROR(__xludf.DUMMYFUNCTION("GOOGLEFINANCE(""ASX:GRNV"", ""high52"")"),35.99)</f>
        <v>35.99</v>
      </c>
      <c r="H980" s="9">
        <f>IFERROR(__xludf.DUMMYFUNCTION("GOOGLEFINANCE(""ASX:GRNV"", ""low52"")"),28.47)</f>
        <v>28.47</v>
      </c>
      <c r="I980" s="9" t="str">
        <f>IFERROR(__xludf.DUMMYFUNCTION("GOOGLEFINANCE(""ASX:GRNV"", ""marketcap"")"),"#N/A")</f>
        <v>#N/A</v>
      </c>
      <c r="J980" s="5"/>
      <c r="K980" s="5"/>
      <c r="L980" s="5"/>
      <c r="M980" s="5"/>
      <c r="N980" s="11" t="s">
        <v>19</v>
      </c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6" t="s">
        <v>1981</v>
      </c>
      <c r="B981" s="6" t="s">
        <v>1982</v>
      </c>
      <c r="C981" s="5" t="s">
        <v>36</v>
      </c>
      <c r="D981" s="7" t="str">
        <f>IFERROR(__xludf.DUMMYFUNCTION("GOOGLEFINANCE(""ASX:GROW"", ""price"")"),"#N/A")</f>
        <v>#N/A</v>
      </c>
      <c r="E981" s="8" t="str">
        <f>IFERROR(__xludf.DUMMYFUNCTION("GOOGLEFINANCE(""ASX:GROW"", ""closeyest"")"),"#N/A")</f>
        <v>#N/A</v>
      </c>
      <c r="F981" s="5" t="str">
        <f>IFERROR(__xludf.DUMMYFUNCTION("GOOGLEFINANCE(""ASX:GROW"", ""pe"")"),"#N/A")</f>
        <v>#N/A</v>
      </c>
      <c r="G981" s="5" t="str">
        <f>IFERROR(__xludf.DUMMYFUNCTION("GOOGLEFINANCE(""ASX:GROW"", ""high52"")"),"#N/A")</f>
        <v>#N/A</v>
      </c>
      <c r="H981" s="5" t="str">
        <f>IFERROR(__xludf.DUMMYFUNCTION("GOOGLEFINANCE(""ASX:GROW"", ""low52"")"),"#N/A")</f>
        <v>#N/A</v>
      </c>
      <c r="I981" s="9" t="str">
        <f>IFERROR(__xludf.DUMMYFUNCTION("GOOGLEFINANCE(""ASX:GROW"", ""marketcap"")"),"#N/A")</f>
        <v>#N/A</v>
      </c>
      <c r="J981" s="12">
        <v>4.02</v>
      </c>
      <c r="K981" s="12">
        <v>4.01</v>
      </c>
      <c r="L981" s="12">
        <v>4.02</v>
      </c>
      <c r="M981" s="12">
        <v>3.61</v>
      </c>
      <c r="N981" s="11" t="s">
        <v>19</v>
      </c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6" t="s">
        <v>1983</v>
      </c>
      <c r="B982" s="6" t="s">
        <v>1984</v>
      </c>
      <c r="C982" s="5" t="s">
        <v>36</v>
      </c>
      <c r="D982" s="7">
        <f>IFERROR(__xludf.DUMMYFUNCTION("GOOGLEFINANCE(""ASX:GRPA"", ""price"")"),24.65)</f>
        <v>24.65</v>
      </c>
      <c r="E982" s="8">
        <f>IFERROR(__xludf.DUMMYFUNCTION("GOOGLEFINANCE(""ASX:GRPA"", ""closeyest"")"),24.58)</f>
        <v>24.58</v>
      </c>
      <c r="F982" s="5" t="str">
        <f>IFERROR(__xludf.DUMMYFUNCTION("GOOGLEFINANCE(""ASX:GRPA"", ""pe"")"),"#N/A")</f>
        <v>#N/A</v>
      </c>
      <c r="G982" s="9">
        <f>IFERROR(__xludf.DUMMYFUNCTION("GOOGLEFINANCE(""ASX:GRPA"", ""high52"")"),25.32)</f>
        <v>25.32</v>
      </c>
      <c r="H982" s="9">
        <f>IFERROR(__xludf.DUMMYFUNCTION("GOOGLEFINANCE(""ASX:GRPA"", ""low52"")"),23.96)</f>
        <v>23.96</v>
      </c>
      <c r="I982" s="9" t="str">
        <f>IFERROR(__xludf.DUMMYFUNCTION("GOOGLEFINANCE(""ASX:GRPA"", ""marketcap"")"),"#N/A")</f>
        <v>#N/A</v>
      </c>
      <c r="J982" s="5"/>
      <c r="K982" s="5"/>
      <c r="L982" s="5"/>
      <c r="M982" s="5"/>
      <c r="N982" s="11" t="s">
        <v>19</v>
      </c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6" t="s">
        <v>1985</v>
      </c>
      <c r="B983" s="6" t="s">
        <v>1986</v>
      </c>
      <c r="C983" s="5" t="s">
        <v>212</v>
      </c>
      <c r="D983" s="7">
        <f>IFERROR(__xludf.DUMMYFUNCTION("GOOGLEFINANCE(""ASX:GRR"", ""price"")"),0.29)</f>
        <v>0.29</v>
      </c>
      <c r="E983" s="8">
        <f>IFERROR(__xludf.DUMMYFUNCTION("GOOGLEFINANCE(""ASX:GRR"", ""closeyest"")"),0.29)</f>
        <v>0.29</v>
      </c>
      <c r="F983" s="9">
        <f>IFERROR(__xludf.DUMMYFUNCTION("GOOGLEFINANCE(""ASX:GRR"", ""pe"")"),7.37)</f>
        <v>7.37</v>
      </c>
      <c r="G983" s="9">
        <f>IFERROR(__xludf.DUMMYFUNCTION("GOOGLEFINANCE(""ASX:GRR"", ""high52"")"),0.31)</f>
        <v>0.31</v>
      </c>
      <c r="H983" s="9">
        <f>IFERROR(__xludf.DUMMYFUNCTION("GOOGLEFINANCE(""ASX:GRR"", ""low52"")"),0.17)</f>
        <v>0.17</v>
      </c>
      <c r="I983" s="9">
        <f>IFERROR(__xludf.DUMMYFUNCTION("GOOGLEFINANCE(""ASX:GRR"", ""marketcap"")"),3.3562801E8)</f>
        <v>335628010</v>
      </c>
      <c r="J983" s="5"/>
      <c r="K983" s="5"/>
      <c r="L983" s="5"/>
      <c r="M983" s="5"/>
      <c r="N983" s="10">
        <v>6.99</v>
      </c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6" t="s">
        <v>1985</v>
      </c>
      <c r="B984" s="6" t="s">
        <v>1986</v>
      </c>
      <c r="C984" s="5" t="s">
        <v>212</v>
      </c>
      <c r="D984" s="7">
        <f>IFERROR(__xludf.DUMMYFUNCTION("GOOGLEFINANCE(""ASX:GRR"", ""price"")"),0.29)</f>
        <v>0.29</v>
      </c>
      <c r="E984" s="8">
        <f>IFERROR(__xludf.DUMMYFUNCTION("GOOGLEFINANCE(""ASX:GRR"", ""closeyest"")"),0.29)</f>
        <v>0.29</v>
      </c>
      <c r="F984" s="9">
        <f>IFERROR(__xludf.DUMMYFUNCTION("GOOGLEFINANCE(""ASX:GRR"", ""pe"")"),7.37)</f>
        <v>7.37</v>
      </c>
      <c r="G984" s="9">
        <f>IFERROR(__xludf.DUMMYFUNCTION("GOOGLEFINANCE(""ASX:GRR"", ""high52"")"),0.31)</f>
        <v>0.31</v>
      </c>
      <c r="H984" s="9">
        <f>IFERROR(__xludf.DUMMYFUNCTION("GOOGLEFINANCE(""ASX:GRR"", ""low52"")"),0.17)</f>
        <v>0.17</v>
      </c>
      <c r="I984" s="9">
        <f>IFERROR(__xludf.DUMMYFUNCTION("GOOGLEFINANCE(""ASX:GRR"", ""marketcap"")"),3.3562801E8)</f>
        <v>335628010</v>
      </c>
      <c r="J984" s="5"/>
      <c r="K984" s="5"/>
      <c r="L984" s="5"/>
      <c r="M984" s="5"/>
      <c r="N984" s="10">
        <v>6.99</v>
      </c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6" t="s">
        <v>1987</v>
      </c>
      <c r="B985" s="6" t="s">
        <v>1988</v>
      </c>
      <c r="C985" s="5" t="s">
        <v>78</v>
      </c>
      <c r="D985" s="7">
        <f>IFERROR(__xludf.DUMMYFUNCTION("GOOGLEFINANCE(""ASX:GRV"", ""price"")"),0.04)</f>
        <v>0.04</v>
      </c>
      <c r="E985" s="8">
        <f>IFERROR(__xludf.DUMMYFUNCTION("GOOGLEFINANCE(""ASX:GRV"", ""closeyest"")"),0.04)</f>
        <v>0.04</v>
      </c>
      <c r="F985" s="5" t="str">
        <f>IFERROR(__xludf.DUMMYFUNCTION("GOOGLEFINANCE(""ASX:GRV"", ""pe"")"),"#N/A")</f>
        <v>#N/A</v>
      </c>
      <c r="G985" s="9">
        <f>IFERROR(__xludf.DUMMYFUNCTION("GOOGLEFINANCE(""ASX:GRV"", ""high52"")"),0.09)</f>
        <v>0.09</v>
      </c>
      <c r="H985" s="9">
        <f>IFERROR(__xludf.DUMMYFUNCTION("GOOGLEFINANCE(""ASX:GRV"", ""low52"")"),0.03)</f>
        <v>0.03</v>
      </c>
      <c r="I985" s="9">
        <f>IFERROR(__xludf.DUMMYFUNCTION("GOOGLEFINANCE(""ASX:GRV"", ""marketcap"")"),2.4117656E7)</f>
        <v>24117656</v>
      </c>
      <c r="J985" s="5"/>
      <c r="K985" s="5"/>
      <c r="L985" s="5"/>
      <c r="M985" s="5"/>
      <c r="N985" s="11" t="s">
        <v>19</v>
      </c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6" t="s">
        <v>1989</v>
      </c>
      <c r="B986" s="6" t="s">
        <v>1990</v>
      </c>
      <c r="C986" s="5" t="s">
        <v>18</v>
      </c>
      <c r="D986" s="7">
        <f>IFERROR(__xludf.DUMMYFUNCTION("GOOGLEFINANCE(""ASX:GRX"", ""price"")"),0.86)</f>
        <v>0.86</v>
      </c>
      <c r="E986" s="8">
        <f>IFERROR(__xludf.DUMMYFUNCTION("GOOGLEFINANCE(""ASX:GRX"", ""closeyest"")"),0.87)</f>
        <v>0.87</v>
      </c>
      <c r="F986" s="5" t="str">
        <f>IFERROR(__xludf.DUMMYFUNCTION("GOOGLEFINANCE(""ASX:GRX"", ""pe"")"),"#N/A")</f>
        <v>#N/A</v>
      </c>
      <c r="G986" s="9">
        <f>IFERROR(__xludf.DUMMYFUNCTION("GOOGLEFINANCE(""ASX:GRX"", ""high52"")"),0.91)</f>
        <v>0.91</v>
      </c>
      <c r="H986" s="9">
        <f>IFERROR(__xludf.DUMMYFUNCTION("GOOGLEFINANCE(""ASX:GRX"", ""low52"")"),0.68)</f>
        <v>0.68</v>
      </c>
      <c r="I986" s="9">
        <f>IFERROR(__xludf.DUMMYFUNCTION("GOOGLEFINANCE(""ASX:GRX"", ""marketcap"")"),2.50847642E8)</f>
        <v>250847642</v>
      </c>
      <c r="J986" s="5"/>
      <c r="K986" s="5"/>
      <c r="L986" s="5"/>
      <c r="M986" s="5"/>
      <c r="N986" s="11" t="s">
        <v>19</v>
      </c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6" t="s">
        <v>1991</v>
      </c>
      <c r="B987" s="6" t="s">
        <v>1992</v>
      </c>
      <c r="C987" s="5" t="s">
        <v>36</v>
      </c>
      <c r="D987" s="7" t="str">
        <f>IFERROR(__xludf.DUMMYFUNCTION("GOOGLEFINANCE(""ASX:GSCF"", ""price"")"),"#N/A")</f>
        <v>#N/A</v>
      </c>
      <c r="E987" s="8" t="str">
        <f>IFERROR(__xludf.DUMMYFUNCTION("GOOGLEFINANCE(""ASX:GSCF"", ""closeyest"")"),"#N/A")</f>
        <v>#N/A</v>
      </c>
      <c r="F987" s="5" t="str">
        <f>IFERROR(__xludf.DUMMYFUNCTION("GOOGLEFINANCE(""ASX:GSCF"", ""pe"")"),"#N/A")</f>
        <v>#N/A</v>
      </c>
      <c r="G987" s="5" t="str">
        <f>IFERROR(__xludf.DUMMYFUNCTION("GOOGLEFINANCE(""ASX:GSCF"", ""high52"")"),"#N/A")</f>
        <v>#N/A</v>
      </c>
      <c r="H987" s="5" t="str">
        <f>IFERROR(__xludf.DUMMYFUNCTION("GOOGLEFINANCE(""ASX:GSCF"", ""low52"")"),"#N/A")</f>
        <v>#N/A</v>
      </c>
      <c r="I987" s="9" t="str">
        <f>IFERROR(__xludf.DUMMYFUNCTION("GOOGLEFINANCE(""ASX:GSCF"", ""marketcap"")"),"#N/A")</f>
        <v>#N/A</v>
      </c>
      <c r="J987" s="12">
        <v>18.13</v>
      </c>
      <c r="K987" s="12">
        <v>18.1</v>
      </c>
      <c r="L987" s="12">
        <v>18.16</v>
      </c>
      <c r="M987" s="12">
        <v>17.23</v>
      </c>
      <c r="N987" s="11" t="s">
        <v>19</v>
      </c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6" t="s">
        <v>1993</v>
      </c>
      <c r="B988" s="6" t="s">
        <v>1994</v>
      </c>
      <c r="C988" s="5" t="s">
        <v>88</v>
      </c>
      <c r="D988" s="7">
        <f>IFERROR(__xludf.DUMMYFUNCTION("GOOGLEFINANCE(""ASX:GSM"", ""price"")"),0.02)</f>
        <v>0.02</v>
      </c>
      <c r="E988" s="8">
        <f>IFERROR(__xludf.DUMMYFUNCTION("GOOGLEFINANCE(""ASX:GSM"", ""closeyest"")"),0.02)</f>
        <v>0.02</v>
      </c>
      <c r="F988" s="5" t="str">
        <f>IFERROR(__xludf.DUMMYFUNCTION("GOOGLEFINANCE(""ASX:GSM"", ""pe"")"),"#N/A")</f>
        <v>#N/A</v>
      </c>
      <c r="G988" s="9">
        <f>IFERROR(__xludf.DUMMYFUNCTION("GOOGLEFINANCE(""ASX:GSM"", ""high52"")"),0.03)</f>
        <v>0.03</v>
      </c>
      <c r="H988" s="9">
        <f>IFERROR(__xludf.DUMMYFUNCTION("GOOGLEFINANCE(""ASX:GSM"", ""low52"")"),0.01)</f>
        <v>0.01</v>
      </c>
      <c r="I988" s="9">
        <f>IFERROR(__xludf.DUMMYFUNCTION("GOOGLEFINANCE(""ASX:GSM"", ""marketcap"")"),9895525.0)</f>
        <v>9895525</v>
      </c>
      <c r="J988" s="5"/>
      <c r="K988" s="5"/>
      <c r="L988" s="5"/>
      <c r="M988" s="5"/>
      <c r="N988" s="11" t="s">
        <v>19</v>
      </c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6" t="s">
        <v>1995</v>
      </c>
      <c r="B989" s="6" t="s">
        <v>1996</v>
      </c>
      <c r="C989" s="5" t="s">
        <v>88</v>
      </c>
      <c r="D989" s="7">
        <f>IFERROR(__xludf.DUMMYFUNCTION("GOOGLEFINANCE(""ASX:GSN"", ""price"")"),0.04)</f>
        <v>0.04</v>
      </c>
      <c r="E989" s="8">
        <f>IFERROR(__xludf.DUMMYFUNCTION("GOOGLEFINANCE(""ASX:GSN"", ""closeyest"")"),0.05)</f>
        <v>0.05</v>
      </c>
      <c r="F989" s="5" t="str">
        <f>IFERROR(__xludf.DUMMYFUNCTION("GOOGLEFINANCE(""ASX:GSN"", ""pe"")"),"#N/A")</f>
        <v>#N/A</v>
      </c>
      <c r="G989" s="9">
        <f>IFERROR(__xludf.DUMMYFUNCTION("GOOGLEFINANCE(""ASX:GSN"", ""high52"")"),0.05)</f>
        <v>0.05</v>
      </c>
      <c r="H989" s="9">
        <f>IFERROR(__xludf.DUMMYFUNCTION("GOOGLEFINANCE(""ASX:GSN"", ""low52"")"),0.02)</f>
        <v>0.02</v>
      </c>
      <c r="I989" s="9">
        <f>IFERROR(__xludf.DUMMYFUNCTION("GOOGLEFINANCE(""ASX:GSN"", ""marketcap"")"),4.1227823E7)</f>
        <v>41227823</v>
      </c>
      <c r="J989" s="5"/>
      <c r="K989" s="5"/>
      <c r="L989" s="5"/>
      <c r="M989" s="5"/>
      <c r="N989" s="11" t="s">
        <v>19</v>
      </c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6" t="s">
        <v>1997</v>
      </c>
      <c r="B990" s="6" t="s">
        <v>1998</v>
      </c>
      <c r="C990" s="5" t="s">
        <v>62</v>
      </c>
      <c r="D990" s="7">
        <f>IFERROR(__xludf.DUMMYFUNCTION("GOOGLEFINANCE(""ASX:GSS"", ""price"")"),0.24)</f>
        <v>0.24</v>
      </c>
      <c r="E990" s="8">
        <f>IFERROR(__xludf.DUMMYFUNCTION("GOOGLEFINANCE(""ASX:GSS"", ""closeyest"")"),0.24)</f>
        <v>0.24</v>
      </c>
      <c r="F990" s="5" t="str">
        <f>IFERROR(__xludf.DUMMYFUNCTION("GOOGLEFINANCE(""ASX:GSS"", ""pe"")"),"#N/A")</f>
        <v>#N/A</v>
      </c>
      <c r="G990" s="9">
        <f>IFERROR(__xludf.DUMMYFUNCTION("GOOGLEFINANCE(""ASX:GSS"", ""high52"")"),0.69)</f>
        <v>0.69</v>
      </c>
      <c r="H990" s="9">
        <f>IFERROR(__xludf.DUMMYFUNCTION("GOOGLEFINANCE(""ASX:GSS"", ""low52"")"),0.22)</f>
        <v>0.22</v>
      </c>
      <c r="I990" s="9">
        <f>IFERROR(__xludf.DUMMYFUNCTION("GOOGLEFINANCE(""ASX:GSS"", ""marketcap"")"),5.3377606E7)</f>
        <v>53377606</v>
      </c>
      <c r="J990" s="5"/>
      <c r="K990" s="5"/>
      <c r="L990" s="5"/>
      <c r="M990" s="5"/>
      <c r="N990" s="11" t="s">
        <v>19</v>
      </c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6" t="s">
        <v>1999</v>
      </c>
      <c r="B991" s="6" t="s">
        <v>2000</v>
      </c>
      <c r="C991" s="5" t="s">
        <v>36</v>
      </c>
      <c r="D991" s="7">
        <f>IFERROR(__xludf.DUMMYFUNCTION("GOOGLEFINANCE(""ASX:GSUS"", ""price"")"),13.61)</f>
        <v>13.61</v>
      </c>
      <c r="E991" s="8">
        <f>IFERROR(__xludf.DUMMYFUNCTION("GOOGLEFINANCE(""ASX:GSUS"", ""closeyest"")"),13.61)</f>
        <v>13.61</v>
      </c>
      <c r="F991" s="5" t="str">
        <f>IFERROR(__xludf.DUMMYFUNCTION("GOOGLEFINANCE(""ASX:GSUS"", ""pe"")"),"#N/A")</f>
        <v>#N/A</v>
      </c>
      <c r="G991" s="9">
        <f>IFERROR(__xludf.DUMMYFUNCTION("GOOGLEFINANCE(""ASX:GSUS"", ""high52"")"),13.79)</f>
        <v>13.79</v>
      </c>
      <c r="H991" s="9">
        <f>IFERROR(__xludf.DUMMYFUNCTION("GOOGLEFINANCE(""ASX:GSUS"", ""low52"")"),13.53)</f>
        <v>13.53</v>
      </c>
      <c r="I991" s="9" t="str">
        <f>IFERROR(__xludf.DUMMYFUNCTION("GOOGLEFINANCE(""ASX:GSUS"", ""marketcap"")"),"#N/A")</f>
        <v>#N/A</v>
      </c>
      <c r="J991" s="5"/>
      <c r="K991" s="5"/>
      <c r="L991" s="5"/>
      <c r="M991" s="5"/>
      <c r="N991" s="11" t="s">
        <v>19</v>
      </c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6" t="s">
        <v>2001</v>
      </c>
      <c r="B992" s="6" t="s">
        <v>2002</v>
      </c>
      <c r="C992" s="5" t="s">
        <v>39</v>
      </c>
      <c r="D992" s="7">
        <f>IFERROR(__xludf.DUMMYFUNCTION("GOOGLEFINANCE(""ASX:GT1"", ""price"")"),0.05)</f>
        <v>0.05</v>
      </c>
      <c r="E992" s="8">
        <f>IFERROR(__xludf.DUMMYFUNCTION("GOOGLEFINANCE(""ASX:GT1"", ""closeyest"")"),0.04)</f>
        <v>0.04</v>
      </c>
      <c r="F992" s="5" t="str">
        <f>IFERROR(__xludf.DUMMYFUNCTION("GOOGLEFINANCE(""ASX:GT1"", ""pe"")"),"#N/A")</f>
        <v>#N/A</v>
      </c>
      <c r="G992" s="9">
        <f>IFERROR(__xludf.DUMMYFUNCTION("GOOGLEFINANCE(""ASX:GT1"", ""high52"")"),0.07)</f>
        <v>0.07</v>
      </c>
      <c r="H992" s="9">
        <f>IFERROR(__xludf.DUMMYFUNCTION("GOOGLEFINANCE(""ASX:GT1"", ""low52"")"),0.02)</f>
        <v>0.02</v>
      </c>
      <c r="I992" s="9">
        <f>IFERROR(__xludf.DUMMYFUNCTION("GOOGLEFINANCE(""ASX:GT1"", ""marketcap"")"),3.33527E7)</f>
        <v>33352700</v>
      </c>
      <c r="J992" s="5"/>
      <c r="K992" s="5"/>
      <c r="L992" s="5"/>
      <c r="M992" s="5"/>
      <c r="N992" s="11" t="s">
        <v>19</v>
      </c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6" t="s">
        <v>2003</v>
      </c>
      <c r="B993" s="6" t="s">
        <v>2004</v>
      </c>
      <c r="C993" s="5" t="s">
        <v>961</v>
      </c>
      <c r="D993" s="7">
        <f>IFERROR(__xludf.DUMMYFUNCTION("GOOGLEFINANCE(""ASX:GT3"", ""price"")"),0.04)</f>
        <v>0.04</v>
      </c>
      <c r="E993" s="8">
        <f>IFERROR(__xludf.DUMMYFUNCTION("GOOGLEFINANCE(""ASX:GT3"", ""closeyest"")"),0.04)</f>
        <v>0.04</v>
      </c>
      <c r="F993" s="5" t="str">
        <f>IFERROR(__xludf.DUMMYFUNCTION("GOOGLEFINANCE(""ASX:GT3"", ""pe"")"),"#N/A")</f>
        <v>#N/A</v>
      </c>
      <c r="G993" s="9">
        <f>IFERROR(__xludf.DUMMYFUNCTION("GOOGLEFINANCE(""ASX:GT3"", ""high52"")"),0.05)</f>
        <v>0.05</v>
      </c>
      <c r="H993" s="9">
        <f>IFERROR(__xludf.DUMMYFUNCTION("GOOGLEFINANCE(""ASX:GT3"", ""low52"")"),0.02)</f>
        <v>0.02</v>
      </c>
      <c r="I993" s="9">
        <f>IFERROR(__xludf.DUMMYFUNCTION("GOOGLEFINANCE(""ASX:GT3"", ""marketcap"")"),4.4819318E7)</f>
        <v>44819318</v>
      </c>
      <c r="J993" s="9">
        <v>62.1</v>
      </c>
      <c r="K993" s="9">
        <v>62.66</v>
      </c>
      <c r="L993" s="9">
        <v>68.38</v>
      </c>
      <c r="M993" s="9">
        <v>52.64</v>
      </c>
      <c r="N993" s="11" t="s">
        <v>19</v>
      </c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6" t="s">
        <v>2005</v>
      </c>
      <c r="B994" s="6" t="s">
        <v>2006</v>
      </c>
      <c r="C994" s="5" t="s">
        <v>18</v>
      </c>
      <c r="D994" s="7">
        <f>IFERROR(__xludf.DUMMYFUNCTION("GOOGLEFINANCE(""ASX:GTE"", ""price"")"),0.02)</f>
        <v>0.02</v>
      </c>
      <c r="E994" s="8">
        <f>IFERROR(__xludf.DUMMYFUNCTION("GOOGLEFINANCE(""ASX:GTE"", ""closeyest"")"),0.02)</f>
        <v>0.02</v>
      </c>
      <c r="F994" s="5" t="str">
        <f>IFERROR(__xludf.DUMMYFUNCTION("GOOGLEFINANCE(""ASX:GTE"", ""pe"")"),"#N/A")</f>
        <v>#N/A</v>
      </c>
      <c r="G994" s="9">
        <f>IFERROR(__xludf.DUMMYFUNCTION("GOOGLEFINANCE(""ASX:GTE"", ""high52"")"),0.03)</f>
        <v>0.03</v>
      </c>
      <c r="H994" s="9">
        <f>IFERROR(__xludf.DUMMYFUNCTION("GOOGLEFINANCE(""ASX:GTE"", ""low52"")"),0.01)</f>
        <v>0.01</v>
      </c>
      <c r="I994" s="9">
        <f>IFERROR(__xludf.DUMMYFUNCTION("GOOGLEFINANCE(""ASX:GTE"", ""marketcap"")"),9169290.0)</f>
        <v>9169290</v>
      </c>
      <c r="J994" s="9">
        <v>60.62</v>
      </c>
      <c r="K994" s="9">
        <v>61.28</v>
      </c>
      <c r="L994" s="9">
        <v>62.01</v>
      </c>
      <c r="M994" s="9">
        <v>46.59</v>
      </c>
      <c r="N994" s="11" t="s">
        <v>19</v>
      </c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6" t="s">
        <v>2007</v>
      </c>
      <c r="B995" s="6" t="s">
        <v>2008</v>
      </c>
      <c r="C995" s="5" t="s">
        <v>164</v>
      </c>
      <c r="D995" s="7">
        <f>IFERROR(__xludf.DUMMYFUNCTION("GOOGLEFINANCE(""ASX:GTG"", ""price"")"),0.04)</f>
        <v>0.04</v>
      </c>
      <c r="E995" s="8">
        <f>IFERROR(__xludf.DUMMYFUNCTION("GOOGLEFINANCE(""ASX:GTG"", ""closeyest"")"),0.04)</f>
        <v>0.04</v>
      </c>
      <c r="F995" s="5" t="str">
        <f>IFERROR(__xludf.DUMMYFUNCTION("GOOGLEFINANCE(""ASX:GTG"", ""pe"")"),"#N/A")</f>
        <v>#N/A</v>
      </c>
      <c r="G995" s="9">
        <f>IFERROR(__xludf.DUMMYFUNCTION("GOOGLEFINANCE(""ASX:GTG"", ""high52"")"),0.04)</f>
        <v>0.04</v>
      </c>
      <c r="H995" s="9">
        <f>IFERROR(__xludf.DUMMYFUNCTION("GOOGLEFINANCE(""ASX:GTG"", ""low52"")"),0.04)</f>
        <v>0.04</v>
      </c>
      <c r="I995" s="9">
        <f>IFERROR(__xludf.DUMMYFUNCTION("GOOGLEFINANCE(""ASX:GTG"", ""marketcap"")"),9329892.0)</f>
        <v>9329892</v>
      </c>
      <c r="J995" s="5"/>
      <c r="K995" s="5"/>
      <c r="L995" s="5"/>
      <c r="M995" s="5"/>
      <c r="N995" s="11" t="s">
        <v>19</v>
      </c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6" t="s">
        <v>2009</v>
      </c>
      <c r="B996" s="6" t="s">
        <v>2010</v>
      </c>
      <c r="C996" s="5" t="s">
        <v>15</v>
      </c>
      <c r="D996" s="7">
        <f>IFERROR(__xludf.DUMMYFUNCTION("GOOGLEFINANCE(""ASX:GTH"", ""price"")"),0.02)</f>
        <v>0.02</v>
      </c>
      <c r="E996" s="8">
        <f>IFERROR(__xludf.DUMMYFUNCTION("GOOGLEFINANCE(""ASX:GTH"", ""closeyest"")"),0.02)</f>
        <v>0.02</v>
      </c>
      <c r="F996" s="5" t="str">
        <f>IFERROR(__xludf.DUMMYFUNCTION("GOOGLEFINANCE(""ASX:GTH"", ""pe"")"),"#N/A")</f>
        <v>#N/A</v>
      </c>
      <c r="G996" s="9">
        <f>IFERROR(__xludf.DUMMYFUNCTION("GOOGLEFINANCE(""ASX:GTH"", ""high52"")"),0.02)</f>
        <v>0.02</v>
      </c>
      <c r="H996" s="9">
        <f>IFERROR(__xludf.DUMMYFUNCTION("GOOGLEFINANCE(""ASX:GTH"", ""low52"")"),0.02)</f>
        <v>0.02</v>
      </c>
      <c r="I996" s="9">
        <f>IFERROR(__xludf.DUMMYFUNCTION("GOOGLEFINANCE(""ASX:GTH"", ""marketcap"")"),3793220.0)</f>
        <v>3793220</v>
      </c>
      <c r="J996" s="9">
        <v>84.74</v>
      </c>
      <c r="K996" s="9">
        <v>84.66</v>
      </c>
      <c r="L996" s="9">
        <v>87.06</v>
      </c>
      <c r="M996" s="9">
        <v>69.13</v>
      </c>
      <c r="N996" s="11" t="s">
        <v>19</v>
      </c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6" t="s">
        <v>2011</v>
      </c>
      <c r="B997" s="6" t="s">
        <v>2012</v>
      </c>
      <c r="C997" s="5" t="s">
        <v>15</v>
      </c>
      <c r="D997" s="7">
        <f>IFERROR(__xludf.DUMMYFUNCTION("GOOGLEFINANCE(""ASX:GTI"", ""price"")"),0.09)</f>
        <v>0.09</v>
      </c>
      <c r="E997" s="8">
        <f>IFERROR(__xludf.DUMMYFUNCTION("GOOGLEFINANCE(""ASX:GTI"", ""closeyest"")"),0.08)</f>
        <v>0.08</v>
      </c>
      <c r="F997" s="5" t="str">
        <f>IFERROR(__xludf.DUMMYFUNCTION("GOOGLEFINANCE(""ASX:GTI"", ""pe"")"),"#N/A")</f>
        <v>#N/A</v>
      </c>
      <c r="G997" s="9">
        <f>IFERROR(__xludf.DUMMYFUNCTION("GOOGLEFINANCE(""ASX:GTI"", ""high52"")"),0.12)</f>
        <v>0.12</v>
      </c>
      <c r="H997" s="9">
        <f>IFERROR(__xludf.DUMMYFUNCTION("GOOGLEFINANCE(""ASX:GTI"", ""low52"")"),0.06)</f>
        <v>0.06</v>
      </c>
      <c r="I997" s="9">
        <f>IFERROR(__xludf.DUMMYFUNCTION("GOOGLEFINANCE(""ASX:GTI"", ""marketcap"")"),3.74762E7)</f>
        <v>37476200</v>
      </c>
      <c r="J997" s="9">
        <v>73.29</v>
      </c>
      <c r="K997" s="9">
        <v>72.96</v>
      </c>
      <c r="L997" s="9">
        <v>73.37</v>
      </c>
      <c r="M997" s="9">
        <v>53.47</v>
      </c>
      <c r="N997" s="11" t="s">
        <v>19</v>
      </c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6" t="s">
        <v>2013</v>
      </c>
      <c r="B998" s="6" t="s">
        <v>2014</v>
      </c>
      <c r="C998" s="5" t="s">
        <v>15</v>
      </c>
      <c r="D998" s="7">
        <f>IFERROR(__xludf.DUMMYFUNCTION("GOOGLEFINANCE(""ASX:GTK"", ""price"")"),7.44)</f>
        <v>7.44</v>
      </c>
      <c r="E998" s="8">
        <f>IFERROR(__xludf.DUMMYFUNCTION("GOOGLEFINANCE(""ASX:GTK"", ""closeyest"")"),7.5)</f>
        <v>7.5</v>
      </c>
      <c r="F998" s="5" t="str">
        <f>IFERROR(__xludf.DUMMYFUNCTION("GOOGLEFINANCE(""ASX:GTK"", ""pe"")"),"#N/A")</f>
        <v>#N/A</v>
      </c>
      <c r="G998" s="9">
        <f>IFERROR(__xludf.DUMMYFUNCTION("GOOGLEFINANCE(""ASX:GTK"", ""high52"")"),12.08)</f>
        <v>12.08</v>
      </c>
      <c r="H998" s="9">
        <f>IFERROR(__xludf.DUMMYFUNCTION("GOOGLEFINANCE(""ASX:GTK"", ""low52"")"),6.34)</f>
        <v>6.34</v>
      </c>
      <c r="I998" s="9">
        <f>IFERROR(__xludf.DUMMYFUNCTION("GOOGLEFINANCE(""ASX:GTK"", ""marketcap"")"),9.502842E8)</f>
        <v>950284200</v>
      </c>
      <c r="J998" s="5"/>
      <c r="K998" s="5"/>
      <c r="L998" s="5"/>
      <c r="M998" s="5"/>
      <c r="N998" s="11" t="s">
        <v>19</v>
      </c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6" t="s">
        <v>2015</v>
      </c>
      <c r="B999" s="6" t="s">
        <v>2016</v>
      </c>
      <c r="C999" s="5" t="s">
        <v>1470</v>
      </c>
      <c r="D999" s="7">
        <f>IFERROR(__xludf.DUMMYFUNCTION("GOOGLEFINANCE(""ASX:GTN"", ""price"")"),0.3)</f>
        <v>0.3</v>
      </c>
      <c r="E999" s="8">
        <f>IFERROR(__xludf.DUMMYFUNCTION("GOOGLEFINANCE(""ASX:GTN"", ""closeyest"")"),0.29)</f>
        <v>0.29</v>
      </c>
      <c r="F999" s="5" t="str">
        <f>IFERROR(__xludf.DUMMYFUNCTION("GOOGLEFINANCE(""ASX:GTN"", ""pe"")"),"#N/A")</f>
        <v>#N/A</v>
      </c>
      <c r="G999" s="9">
        <f>IFERROR(__xludf.DUMMYFUNCTION("GOOGLEFINANCE(""ASX:GTN"", ""high52"")"),0.69)</f>
        <v>0.69</v>
      </c>
      <c r="H999" s="9">
        <f>IFERROR(__xludf.DUMMYFUNCTION("GOOGLEFINANCE(""ASX:GTN"", ""low52"")"),0.27)</f>
        <v>0.27</v>
      </c>
      <c r="I999" s="9">
        <f>IFERROR(__xludf.DUMMYFUNCTION("GOOGLEFINANCE(""ASX:GTN"", ""marketcap"")"),5.6246378E7)</f>
        <v>56246378</v>
      </c>
      <c r="J999" s="5"/>
      <c r="K999" s="5"/>
      <c r="L999" s="5"/>
      <c r="M999" s="5"/>
      <c r="N999" s="11" t="s">
        <v>19</v>
      </c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6" t="s">
        <v>2017</v>
      </c>
      <c r="B1000" s="6" t="s">
        <v>2018</v>
      </c>
      <c r="C1000" s="5" t="s">
        <v>28</v>
      </c>
      <c r="D1000" s="7">
        <f>IFERROR(__xludf.DUMMYFUNCTION("GOOGLEFINANCE(""ASX:GUE"", ""price"")"),0.07)</f>
        <v>0.07</v>
      </c>
      <c r="E1000" s="8">
        <f>IFERROR(__xludf.DUMMYFUNCTION("GOOGLEFINANCE(""ASX:GUE"", ""closeyest"")"),0.07)</f>
        <v>0.07</v>
      </c>
      <c r="F1000" s="5" t="str">
        <f>IFERROR(__xludf.DUMMYFUNCTION("GOOGLEFINANCE(""ASX:GUE"", ""pe"")"),"#N/A")</f>
        <v>#N/A</v>
      </c>
      <c r="G1000" s="9">
        <f>IFERROR(__xludf.DUMMYFUNCTION("GOOGLEFINANCE(""ASX:GUE"", ""high52"")"),0.09)</f>
        <v>0.09</v>
      </c>
      <c r="H1000" s="9">
        <f>IFERROR(__xludf.DUMMYFUNCTION("GOOGLEFINANCE(""ASX:GUE"", ""low52"")"),0.05)</f>
        <v>0.05</v>
      </c>
      <c r="I1000" s="9">
        <f>IFERROR(__xludf.DUMMYFUNCTION("GOOGLEFINANCE(""ASX:GUE"", ""marketcap"")"),3.1605089E7)</f>
        <v>31605089</v>
      </c>
      <c r="J1000" s="5"/>
      <c r="K1000" s="5"/>
      <c r="L1000" s="5"/>
      <c r="M1000" s="5"/>
      <c r="N1000" s="11" t="s">
        <v>19</v>
      </c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>
      <c r="A1001" s="6" t="s">
        <v>2017</v>
      </c>
      <c r="B1001" s="6" t="s">
        <v>2018</v>
      </c>
      <c r="C1001" s="5" t="s">
        <v>28</v>
      </c>
      <c r="D1001" s="7">
        <f>IFERROR(__xludf.DUMMYFUNCTION("GOOGLEFINANCE(""ASX:GUE"", ""price"")"),0.07)</f>
        <v>0.07</v>
      </c>
      <c r="E1001" s="8">
        <f>IFERROR(__xludf.DUMMYFUNCTION("GOOGLEFINANCE(""ASX:GUE"", ""closeyest"")"),0.07)</f>
        <v>0.07</v>
      </c>
      <c r="F1001" s="5" t="str">
        <f>IFERROR(__xludf.DUMMYFUNCTION("GOOGLEFINANCE(""ASX:GUE"", ""pe"")"),"#N/A")</f>
        <v>#N/A</v>
      </c>
      <c r="G1001" s="9">
        <f>IFERROR(__xludf.DUMMYFUNCTION("GOOGLEFINANCE(""ASX:GUE"", ""high52"")"),0.09)</f>
        <v>0.09</v>
      </c>
      <c r="H1001" s="9">
        <f>IFERROR(__xludf.DUMMYFUNCTION("GOOGLEFINANCE(""ASX:GUE"", ""low52"")"),0.05)</f>
        <v>0.05</v>
      </c>
      <c r="I1001" s="9">
        <f>IFERROR(__xludf.DUMMYFUNCTION("GOOGLEFINANCE(""ASX:GUE"", ""marketcap"")"),3.1605089E7)</f>
        <v>31605089</v>
      </c>
      <c r="J1001" s="5"/>
      <c r="K1001" s="5"/>
      <c r="L1001" s="5"/>
      <c r="M1001" s="5"/>
      <c r="N1001" s="11" t="s">
        <v>19</v>
      </c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>
      <c r="A1002" s="13" t="s">
        <v>2017</v>
      </c>
      <c r="B1002" s="13" t="s">
        <v>2018</v>
      </c>
      <c r="C1002" s="14" t="s">
        <v>28</v>
      </c>
      <c r="D1002" s="15">
        <f>IFERROR(__xludf.DUMMYFUNCTION("GOOGLEFINANCE(""ASX:GUE"", ""price"")"),0.07)</f>
        <v>0.07</v>
      </c>
      <c r="E1002" s="8">
        <f>IFERROR(__xludf.DUMMYFUNCTION("GOOGLEFINANCE(""ASX:GUE"", ""closeyest"")"),0.07)</f>
        <v>0.07</v>
      </c>
      <c r="F1002" s="5" t="str">
        <f>IFERROR(__xludf.DUMMYFUNCTION("GOOGLEFINANCE(""ASX:GUE"", ""pe"")"),"#N/A")</f>
        <v>#N/A</v>
      </c>
      <c r="G1002" s="9">
        <f>IFERROR(__xludf.DUMMYFUNCTION("GOOGLEFINANCE(""ASX:GUE"", ""high52"")"),0.09)</f>
        <v>0.09</v>
      </c>
      <c r="H1002" s="9">
        <f>IFERROR(__xludf.DUMMYFUNCTION("GOOGLEFINANCE(""ASX:GUE"", ""low52"")"),0.05)</f>
        <v>0.05</v>
      </c>
      <c r="I1002" s="9">
        <f>IFERROR(__xludf.DUMMYFUNCTION("GOOGLEFINANCE(""ASX:GUE"", ""marketcap"")"),3.1605089E7)</f>
        <v>31605089</v>
      </c>
      <c r="J1002" s="5"/>
      <c r="K1002" s="5"/>
      <c r="L1002" s="5"/>
      <c r="M1002" s="5"/>
      <c r="N1002" s="11" t="s">
        <v>19</v>
      </c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>
      <c r="A1003" s="6" t="s">
        <v>2019</v>
      </c>
      <c r="B1003" s="6" t="s">
        <v>2020</v>
      </c>
      <c r="C1003" s="5" t="s">
        <v>18</v>
      </c>
      <c r="D1003" s="7">
        <f>IFERROR(__xludf.DUMMYFUNCTION("GOOGLEFINANCE(""ASX:GUL"", ""price"")"),0.11)</f>
        <v>0.11</v>
      </c>
      <c r="E1003" s="8">
        <f>IFERROR(__xludf.DUMMYFUNCTION("GOOGLEFINANCE(""ASX:GUL"", ""closeyest"")"),0.11)</f>
        <v>0.11</v>
      </c>
      <c r="F1003" s="9">
        <f>IFERROR(__xludf.DUMMYFUNCTION("GOOGLEFINANCE(""ASX:GUL"", ""pe"")"),14.69)</f>
        <v>14.69</v>
      </c>
      <c r="G1003" s="9">
        <f>IFERROR(__xludf.DUMMYFUNCTION("GOOGLEFINANCE(""ASX:GUL"", ""high52"")"),0.11)</f>
        <v>0.11</v>
      </c>
      <c r="H1003" s="9">
        <f>IFERROR(__xludf.DUMMYFUNCTION("GOOGLEFINANCE(""ASX:GUL"", ""low52"")"),0.04)</f>
        <v>0.04</v>
      </c>
      <c r="I1003" s="9">
        <f>IFERROR(__xludf.DUMMYFUNCTION("GOOGLEFINANCE(""ASX:GUL"", ""marketcap"")"),2.2892319E7)</f>
        <v>22892319</v>
      </c>
      <c r="J1003" s="5"/>
      <c r="K1003" s="5"/>
      <c r="L1003" s="5"/>
      <c r="M1003" s="5"/>
      <c r="N1003" s="10">
        <v>13.22</v>
      </c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>
      <c r="A1004" s="6" t="s">
        <v>2021</v>
      </c>
      <c r="B1004" s="6" t="s">
        <v>2022</v>
      </c>
      <c r="C1004" s="5" t="s">
        <v>70</v>
      </c>
      <c r="D1004" s="7">
        <f>IFERROR(__xludf.DUMMYFUNCTION("GOOGLEFINANCE(""ASX:GUM"", ""price"")"),0.12)</f>
        <v>0.12</v>
      </c>
      <c r="E1004" s="8">
        <f>IFERROR(__xludf.DUMMYFUNCTION("GOOGLEFINANCE(""ASX:GUM"", ""closeyest"")"),0.12)</f>
        <v>0.12</v>
      </c>
      <c r="F1004" s="5" t="str">
        <f>IFERROR(__xludf.DUMMYFUNCTION("GOOGLEFINANCE(""ASX:GUM"", ""pe"")"),"#N/A")</f>
        <v>#N/A</v>
      </c>
      <c r="G1004" s="9">
        <f>IFERROR(__xludf.DUMMYFUNCTION("GOOGLEFINANCE(""ASX:GUM"", ""high52"")"),0.24)</f>
        <v>0.24</v>
      </c>
      <c r="H1004" s="9">
        <f>IFERROR(__xludf.DUMMYFUNCTION("GOOGLEFINANCE(""ASX:GUM"", ""low52"")"),0.09)</f>
        <v>0.09</v>
      </c>
      <c r="I1004" s="9">
        <f>IFERROR(__xludf.DUMMYFUNCTION("GOOGLEFINANCE(""ASX:GUM"", ""marketcap"")"),3.854982E7)</f>
        <v>38549820</v>
      </c>
      <c r="J1004" s="5"/>
      <c r="K1004" s="5"/>
      <c r="L1004" s="5"/>
      <c r="M1004" s="5"/>
      <c r="N1004" s="11" t="s">
        <v>19</v>
      </c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>
      <c r="A1005" s="6" t="s">
        <v>2023</v>
      </c>
      <c r="B1005" s="6" t="s">
        <v>2024</v>
      </c>
      <c r="C1005" s="5" t="s">
        <v>171</v>
      </c>
      <c r="D1005" s="7">
        <f>IFERROR(__xludf.DUMMYFUNCTION("GOOGLEFINANCE(""ASX:GVF"", ""price"")"),1.4)</f>
        <v>1.4</v>
      </c>
      <c r="E1005" s="8">
        <f>IFERROR(__xludf.DUMMYFUNCTION("GOOGLEFINANCE(""ASX:GVF"", ""closeyest"")"),1.4)</f>
        <v>1.4</v>
      </c>
      <c r="F1005" s="9">
        <f>IFERROR(__xludf.DUMMYFUNCTION("GOOGLEFINANCE(""ASX:GVF"", ""pe"")"),10.11)</f>
        <v>10.11</v>
      </c>
      <c r="G1005" s="9">
        <f>IFERROR(__xludf.DUMMYFUNCTION("GOOGLEFINANCE(""ASX:GVF"", ""high52"")"),1.48)</f>
        <v>1.48</v>
      </c>
      <c r="H1005" s="9">
        <f>IFERROR(__xludf.DUMMYFUNCTION("GOOGLEFINANCE(""ASX:GVF"", ""low52"")"),1.24)</f>
        <v>1.24</v>
      </c>
      <c r="I1005" s="9">
        <f>IFERROR(__xludf.DUMMYFUNCTION("GOOGLEFINANCE(""ASX:GVF"", ""marketcap"")"),2.81969795E8)</f>
        <v>281969795</v>
      </c>
      <c r="J1005" s="5"/>
      <c r="K1005" s="5"/>
      <c r="L1005" s="5"/>
      <c r="M1005" s="5"/>
      <c r="N1005" s="10">
        <v>10.21</v>
      </c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>
      <c r="A1006" s="6" t="s">
        <v>2025</v>
      </c>
      <c r="B1006" s="6" t="s">
        <v>2026</v>
      </c>
      <c r="C1006" s="5" t="s">
        <v>18</v>
      </c>
      <c r="D1006" s="7">
        <f>IFERROR(__xludf.DUMMYFUNCTION("GOOGLEFINANCE(""ASX:GW1"", ""price"")"),0.04)</f>
        <v>0.04</v>
      </c>
      <c r="E1006" s="8">
        <f>IFERROR(__xludf.DUMMYFUNCTION("GOOGLEFINANCE(""ASX:GW1"", ""closeyest"")"),0.04)</f>
        <v>0.04</v>
      </c>
      <c r="F1006" s="9">
        <f>IFERROR(__xludf.DUMMYFUNCTION("GOOGLEFINANCE(""ASX:GW1"", ""pe"")"),2.23)</f>
        <v>2.23</v>
      </c>
      <c r="G1006" s="9">
        <f>IFERROR(__xludf.DUMMYFUNCTION("GOOGLEFINANCE(""ASX:GW1"", ""high52"")"),0.05)</f>
        <v>0.05</v>
      </c>
      <c r="H1006" s="9">
        <f>IFERROR(__xludf.DUMMYFUNCTION("GOOGLEFINANCE(""ASX:GW1"", ""low52"")"),0.02)</f>
        <v>0.02</v>
      </c>
      <c r="I1006" s="9">
        <f>IFERROR(__xludf.DUMMYFUNCTION("GOOGLEFINANCE(""ASX:GW1"", ""marketcap"")"),1.4364636E7)</f>
        <v>14364636</v>
      </c>
      <c r="J1006" s="5"/>
      <c r="K1006" s="5"/>
      <c r="L1006" s="5"/>
      <c r="M1006" s="5"/>
      <c r="N1006" s="10">
        <v>2.17</v>
      </c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>
      <c r="A1007" s="6" t="s">
        <v>2027</v>
      </c>
      <c r="B1007" s="6" t="s">
        <v>2028</v>
      </c>
      <c r="C1007" s="5" t="s">
        <v>1666</v>
      </c>
      <c r="D1007" s="7">
        <f>IFERROR(__xludf.DUMMYFUNCTION("GOOGLEFINANCE(""ASX:GWA"", ""price"")"),2.51)</f>
        <v>2.51</v>
      </c>
      <c r="E1007" s="8">
        <f>IFERROR(__xludf.DUMMYFUNCTION("GOOGLEFINANCE(""ASX:GWA"", ""closeyest"")"),2.55)</f>
        <v>2.55</v>
      </c>
      <c r="F1007" s="9">
        <f>IFERROR(__xludf.DUMMYFUNCTION("GOOGLEFINANCE(""ASX:GWA"", ""pe"")"),15.35)</f>
        <v>15.35</v>
      </c>
      <c r="G1007" s="9">
        <f>IFERROR(__xludf.DUMMYFUNCTION("GOOGLEFINANCE(""ASX:GWA"", ""high52"")"),2.79)</f>
        <v>2.79</v>
      </c>
      <c r="H1007" s="9">
        <f>IFERROR(__xludf.DUMMYFUNCTION("GOOGLEFINANCE(""ASX:GWA"", ""low52"")"),2.11)</f>
        <v>2.11</v>
      </c>
      <c r="I1007" s="9">
        <f>IFERROR(__xludf.DUMMYFUNCTION("GOOGLEFINANCE(""ASX:GWA"", ""marketcap"")"),6.65664798E8)</f>
        <v>665664798</v>
      </c>
      <c r="J1007" s="5"/>
      <c r="K1007" s="5"/>
      <c r="L1007" s="5"/>
      <c r="M1007" s="5"/>
      <c r="N1007" s="10">
        <v>15.35</v>
      </c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>
      <c r="A1008" s="6" t="s">
        <v>2029</v>
      </c>
      <c r="B1008" s="6" t="s">
        <v>2030</v>
      </c>
      <c r="C1008" s="5" t="s">
        <v>961</v>
      </c>
      <c r="D1008" s="7">
        <f>IFERROR(__xludf.DUMMYFUNCTION("GOOGLEFINANCE(""ASX:GWR"", ""price"")"),0.12)</f>
        <v>0.12</v>
      </c>
      <c r="E1008" s="8">
        <f>IFERROR(__xludf.DUMMYFUNCTION("GOOGLEFINANCE(""ASX:GWR"", ""closeyest"")"),0.11)</f>
        <v>0.11</v>
      </c>
      <c r="F1008" s="9">
        <f>IFERROR(__xludf.DUMMYFUNCTION("GOOGLEFINANCE(""ASX:GWR"", ""pe"")"),4.55)</f>
        <v>4.55</v>
      </c>
      <c r="G1008" s="9">
        <f>IFERROR(__xludf.DUMMYFUNCTION("GOOGLEFINANCE(""ASX:GWR"", ""high52"")"),0.15)</f>
        <v>0.15</v>
      </c>
      <c r="H1008" s="9">
        <f>IFERROR(__xludf.DUMMYFUNCTION("GOOGLEFINANCE(""ASX:GWR"", ""low52"")"),0.08)</f>
        <v>0.08</v>
      </c>
      <c r="I1008" s="9">
        <f>IFERROR(__xludf.DUMMYFUNCTION("GOOGLEFINANCE(""ASX:GWR"", ""marketcap"")"),3.5664145E7)</f>
        <v>35664145</v>
      </c>
      <c r="J1008" s="5"/>
      <c r="K1008" s="5"/>
      <c r="L1008" s="5"/>
      <c r="M1008" s="5"/>
      <c r="N1008" s="10">
        <v>4.55</v>
      </c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>
      <c r="A1009" s="6" t="s">
        <v>2031</v>
      </c>
      <c r="B1009" s="6" t="s">
        <v>2032</v>
      </c>
      <c r="C1009" s="5" t="s">
        <v>36</v>
      </c>
      <c r="D1009" s="7">
        <f>IFERROR(__xludf.DUMMYFUNCTION("GOOGLEFINANCE(""ASX:GWTH"", ""price"")"),20.63)</f>
        <v>20.63</v>
      </c>
      <c r="E1009" s="8">
        <f>IFERROR(__xludf.DUMMYFUNCTION("GOOGLEFINANCE(""ASX:GWTH"", ""closeyest"")"),20.64)</f>
        <v>20.64</v>
      </c>
      <c r="F1009" s="5" t="str">
        <f>IFERROR(__xludf.DUMMYFUNCTION("GOOGLEFINANCE(""ASX:GWTH"", ""pe"")"),"#N/A")</f>
        <v>#N/A</v>
      </c>
      <c r="G1009" s="9">
        <f>IFERROR(__xludf.DUMMYFUNCTION("GOOGLEFINANCE(""ASX:GWTH"", ""high52"")"),22.2)</f>
        <v>22.2</v>
      </c>
      <c r="H1009" s="9">
        <f>IFERROR(__xludf.DUMMYFUNCTION("GOOGLEFINANCE(""ASX:GWTH"", ""low52"")"),19.83)</f>
        <v>19.83</v>
      </c>
      <c r="I1009" s="9" t="str">
        <f>IFERROR(__xludf.DUMMYFUNCTION("GOOGLEFINANCE(""ASX:GWTH"", ""marketcap"")"),"#N/A")</f>
        <v>#N/A</v>
      </c>
      <c r="J1009" s="5"/>
      <c r="K1009" s="5"/>
      <c r="L1009" s="5"/>
      <c r="M1009" s="5"/>
      <c r="N1009" s="11" t="s">
        <v>19</v>
      </c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>
      <c r="A1010" s="6" t="s">
        <v>2033</v>
      </c>
      <c r="B1010" s="6" t="s">
        <v>2034</v>
      </c>
      <c r="C1010" s="5" t="s">
        <v>36</v>
      </c>
      <c r="D1010" s="7">
        <f>IFERROR(__xludf.DUMMYFUNCTION("GOOGLEFINANCE(""ASX:GXAI"", ""price"")"),14.96)</f>
        <v>14.96</v>
      </c>
      <c r="E1010" s="8">
        <f>IFERROR(__xludf.DUMMYFUNCTION("GOOGLEFINANCE(""ASX:GXAI"", ""closeyest"")"),15.0)</f>
        <v>15</v>
      </c>
      <c r="F1010" s="5" t="str">
        <f>IFERROR(__xludf.DUMMYFUNCTION("GOOGLEFINANCE(""ASX:GXAI"", ""pe"")"),"#N/A")</f>
        <v>#N/A</v>
      </c>
      <c r="G1010" s="9">
        <f>IFERROR(__xludf.DUMMYFUNCTION("GOOGLEFINANCE(""ASX:GXAI"", ""high52"")"),15.84)</f>
        <v>15.84</v>
      </c>
      <c r="H1010" s="9">
        <f>IFERROR(__xludf.DUMMYFUNCTION("GOOGLEFINANCE(""ASX:GXAI"", ""low52"")"),9.94)</f>
        <v>9.94</v>
      </c>
      <c r="I1010" s="9" t="str">
        <f>IFERROR(__xludf.DUMMYFUNCTION("GOOGLEFINANCE(""ASX:GXAI"", ""marketcap"")"),"#N/A")</f>
        <v>#N/A</v>
      </c>
      <c r="J1010" s="5"/>
      <c r="K1010" s="5"/>
      <c r="L1010" s="5"/>
      <c r="M1010" s="5"/>
      <c r="N1010" s="11" t="s">
        <v>19</v>
      </c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>
      <c r="A1011" s="6" t="s">
        <v>2035</v>
      </c>
      <c r="B1011" s="6" t="s">
        <v>2036</v>
      </c>
      <c r="C1011" s="5" t="s">
        <v>36</v>
      </c>
      <c r="D1011" s="7">
        <f>IFERROR(__xludf.DUMMYFUNCTION("GOOGLEFINANCE(""ASX:GXLD"", ""price"")"),65.99)</f>
        <v>65.99</v>
      </c>
      <c r="E1011" s="8">
        <f>IFERROR(__xludf.DUMMYFUNCTION("GOOGLEFINANCE(""ASX:GXLD"", ""closeyest"")"),66.28)</f>
        <v>66.28</v>
      </c>
      <c r="F1011" s="5" t="str">
        <f>IFERROR(__xludf.DUMMYFUNCTION("GOOGLEFINANCE(""ASX:GXLD"", ""pe"")"),"#N/A")</f>
        <v>#N/A</v>
      </c>
      <c r="G1011" s="9">
        <f>IFERROR(__xludf.DUMMYFUNCTION("GOOGLEFINANCE(""ASX:GXLD"", ""high52"")"),68.51)</f>
        <v>68.51</v>
      </c>
      <c r="H1011" s="9">
        <f>IFERROR(__xludf.DUMMYFUNCTION("GOOGLEFINANCE(""ASX:GXLD"", ""low52"")"),42.07)</f>
        <v>42.07</v>
      </c>
      <c r="I1011" s="9" t="str">
        <f>IFERROR(__xludf.DUMMYFUNCTION("GOOGLEFINANCE(""ASX:GXLD"", ""marketcap"")"),"#N/A")</f>
        <v>#N/A</v>
      </c>
      <c r="J1011" s="5"/>
      <c r="K1011" s="5"/>
      <c r="L1011" s="5"/>
      <c r="M1011" s="5"/>
      <c r="N1011" s="11" t="s">
        <v>19</v>
      </c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>
      <c r="A1012" s="6" t="s">
        <v>2037</v>
      </c>
      <c r="B1012" s="6" t="s">
        <v>2038</v>
      </c>
      <c r="C1012" s="5" t="s">
        <v>1049</v>
      </c>
      <c r="D1012" s="7">
        <f>IFERROR(__xludf.DUMMYFUNCTION("GOOGLEFINANCE(""ASX:GYG"", ""price"")"),21.08)</f>
        <v>21.08</v>
      </c>
      <c r="E1012" s="8">
        <f>IFERROR(__xludf.DUMMYFUNCTION("GOOGLEFINANCE(""ASX:GYG"", ""closeyest"")"),20.94)</f>
        <v>20.94</v>
      </c>
      <c r="F1012" s="9">
        <f>IFERROR(__xludf.DUMMYFUNCTION("GOOGLEFINANCE(""ASX:GYG"", ""pe"")"),154.22)</f>
        <v>154.22</v>
      </c>
      <c r="G1012" s="9">
        <f>IFERROR(__xludf.DUMMYFUNCTION("GOOGLEFINANCE(""ASX:GYG"", ""high52"")"),45.99)</f>
        <v>45.99</v>
      </c>
      <c r="H1012" s="9">
        <f>IFERROR(__xludf.DUMMYFUNCTION("GOOGLEFINANCE(""ASX:GYG"", ""low52"")"),20.43)</f>
        <v>20.43</v>
      </c>
      <c r="I1012" s="9">
        <f>IFERROR(__xludf.DUMMYFUNCTION("GOOGLEFINANCE(""ASX:GYG"", ""marketcap"")"),2.15272332E9)</f>
        <v>2152723320</v>
      </c>
      <c r="J1012" s="5"/>
      <c r="K1012" s="5"/>
      <c r="L1012" s="5"/>
      <c r="M1012" s="5"/>
      <c r="N1012" s="10">
        <v>157.88</v>
      </c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>
      <c r="A1013" s="6" t="s">
        <v>2039</v>
      </c>
      <c r="B1013" s="6" t="s">
        <v>2040</v>
      </c>
      <c r="C1013" s="5" t="s">
        <v>36</v>
      </c>
      <c r="D1013" s="7">
        <f>IFERROR(__xludf.DUMMYFUNCTION("GOOGLEFINANCE(""ASX:H100"", ""price"")"),13.07)</f>
        <v>13.07</v>
      </c>
      <c r="E1013" s="8">
        <f>IFERROR(__xludf.DUMMYFUNCTION("GOOGLEFINANCE(""ASX:H100"", ""closeyest"")"),12.97)</f>
        <v>12.97</v>
      </c>
      <c r="F1013" s="5" t="str">
        <f>IFERROR(__xludf.DUMMYFUNCTION("GOOGLEFINANCE(""ASX:H100"", ""pe"")"),"#N/A")</f>
        <v>#N/A</v>
      </c>
      <c r="G1013" s="9">
        <f>IFERROR(__xludf.DUMMYFUNCTION("GOOGLEFINANCE(""ASX:H100"", ""high52"")"),13.07)</f>
        <v>13.07</v>
      </c>
      <c r="H1013" s="9">
        <f>IFERROR(__xludf.DUMMYFUNCTION("GOOGLEFINANCE(""ASX:H100"", ""low52"")"),10.26)</f>
        <v>10.26</v>
      </c>
      <c r="I1013" s="9" t="str">
        <f>IFERROR(__xludf.DUMMYFUNCTION("GOOGLEFINANCE(""ASX:H100"", ""marketcap"")"),"#N/A")</f>
        <v>#N/A</v>
      </c>
      <c r="J1013" s="5"/>
      <c r="K1013" s="5"/>
      <c r="L1013" s="5"/>
      <c r="M1013" s="5"/>
      <c r="N1013" s="11" t="s">
        <v>19</v>
      </c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>
      <c r="A1014" s="6" t="s">
        <v>2041</v>
      </c>
      <c r="B1014" s="6" t="s">
        <v>2042</v>
      </c>
      <c r="C1014" s="5" t="s">
        <v>2043</v>
      </c>
      <c r="D1014" s="7">
        <f>IFERROR(__xludf.DUMMYFUNCTION("GOOGLEFINANCE(""ASX:H2G"", ""price"")"),0.01)</f>
        <v>0.01</v>
      </c>
      <c r="E1014" s="8">
        <f>IFERROR(__xludf.DUMMYFUNCTION("GOOGLEFINANCE(""ASX:H2G"", ""closeyest"")"),0.01)</f>
        <v>0.01</v>
      </c>
      <c r="F1014" s="5" t="str">
        <f>IFERROR(__xludf.DUMMYFUNCTION("GOOGLEFINANCE(""ASX:H2G"", ""pe"")"),"#N/A")</f>
        <v>#N/A</v>
      </c>
      <c r="G1014" s="9">
        <f>IFERROR(__xludf.DUMMYFUNCTION("GOOGLEFINANCE(""ASX:H2G"", ""high52"")"),0.03)</f>
        <v>0.03</v>
      </c>
      <c r="H1014" s="9">
        <f>IFERROR(__xludf.DUMMYFUNCTION("GOOGLEFINANCE(""ASX:H2G"", ""low52"")"),0.0)</f>
        <v>0</v>
      </c>
      <c r="I1014" s="9">
        <f>IFERROR(__xludf.DUMMYFUNCTION("GOOGLEFINANCE(""ASX:H2G"", ""marketcap"")"),6947299.0)</f>
        <v>6947299</v>
      </c>
      <c r="J1014" s="5"/>
      <c r="K1014" s="5"/>
      <c r="L1014" s="5"/>
      <c r="M1014" s="5"/>
      <c r="N1014" s="11" t="s">
        <v>19</v>
      </c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>
      <c r="A1015" s="6" t="s">
        <v>2044</v>
      </c>
      <c r="B1015" s="6" t="s">
        <v>2045</v>
      </c>
      <c r="C1015" s="5" t="s">
        <v>78</v>
      </c>
      <c r="D1015" s="7">
        <f>IFERROR(__xludf.DUMMYFUNCTION("GOOGLEFINANCE(""ASX:H3E"", ""price"")"),0.01)</f>
        <v>0.01</v>
      </c>
      <c r="E1015" s="8">
        <f>IFERROR(__xludf.DUMMYFUNCTION("GOOGLEFINANCE(""ASX:H3E"", ""closeyest"")"),0.01)</f>
        <v>0.01</v>
      </c>
      <c r="F1015" s="5" t="str">
        <f>IFERROR(__xludf.DUMMYFUNCTION("GOOGLEFINANCE(""ASX:H3E"", ""pe"")"),"#N/A")</f>
        <v>#N/A</v>
      </c>
      <c r="G1015" s="9">
        <f>IFERROR(__xludf.DUMMYFUNCTION("GOOGLEFINANCE(""ASX:H3E"", ""high52"")"),0.01)</f>
        <v>0.01</v>
      </c>
      <c r="H1015" s="9">
        <f>IFERROR(__xludf.DUMMYFUNCTION("GOOGLEFINANCE(""ASX:H3E"", ""low52"")"),0.01)</f>
        <v>0.01</v>
      </c>
      <c r="I1015" s="9">
        <f>IFERROR(__xludf.DUMMYFUNCTION("GOOGLEFINANCE(""ASX:H3E"", ""marketcap"")"),5462480.0)</f>
        <v>5462480</v>
      </c>
      <c r="J1015" s="5"/>
      <c r="K1015" s="5"/>
      <c r="L1015" s="5"/>
      <c r="M1015" s="5"/>
      <c r="N1015" s="11" t="s">
        <v>19</v>
      </c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>
      <c r="A1016" s="6" t="s">
        <v>2046</v>
      </c>
      <c r="B1016" s="6" t="s">
        <v>2047</v>
      </c>
      <c r="C1016" s="5" t="s">
        <v>36</v>
      </c>
      <c r="D1016" s="7">
        <f>IFERROR(__xludf.DUMMYFUNCTION("GOOGLEFINANCE(""ASX:HACK"", ""price"")"),14.19)</f>
        <v>14.19</v>
      </c>
      <c r="E1016" s="8">
        <f>IFERROR(__xludf.DUMMYFUNCTION("GOOGLEFINANCE(""ASX:HACK"", ""closeyest"")"),14.17)</f>
        <v>14.17</v>
      </c>
      <c r="F1016" s="5" t="str">
        <f>IFERROR(__xludf.DUMMYFUNCTION("GOOGLEFINANCE(""ASX:HACK"", ""pe"")"),"#N/A")</f>
        <v>#N/A</v>
      </c>
      <c r="G1016" s="9">
        <f>IFERROR(__xludf.DUMMYFUNCTION("GOOGLEFINANCE(""ASX:HACK"", ""high52"")"),15.86)</f>
        <v>15.86</v>
      </c>
      <c r="H1016" s="9">
        <f>IFERROR(__xludf.DUMMYFUNCTION("GOOGLEFINANCE(""ASX:HACK"", ""low52"")"),12.4)</f>
        <v>12.4</v>
      </c>
      <c r="I1016" s="9" t="str">
        <f>IFERROR(__xludf.DUMMYFUNCTION("GOOGLEFINANCE(""ASX:HACK"", ""marketcap"")"),"#N/A")</f>
        <v>#N/A</v>
      </c>
      <c r="J1016" s="5"/>
      <c r="K1016" s="5"/>
      <c r="L1016" s="5"/>
      <c r="M1016" s="5"/>
      <c r="N1016" s="11" t="s">
        <v>19</v>
      </c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>
      <c r="A1017" s="6" t="s">
        <v>2048</v>
      </c>
      <c r="B1017" s="6" t="s">
        <v>2049</v>
      </c>
      <c r="C1017" s="5" t="s">
        <v>33</v>
      </c>
      <c r="D1017" s="7">
        <f>IFERROR(__xludf.DUMMYFUNCTION("GOOGLEFINANCE(""ASX:HAL"", ""price"")"),0.03)</f>
        <v>0.03</v>
      </c>
      <c r="E1017" s="8">
        <f>IFERROR(__xludf.DUMMYFUNCTION("GOOGLEFINANCE(""ASX:HAL"", ""closeyest"")"),0.03)</f>
        <v>0.03</v>
      </c>
      <c r="F1017" s="5" t="str">
        <f>IFERROR(__xludf.DUMMYFUNCTION("GOOGLEFINANCE(""ASX:HAL"", ""pe"")"),"#N/A")</f>
        <v>#N/A</v>
      </c>
      <c r="G1017" s="9">
        <f>IFERROR(__xludf.DUMMYFUNCTION("GOOGLEFINANCE(""ASX:HAL"", ""high52"")"),0.09)</f>
        <v>0.09</v>
      </c>
      <c r="H1017" s="9">
        <f>IFERROR(__xludf.DUMMYFUNCTION("GOOGLEFINANCE(""ASX:HAL"", ""low52"")"),0.02)</f>
        <v>0.02</v>
      </c>
      <c r="I1017" s="9">
        <f>IFERROR(__xludf.DUMMYFUNCTION("GOOGLEFINANCE(""ASX:HAL"", ""marketcap"")"),9955132.0)</f>
        <v>9955132</v>
      </c>
      <c r="J1017" s="5"/>
      <c r="K1017" s="5"/>
      <c r="L1017" s="5"/>
      <c r="M1017" s="5"/>
      <c r="N1017" s="11" t="s">
        <v>19</v>
      </c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>
      <c r="A1018" s="6" t="s">
        <v>2050</v>
      </c>
      <c r="B1018" s="6" t="s">
        <v>2051</v>
      </c>
      <c r="C1018" s="5" t="s">
        <v>18</v>
      </c>
      <c r="D1018" s="7">
        <f>IFERROR(__xludf.DUMMYFUNCTION("GOOGLEFINANCE(""ASX:HAR"", ""price"")"),0.2)</f>
        <v>0.2</v>
      </c>
      <c r="E1018" s="8">
        <f>IFERROR(__xludf.DUMMYFUNCTION("GOOGLEFINANCE(""ASX:HAR"", ""closeyest"")"),0.19)</f>
        <v>0.19</v>
      </c>
      <c r="F1018" s="5" t="str">
        <f>IFERROR(__xludf.DUMMYFUNCTION("GOOGLEFINANCE(""ASX:HAR"", ""pe"")"),"#N/A")</f>
        <v>#N/A</v>
      </c>
      <c r="G1018" s="9">
        <f>IFERROR(__xludf.DUMMYFUNCTION("GOOGLEFINANCE(""ASX:HAR"", ""high52"")"),0.25)</f>
        <v>0.25</v>
      </c>
      <c r="H1018" s="9">
        <f>IFERROR(__xludf.DUMMYFUNCTION("GOOGLEFINANCE(""ASX:HAR"", ""low52"")"),0.04)</f>
        <v>0.04</v>
      </c>
      <c r="I1018" s="9">
        <f>IFERROR(__xludf.DUMMYFUNCTION("GOOGLEFINANCE(""ASX:HAR"", ""marketcap"")"),7.8417414E7)</f>
        <v>78417414</v>
      </c>
      <c r="J1018" s="5"/>
      <c r="K1018" s="5"/>
      <c r="L1018" s="5"/>
      <c r="M1018" s="5"/>
      <c r="N1018" s="11" t="s">
        <v>19</v>
      </c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>
      <c r="A1019" s="6" t="s">
        <v>2052</v>
      </c>
      <c r="B1019" s="6" t="s">
        <v>2053</v>
      </c>
      <c r="C1019" s="5" t="s">
        <v>450</v>
      </c>
      <c r="D1019" s="7">
        <f>IFERROR(__xludf.DUMMYFUNCTION("GOOGLEFINANCE(""ASX:HAS"", ""price"")"),0.63)</f>
        <v>0.63</v>
      </c>
      <c r="E1019" s="8">
        <f>IFERROR(__xludf.DUMMYFUNCTION("GOOGLEFINANCE(""ASX:HAS"", ""closeyest"")"),0.56)</f>
        <v>0.56</v>
      </c>
      <c r="F1019" s="5" t="str">
        <f>IFERROR(__xludf.DUMMYFUNCTION("GOOGLEFINANCE(""ASX:HAS"", ""pe"")"),"#N/A")</f>
        <v>#N/A</v>
      </c>
      <c r="G1019" s="9">
        <f>IFERROR(__xludf.DUMMYFUNCTION("GOOGLEFINANCE(""ASX:HAS"", ""high52"")"),1.03)</f>
        <v>1.03</v>
      </c>
      <c r="H1019" s="9">
        <f>IFERROR(__xludf.DUMMYFUNCTION("GOOGLEFINANCE(""ASX:HAS"", ""low52"")"),0.25)</f>
        <v>0.25</v>
      </c>
      <c r="I1019" s="9">
        <f>IFERROR(__xludf.DUMMYFUNCTION("GOOGLEFINANCE(""ASX:HAS"", ""marketcap"")"),1.38457555E8)</f>
        <v>138457555</v>
      </c>
      <c r="J1019" s="5"/>
      <c r="K1019" s="5"/>
      <c r="L1019" s="5"/>
      <c r="M1019" s="5"/>
      <c r="N1019" s="11" t="s">
        <v>19</v>
      </c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>
      <c r="A1020" s="6" t="s">
        <v>2054</v>
      </c>
      <c r="B1020" s="6" t="s">
        <v>2055</v>
      </c>
      <c r="C1020" s="5" t="s">
        <v>18</v>
      </c>
      <c r="D1020" s="7">
        <f>IFERROR(__xludf.DUMMYFUNCTION("GOOGLEFINANCE(""ASX:HAV"", ""price"")"),0.59)</f>
        <v>0.59</v>
      </c>
      <c r="E1020" s="8">
        <f>IFERROR(__xludf.DUMMYFUNCTION("GOOGLEFINANCE(""ASX:HAV"", ""closeyest"")"),0.6)</f>
        <v>0.6</v>
      </c>
      <c r="F1020" s="5" t="str">
        <f>IFERROR(__xludf.DUMMYFUNCTION("GOOGLEFINANCE(""ASX:HAV"", ""pe"")"),"#N/A")</f>
        <v>#N/A</v>
      </c>
      <c r="G1020" s="9">
        <f>IFERROR(__xludf.DUMMYFUNCTION("GOOGLEFINANCE(""ASX:HAV"", ""high52"")"),0.63)</f>
        <v>0.63</v>
      </c>
      <c r="H1020" s="9">
        <f>IFERROR(__xludf.DUMMYFUNCTION("GOOGLEFINANCE(""ASX:HAV"", ""low52"")"),0.17)</f>
        <v>0.17</v>
      </c>
      <c r="I1020" s="9">
        <f>IFERROR(__xludf.DUMMYFUNCTION("GOOGLEFINANCE(""ASX:HAV"", ""marketcap"")"),2.07601697E8)</f>
        <v>207601697</v>
      </c>
      <c r="J1020" s="5"/>
      <c r="K1020" s="5"/>
      <c r="L1020" s="5"/>
      <c r="M1020" s="5"/>
      <c r="N1020" s="11" t="s">
        <v>19</v>
      </c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>
      <c r="A1021" s="6" t="s">
        <v>2056</v>
      </c>
      <c r="B1021" s="6" t="s">
        <v>2057</v>
      </c>
      <c r="C1021" s="5" t="s">
        <v>18</v>
      </c>
      <c r="D1021" s="7">
        <f>IFERROR(__xludf.DUMMYFUNCTION("GOOGLEFINANCE(""ASX:HAW"", ""price"")"),0.11)</f>
        <v>0.11</v>
      </c>
      <c r="E1021" s="8">
        <f>IFERROR(__xludf.DUMMYFUNCTION("GOOGLEFINANCE(""ASX:HAW"", ""closeyest"")"),0.11)</f>
        <v>0.11</v>
      </c>
      <c r="F1021" s="5" t="str">
        <f>IFERROR(__xludf.DUMMYFUNCTION("GOOGLEFINANCE(""ASX:HAW"", ""pe"")"),"#N/A")</f>
        <v>#N/A</v>
      </c>
      <c r="G1021" s="9">
        <f>IFERROR(__xludf.DUMMYFUNCTION("GOOGLEFINANCE(""ASX:HAW"", ""high52"")"),0.13)</f>
        <v>0.13</v>
      </c>
      <c r="H1021" s="9">
        <f>IFERROR(__xludf.DUMMYFUNCTION("GOOGLEFINANCE(""ASX:HAW"", ""low52"")"),0.04)</f>
        <v>0.04</v>
      </c>
      <c r="I1021" s="9">
        <f>IFERROR(__xludf.DUMMYFUNCTION("GOOGLEFINANCE(""ASX:HAW"", ""marketcap"")"),3.6851715E7)</f>
        <v>36851715</v>
      </c>
      <c r="J1021" s="5"/>
      <c r="K1021" s="5"/>
      <c r="L1021" s="5"/>
      <c r="M1021" s="5"/>
      <c r="N1021" s="11" t="s">
        <v>19</v>
      </c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>
      <c r="A1022" s="6" t="s">
        <v>2058</v>
      </c>
      <c r="B1022" s="6" t="s">
        <v>2059</v>
      </c>
      <c r="C1022" s="5" t="s">
        <v>36</v>
      </c>
      <c r="D1022" s="7" t="str">
        <f>IFERROR(__xludf.DUMMYFUNCTION("GOOGLEFINANCE(""ASX:HBRD"", ""price"")"),"#N/A")</f>
        <v>#N/A</v>
      </c>
      <c r="E1022" s="8" t="str">
        <f>IFERROR(__xludf.DUMMYFUNCTION("GOOGLEFINANCE(""ASX:HBRD"", ""closeyest"")"),"#N/A")</f>
        <v>#N/A</v>
      </c>
      <c r="F1022" s="5" t="str">
        <f>IFERROR(__xludf.DUMMYFUNCTION("GOOGLEFINANCE(""ASX:HBRD"", ""pe"")"),"#N/A")</f>
        <v>#N/A</v>
      </c>
      <c r="G1022" s="5" t="str">
        <f>IFERROR(__xludf.DUMMYFUNCTION("GOOGLEFINANCE(""ASX:HBRD"", ""high52"")"),"#N/A")</f>
        <v>#N/A</v>
      </c>
      <c r="H1022" s="5" t="str">
        <f>IFERROR(__xludf.DUMMYFUNCTION("GOOGLEFINANCE(""ASX:HBRD"", ""low52"")"),"#N/A")</f>
        <v>#N/A</v>
      </c>
      <c r="I1022" s="9" t="str">
        <f>IFERROR(__xludf.DUMMYFUNCTION("GOOGLEFINANCE(""ASX:HBRD"", ""marketcap"")"),"#N/A")</f>
        <v>#N/A</v>
      </c>
      <c r="J1022" s="12">
        <v>10.09</v>
      </c>
      <c r="K1022" s="12">
        <v>10.11</v>
      </c>
      <c r="L1022" s="12">
        <v>10.2</v>
      </c>
      <c r="M1022" s="12">
        <v>9.92</v>
      </c>
      <c r="N1022" s="11" t="s">
        <v>19</v>
      </c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>
      <c r="A1023" s="6" t="s">
        <v>2060</v>
      </c>
      <c r="B1023" s="6" t="s">
        <v>2061</v>
      </c>
      <c r="C1023" s="5" t="s">
        <v>78</v>
      </c>
      <c r="D1023" s="7">
        <f>IFERROR(__xludf.DUMMYFUNCTION("GOOGLEFINANCE(""ASX:HCD"", ""price"")"),0.0)</f>
        <v>0</v>
      </c>
      <c r="E1023" s="8">
        <f>IFERROR(__xludf.DUMMYFUNCTION("GOOGLEFINANCE(""ASX:HCD"", ""closeyest"")"),0.0)</f>
        <v>0</v>
      </c>
      <c r="F1023" s="5" t="str">
        <f>IFERROR(__xludf.DUMMYFUNCTION("GOOGLEFINANCE(""ASX:HCD"", ""pe"")"),"#N/A")</f>
        <v>#N/A</v>
      </c>
      <c r="G1023" s="9">
        <f>IFERROR(__xludf.DUMMYFUNCTION("GOOGLEFINANCE(""ASX:HCD"", ""high52"")"),0.0)</f>
        <v>0</v>
      </c>
      <c r="H1023" s="9">
        <f>IFERROR(__xludf.DUMMYFUNCTION("GOOGLEFINANCE(""ASX:HCD"", ""low52"")"),0.0)</f>
        <v>0</v>
      </c>
      <c r="I1023" s="9">
        <f>IFERROR(__xludf.DUMMYFUNCTION("GOOGLEFINANCE(""ASX:HCD"", ""marketcap"")"),4312440.0)</f>
        <v>4312440</v>
      </c>
      <c r="J1023" s="12">
        <v>0.003</v>
      </c>
      <c r="K1023" s="12">
        <v>0.003</v>
      </c>
      <c r="L1023" s="12">
        <v>0.003</v>
      </c>
      <c r="M1023" s="12">
        <v>0.001</v>
      </c>
      <c r="N1023" s="11" t="s">
        <v>19</v>
      </c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>
      <c r="A1024" s="6" t="s">
        <v>2062</v>
      </c>
      <c r="B1024" s="6" t="s">
        <v>2063</v>
      </c>
      <c r="C1024" s="5" t="s">
        <v>171</v>
      </c>
      <c r="D1024" s="7">
        <f>IFERROR(__xludf.DUMMYFUNCTION("GOOGLEFINANCE(""ASX:HCF"", ""price"")"),0.03)</f>
        <v>0.03</v>
      </c>
      <c r="E1024" s="8">
        <f>IFERROR(__xludf.DUMMYFUNCTION("GOOGLEFINANCE(""ASX:HCF"", ""closeyest"")"),0.03)</f>
        <v>0.03</v>
      </c>
      <c r="F1024" s="5" t="str">
        <f>IFERROR(__xludf.DUMMYFUNCTION("GOOGLEFINANCE(""ASX:HCF"", ""pe"")"),"#N/A")</f>
        <v>#N/A</v>
      </c>
      <c r="G1024" s="9">
        <f>IFERROR(__xludf.DUMMYFUNCTION("GOOGLEFINANCE(""ASX:HCF"", ""high52"")"),0.93)</f>
        <v>0.93</v>
      </c>
      <c r="H1024" s="9">
        <f>IFERROR(__xludf.DUMMYFUNCTION("GOOGLEFINANCE(""ASX:HCF"", ""low52"")"),0.02)</f>
        <v>0.02</v>
      </c>
      <c r="I1024" s="9">
        <f>IFERROR(__xludf.DUMMYFUNCTION("GOOGLEFINANCE(""ASX:HCF"", ""marketcap"")"),523970.0)</f>
        <v>523970</v>
      </c>
      <c r="J1024" s="5"/>
      <c r="K1024" s="5"/>
      <c r="L1024" s="5"/>
      <c r="M1024" s="5"/>
      <c r="N1024" s="11" t="s">
        <v>19</v>
      </c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>
      <c r="A1025" s="6" t="s">
        <v>2064</v>
      </c>
      <c r="B1025" s="6" t="s">
        <v>2065</v>
      </c>
      <c r="C1025" s="5" t="s">
        <v>39</v>
      </c>
      <c r="D1025" s="7">
        <f>IFERROR(__xludf.DUMMYFUNCTION("GOOGLEFINANCE(""ASX:HCH"", ""price"")"),1.66)</f>
        <v>1.66</v>
      </c>
      <c r="E1025" s="8">
        <f>IFERROR(__xludf.DUMMYFUNCTION("GOOGLEFINANCE(""ASX:HCH"", ""closeyest"")"),1.68)</f>
        <v>1.68</v>
      </c>
      <c r="F1025" s="5" t="str">
        <f>IFERROR(__xludf.DUMMYFUNCTION("GOOGLEFINANCE(""ASX:HCH"", ""pe"")"),"#N/A")</f>
        <v>#N/A</v>
      </c>
      <c r="G1025" s="9">
        <f>IFERROR(__xludf.DUMMYFUNCTION("GOOGLEFINANCE(""ASX:HCH"", ""high52"")"),1.73)</f>
        <v>1.73</v>
      </c>
      <c r="H1025" s="9">
        <f>IFERROR(__xludf.DUMMYFUNCTION("GOOGLEFINANCE(""ASX:HCH"", ""low52"")"),0.4)</f>
        <v>0.4</v>
      </c>
      <c r="I1025" s="9">
        <f>IFERROR(__xludf.DUMMYFUNCTION("GOOGLEFINANCE(""ASX:HCH"", ""marketcap"")"),2.92885179E8)</f>
        <v>292885179</v>
      </c>
      <c r="J1025" s="9">
        <v>0.002</v>
      </c>
      <c r="K1025" s="9">
        <v>0.002</v>
      </c>
      <c r="L1025" s="9">
        <v>0.002</v>
      </c>
      <c r="M1025" s="9">
        <v>0.002</v>
      </c>
      <c r="N1025" s="11" t="s">
        <v>19</v>
      </c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>
      <c r="A1026" s="6" t="s">
        <v>2066</v>
      </c>
      <c r="B1026" s="6" t="s">
        <v>2067</v>
      </c>
      <c r="C1026" s="5" t="s">
        <v>504</v>
      </c>
      <c r="D1026" s="7">
        <f>IFERROR(__xludf.DUMMYFUNCTION("GOOGLEFINANCE(""ASX:HCL"", ""price"")"),0.3)</f>
        <v>0.3</v>
      </c>
      <c r="E1026" s="8">
        <f>IFERROR(__xludf.DUMMYFUNCTION("GOOGLEFINANCE(""ASX:HCL"", ""closeyest"")"),0.3)</f>
        <v>0.3</v>
      </c>
      <c r="F1026" s="5" t="str">
        <f>IFERROR(__xludf.DUMMYFUNCTION("GOOGLEFINANCE(""ASX:HCL"", ""pe"")"),"#N/A")</f>
        <v>#N/A</v>
      </c>
      <c r="G1026" s="9">
        <f>IFERROR(__xludf.DUMMYFUNCTION("GOOGLEFINANCE(""ASX:HCL"", ""high52"")"),0.53)</f>
        <v>0.53</v>
      </c>
      <c r="H1026" s="9">
        <f>IFERROR(__xludf.DUMMYFUNCTION("GOOGLEFINANCE(""ASX:HCL"", ""low52"")"),0.15)</f>
        <v>0.15</v>
      </c>
      <c r="I1026" s="9">
        <f>IFERROR(__xludf.DUMMYFUNCTION("GOOGLEFINANCE(""ASX:HCL"", ""marketcap"")"),3.0804781E7)</f>
        <v>30804781</v>
      </c>
      <c r="J1026" s="5"/>
      <c r="K1026" s="5"/>
      <c r="L1026" s="5"/>
      <c r="M1026" s="5"/>
      <c r="N1026" s="11" t="s">
        <v>19</v>
      </c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>
      <c r="A1027" s="6" t="s">
        <v>2068</v>
      </c>
      <c r="B1027" s="6" t="s">
        <v>2069</v>
      </c>
      <c r="C1027" s="5" t="s">
        <v>36</v>
      </c>
      <c r="D1027" s="7">
        <f>IFERROR(__xludf.DUMMYFUNCTION("GOOGLEFINANCE(""ASX:HCRD"", ""price"")"),25.52)</f>
        <v>25.52</v>
      </c>
      <c r="E1027" s="8">
        <f>IFERROR(__xludf.DUMMYFUNCTION("GOOGLEFINANCE(""ASX:HCRD"", ""closeyest"")"),25.53)</f>
        <v>25.53</v>
      </c>
      <c r="F1027" s="5" t="str">
        <f>IFERROR(__xludf.DUMMYFUNCTION("GOOGLEFINANCE(""ASX:HCRD"", ""pe"")"),"#N/A")</f>
        <v>#N/A</v>
      </c>
      <c r="G1027" s="9">
        <f>IFERROR(__xludf.DUMMYFUNCTION("GOOGLEFINANCE(""ASX:HCRD"", ""high52"")"),25.66)</f>
        <v>25.66</v>
      </c>
      <c r="H1027" s="9">
        <f>IFERROR(__xludf.DUMMYFUNCTION("GOOGLEFINANCE(""ASX:HCRD"", ""low52"")"),24.77)</f>
        <v>24.77</v>
      </c>
      <c r="I1027" s="9" t="str">
        <f>IFERROR(__xludf.DUMMYFUNCTION("GOOGLEFINANCE(""ASX:HCRD"", ""marketcap"")"),"#N/A")</f>
        <v>#N/A</v>
      </c>
      <c r="J1027" s="5"/>
      <c r="K1027" s="5"/>
      <c r="L1027" s="5"/>
      <c r="M1027" s="5"/>
      <c r="N1027" s="11" t="s">
        <v>19</v>
      </c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>
      <c r="A1028" s="6" t="s">
        <v>2070</v>
      </c>
      <c r="B1028" s="6" t="s">
        <v>2071</v>
      </c>
      <c r="C1028" s="5" t="s">
        <v>25</v>
      </c>
      <c r="D1028" s="7">
        <f>IFERROR(__xludf.DUMMYFUNCTION("GOOGLEFINANCE(""ASX:HCT"", ""price"")"),0.09)</f>
        <v>0.09</v>
      </c>
      <c r="E1028" s="8">
        <f>IFERROR(__xludf.DUMMYFUNCTION("GOOGLEFINANCE(""ASX:HCT"", ""closeyest"")"),0.09)</f>
        <v>0.09</v>
      </c>
      <c r="F1028" s="9">
        <f>IFERROR(__xludf.DUMMYFUNCTION("GOOGLEFINANCE(""ASX:HCT"", ""pe"")"),38.94)</f>
        <v>38.94</v>
      </c>
      <c r="G1028" s="9">
        <f>IFERROR(__xludf.DUMMYFUNCTION("GOOGLEFINANCE(""ASX:HCT"", ""high52"")"),0.11)</f>
        <v>0.11</v>
      </c>
      <c r="H1028" s="9">
        <f>IFERROR(__xludf.DUMMYFUNCTION("GOOGLEFINANCE(""ASX:HCT"", ""low52"")"),0.02)</f>
        <v>0.02</v>
      </c>
      <c r="I1028" s="9">
        <f>IFERROR(__xludf.DUMMYFUNCTION("GOOGLEFINANCE(""ASX:HCT"", ""marketcap"")"),3.2009762E7)</f>
        <v>32009762</v>
      </c>
      <c r="J1028" s="5"/>
      <c r="K1028" s="5"/>
      <c r="L1028" s="5"/>
      <c r="M1028" s="5"/>
      <c r="N1028" s="10">
        <v>38.94</v>
      </c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>
      <c r="A1029" s="6" t="s">
        <v>2072</v>
      </c>
      <c r="B1029" s="6" t="s">
        <v>2073</v>
      </c>
      <c r="C1029" s="5" t="s">
        <v>475</v>
      </c>
      <c r="D1029" s="7">
        <f>IFERROR(__xludf.DUMMYFUNCTION("GOOGLEFINANCE(""ASX:HCW"", ""price"")"),0.73)</f>
        <v>0.73</v>
      </c>
      <c r="E1029" s="8">
        <f>IFERROR(__xludf.DUMMYFUNCTION("GOOGLEFINANCE(""ASX:HCW"", ""closeyest"")"),0.73)</f>
        <v>0.73</v>
      </c>
      <c r="F1029" s="5" t="str">
        <f>IFERROR(__xludf.DUMMYFUNCTION("GOOGLEFINANCE(""ASX:HCW"", ""pe"")"),"#N/A")</f>
        <v>#N/A</v>
      </c>
      <c r="G1029" s="9">
        <f>IFERROR(__xludf.DUMMYFUNCTION("GOOGLEFINANCE(""ASX:HCW"", ""high52"")"),1.07)</f>
        <v>1.07</v>
      </c>
      <c r="H1029" s="9">
        <f>IFERROR(__xludf.DUMMYFUNCTION("GOOGLEFINANCE(""ASX:HCW"", ""low52"")"),0.68)</f>
        <v>0.68</v>
      </c>
      <c r="I1029" s="9">
        <f>IFERROR(__xludf.DUMMYFUNCTION("GOOGLEFINANCE(""ASX:HCW"", ""marketcap"")"),4.01628344E8)</f>
        <v>401628344</v>
      </c>
      <c r="J1029" s="5"/>
      <c r="K1029" s="5"/>
      <c r="L1029" s="5"/>
      <c r="M1029" s="5"/>
      <c r="N1029" s="11" t="s">
        <v>19</v>
      </c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>
      <c r="A1030" s="6" t="s">
        <v>2074</v>
      </c>
      <c r="B1030" s="6" t="s">
        <v>2075</v>
      </c>
      <c r="C1030" s="5" t="s">
        <v>418</v>
      </c>
      <c r="D1030" s="7">
        <f>IFERROR(__xludf.DUMMYFUNCTION("GOOGLEFINANCE(""ASX:HDN"", ""price"")"),1.37)</f>
        <v>1.37</v>
      </c>
      <c r="E1030" s="8">
        <f>IFERROR(__xludf.DUMMYFUNCTION("GOOGLEFINANCE(""ASX:HDN"", ""closeyest"")"),1.35)</f>
        <v>1.35</v>
      </c>
      <c r="F1030" s="9">
        <f>IFERROR(__xludf.DUMMYFUNCTION("GOOGLEFINANCE(""ASX:HDN"", ""pe"")"),11.27)</f>
        <v>11.27</v>
      </c>
      <c r="G1030" s="9">
        <f>IFERROR(__xludf.DUMMYFUNCTION("GOOGLEFINANCE(""ASX:HDN"", ""high52"")"),1.42)</f>
        <v>1.42</v>
      </c>
      <c r="H1030" s="9">
        <f>IFERROR(__xludf.DUMMYFUNCTION("GOOGLEFINANCE(""ASX:HDN"", ""low52"")"),1.13)</f>
        <v>1.13</v>
      </c>
      <c r="I1030" s="9">
        <f>IFERROR(__xludf.DUMMYFUNCTION("GOOGLEFINANCE(""ASX:HDN"", ""marketcap"")"),2.850253789E9)</f>
        <v>2850253789</v>
      </c>
      <c r="J1030" s="5"/>
      <c r="K1030" s="5"/>
      <c r="L1030" s="5"/>
      <c r="M1030" s="5"/>
      <c r="N1030" s="10">
        <v>11.35</v>
      </c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>
      <c r="A1031" s="6" t="s">
        <v>2076</v>
      </c>
      <c r="B1031" s="6" t="s">
        <v>2077</v>
      </c>
      <c r="C1031" s="5" t="s">
        <v>78</v>
      </c>
      <c r="D1031" s="7">
        <f>IFERROR(__xludf.DUMMYFUNCTION("GOOGLEFINANCE(""ASX:HE8"", ""price"")"),0.01)</f>
        <v>0.01</v>
      </c>
      <c r="E1031" s="8">
        <f>IFERROR(__xludf.DUMMYFUNCTION("GOOGLEFINANCE(""ASX:HE8"", ""closeyest"")"),0.01)</f>
        <v>0.01</v>
      </c>
      <c r="F1031" s="5" t="str">
        <f>IFERROR(__xludf.DUMMYFUNCTION("GOOGLEFINANCE(""ASX:HE8"", ""pe"")"),"#N/A")</f>
        <v>#N/A</v>
      </c>
      <c r="G1031" s="9">
        <f>IFERROR(__xludf.DUMMYFUNCTION("GOOGLEFINANCE(""ASX:HE8"", ""high52"")"),0.02)</f>
        <v>0.02</v>
      </c>
      <c r="H1031" s="9">
        <f>IFERROR(__xludf.DUMMYFUNCTION("GOOGLEFINANCE(""ASX:HE8"", ""low52"")"),0.01)</f>
        <v>0.01</v>
      </c>
      <c r="I1031" s="9">
        <f>IFERROR(__xludf.DUMMYFUNCTION("GOOGLEFINANCE(""ASX:HE8"", ""marketcap"")"),3.9973251E7)</f>
        <v>39973251</v>
      </c>
      <c r="J1031" s="5"/>
      <c r="K1031" s="5"/>
      <c r="L1031" s="5"/>
      <c r="M1031" s="5"/>
      <c r="N1031" s="11" t="s">
        <v>19</v>
      </c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>
      <c r="A1032" s="6" t="s">
        <v>2078</v>
      </c>
      <c r="B1032" s="6" t="s">
        <v>2079</v>
      </c>
      <c r="C1032" s="5" t="s">
        <v>36</v>
      </c>
      <c r="D1032" s="7">
        <f>IFERROR(__xludf.DUMMYFUNCTION("GOOGLEFINANCE(""ASX:HETH"", ""price"")"),15.96)</f>
        <v>15.96</v>
      </c>
      <c r="E1032" s="8">
        <f>IFERROR(__xludf.DUMMYFUNCTION("GOOGLEFINANCE(""ASX:HETH"", ""closeyest"")"),15.85)</f>
        <v>15.85</v>
      </c>
      <c r="F1032" s="5" t="str">
        <f>IFERROR(__xludf.DUMMYFUNCTION("GOOGLEFINANCE(""ASX:HETH"", ""pe"")"),"#N/A")</f>
        <v>#N/A</v>
      </c>
      <c r="G1032" s="9">
        <f>IFERROR(__xludf.DUMMYFUNCTION("GOOGLEFINANCE(""ASX:HETH"", ""high52"")"),16.0)</f>
        <v>16</v>
      </c>
      <c r="H1032" s="9">
        <f>IFERROR(__xludf.DUMMYFUNCTION("GOOGLEFINANCE(""ASX:HETH"", ""low52"")"),12.11)</f>
        <v>12.11</v>
      </c>
      <c r="I1032" s="9" t="str">
        <f>IFERROR(__xludf.DUMMYFUNCTION("GOOGLEFINANCE(""ASX:HETH"", ""marketcap"")"),"#N/A")</f>
        <v>#N/A</v>
      </c>
      <c r="J1032" s="5"/>
      <c r="K1032" s="5"/>
      <c r="L1032" s="5"/>
      <c r="M1032" s="5"/>
      <c r="N1032" s="11" t="s">
        <v>19</v>
      </c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>
      <c r="A1033" s="6" t="s">
        <v>2080</v>
      </c>
      <c r="B1033" s="6" t="s">
        <v>2081</v>
      </c>
      <c r="C1033" s="5" t="s">
        <v>36</v>
      </c>
      <c r="D1033" s="7">
        <f>IFERROR(__xludf.DUMMYFUNCTION("GOOGLEFINANCE(""ASX:HEUR"", ""price"")"),17.82)</f>
        <v>17.82</v>
      </c>
      <c r="E1033" s="8">
        <f>IFERROR(__xludf.DUMMYFUNCTION("GOOGLEFINANCE(""ASX:HEUR"", ""closeyest"")"),17.75)</f>
        <v>17.75</v>
      </c>
      <c r="F1033" s="5" t="str">
        <f>IFERROR(__xludf.DUMMYFUNCTION("GOOGLEFINANCE(""ASX:HEUR"", ""pe"")"),"#N/A")</f>
        <v>#N/A</v>
      </c>
      <c r="G1033" s="9">
        <f>IFERROR(__xludf.DUMMYFUNCTION("GOOGLEFINANCE(""ASX:HEUR"", ""high52"")"),17.85)</f>
        <v>17.85</v>
      </c>
      <c r="H1033" s="9">
        <f>IFERROR(__xludf.DUMMYFUNCTION("GOOGLEFINANCE(""ASX:HEUR"", ""low52"")"),13.0)</f>
        <v>13</v>
      </c>
      <c r="I1033" s="9" t="str">
        <f>IFERROR(__xludf.DUMMYFUNCTION("GOOGLEFINANCE(""ASX:HEUR"", ""marketcap"")"),"#N/A")</f>
        <v>#N/A</v>
      </c>
      <c r="J1033" s="5"/>
      <c r="K1033" s="5"/>
      <c r="L1033" s="5"/>
      <c r="M1033" s="5"/>
      <c r="N1033" s="11" t="s">
        <v>19</v>
      </c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>
      <c r="A1034" s="6" t="s">
        <v>2082</v>
      </c>
      <c r="B1034" s="6" t="s">
        <v>2083</v>
      </c>
      <c r="C1034" s="5" t="s">
        <v>267</v>
      </c>
      <c r="D1034" s="7">
        <f>IFERROR(__xludf.DUMMYFUNCTION("GOOGLEFINANCE(""ASX:HFR"", ""price"")"),0.04)</f>
        <v>0.04</v>
      </c>
      <c r="E1034" s="8">
        <f>IFERROR(__xludf.DUMMYFUNCTION("GOOGLEFINANCE(""ASX:HFR"", ""closeyest"")"),0.04)</f>
        <v>0.04</v>
      </c>
      <c r="F1034" s="5" t="str">
        <f>IFERROR(__xludf.DUMMYFUNCTION("GOOGLEFINANCE(""ASX:HFR"", ""pe"")"),"#N/A")</f>
        <v>#N/A</v>
      </c>
      <c r="G1034" s="9">
        <f>IFERROR(__xludf.DUMMYFUNCTION("GOOGLEFINANCE(""ASX:HFR"", ""high52"")"),0.3)</f>
        <v>0.3</v>
      </c>
      <c r="H1034" s="9">
        <f>IFERROR(__xludf.DUMMYFUNCTION("GOOGLEFINANCE(""ASX:HFR"", ""low52"")"),0.04)</f>
        <v>0.04</v>
      </c>
      <c r="I1034" s="9">
        <f>IFERROR(__xludf.DUMMYFUNCTION("GOOGLEFINANCE(""ASX:HFR"", ""marketcap"")"),2.1404583E7)</f>
        <v>21404583</v>
      </c>
      <c r="J1034" s="5"/>
      <c r="K1034" s="5"/>
      <c r="L1034" s="5"/>
      <c r="M1034" s="5"/>
      <c r="N1034" s="11" t="s">
        <v>19</v>
      </c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>
      <c r="A1035" s="6" t="s">
        <v>2084</v>
      </c>
      <c r="B1035" s="6" t="s">
        <v>2085</v>
      </c>
      <c r="C1035" s="5" t="s">
        <v>137</v>
      </c>
      <c r="D1035" s="7">
        <f>IFERROR(__xludf.DUMMYFUNCTION("GOOGLEFINANCE(""ASX:HFY"", ""price"")"),0.01)</f>
        <v>0.01</v>
      </c>
      <c r="E1035" s="8">
        <f>IFERROR(__xludf.DUMMYFUNCTION("GOOGLEFINANCE(""ASX:HFY"", ""closeyest"")"),0.01)</f>
        <v>0.01</v>
      </c>
      <c r="F1035" s="5" t="str">
        <f>IFERROR(__xludf.DUMMYFUNCTION("GOOGLEFINANCE(""ASX:HFY"", ""pe"")"),"#N/A")</f>
        <v>#N/A</v>
      </c>
      <c r="G1035" s="9">
        <f>IFERROR(__xludf.DUMMYFUNCTION("GOOGLEFINANCE(""ASX:HFY"", ""high52"")"),0.01)</f>
        <v>0.01</v>
      </c>
      <c r="H1035" s="9">
        <f>IFERROR(__xludf.DUMMYFUNCTION("GOOGLEFINANCE(""ASX:HFY"", ""low52"")"),0.01)</f>
        <v>0.01</v>
      </c>
      <c r="I1035" s="9">
        <f>IFERROR(__xludf.DUMMYFUNCTION("GOOGLEFINANCE(""ASX:HFY"", ""marketcap"")"),3577950.0)</f>
        <v>3577950</v>
      </c>
      <c r="J1035" s="5"/>
      <c r="K1035" s="5"/>
      <c r="L1035" s="5"/>
      <c r="M1035" s="5"/>
      <c r="N1035" s="11" t="s">
        <v>19</v>
      </c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>
      <c r="A1036" s="6" t="s">
        <v>2086</v>
      </c>
      <c r="B1036" s="6" t="s">
        <v>2087</v>
      </c>
      <c r="C1036" s="5" t="s">
        <v>36</v>
      </c>
      <c r="D1036" s="7">
        <f>IFERROR(__xludf.DUMMYFUNCTION("GOOGLEFINANCE(""ASX:HGBL"", ""price"")"),78.62)</f>
        <v>78.62</v>
      </c>
      <c r="E1036" s="8">
        <f>IFERROR(__xludf.DUMMYFUNCTION("GOOGLEFINANCE(""ASX:HGBL"", ""closeyest"")"),78.3)</f>
        <v>78.3</v>
      </c>
      <c r="F1036" s="5" t="str">
        <f>IFERROR(__xludf.DUMMYFUNCTION("GOOGLEFINANCE(""ASX:HGBL"", ""pe"")"),"#N/A")</f>
        <v>#N/A</v>
      </c>
      <c r="G1036" s="9">
        <f>IFERROR(__xludf.DUMMYFUNCTION("GOOGLEFINANCE(""ASX:HGBL"", ""high52"")"),78.69)</f>
        <v>78.69</v>
      </c>
      <c r="H1036" s="9">
        <f>IFERROR(__xludf.DUMMYFUNCTION("GOOGLEFINANCE(""ASX:HGBL"", ""low52"")"),55.64)</f>
        <v>55.64</v>
      </c>
      <c r="I1036" s="9" t="str">
        <f>IFERROR(__xludf.DUMMYFUNCTION("GOOGLEFINANCE(""ASX:HGBL"", ""marketcap"")"),"#N/A")</f>
        <v>#N/A</v>
      </c>
      <c r="J1036" s="5"/>
      <c r="K1036" s="5"/>
      <c r="L1036" s="5"/>
      <c r="M1036" s="5"/>
      <c r="N1036" s="11" t="s">
        <v>19</v>
      </c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>
      <c r="A1037" s="6" t="s">
        <v>2088</v>
      </c>
      <c r="B1037" s="6" t="s">
        <v>2089</v>
      </c>
      <c r="C1037" s="5" t="s">
        <v>36</v>
      </c>
      <c r="D1037" s="7">
        <f>IFERROR(__xludf.DUMMYFUNCTION("GOOGLEFINANCE(""ASX:HGEN"", ""price"")"),7.68)</f>
        <v>7.68</v>
      </c>
      <c r="E1037" s="8">
        <f>IFERROR(__xludf.DUMMYFUNCTION("GOOGLEFINANCE(""ASX:HGEN"", ""closeyest"")"),7.74)</f>
        <v>7.74</v>
      </c>
      <c r="F1037" s="5" t="str">
        <f>IFERROR(__xludf.DUMMYFUNCTION("GOOGLEFINANCE(""ASX:HGEN"", ""pe"")"),"#N/A")</f>
        <v>#N/A</v>
      </c>
      <c r="G1037" s="9">
        <f>IFERROR(__xludf.DUMMYFUNCTION("GOOGLEFINANCE(""ASX:HGEN"", ""high52"")"),9.27)</f>
        <v>9.27</v>
      </c>
      <c r="H1037" s="9">
        <f>IFERROR(__xludf.DUMMYFUNCTION("GOOGLEFINANCE(""ASX:HGEN"", ""low52"")"),3.69)</f>
        <v>3.69</v>
      </c>
      <c r="I1037" s="9" t="str">
        <f>IFERROR(__xludf.DUMMYFUNCTION("GOOGLEFINANCE(""ASX:HGEN"", ""marketcap"")"),"#N/A")</f>
        <v>#N/A</v>
      </c>
      <c r="J1037" s="9">
        <v>2.6</v>
      </c>
      <c r="K1037" s="9">
        <v>2.59</v>
      </c>
      <c r="L1037" s="9">
        <v>2.69</v>
      </c>
      <c r="M1037" s="9">
        <v>2.0</v>
      </c>
      <c r="N1037" s="11" t="s">
        <v>19</v>
      </c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>
      <c r="A1038" s="6" t="s">
        <v>2090</v>
      </c>
      <c r="B1038" s="6" t="s">
        <v>2091</v>
      </c>
      <c r="C1038" s="5" t="s">
        <v>413</v>
      </c>
      <c r="D1038" s="7">
        <f>IFERROR(__xludf.DUMMYFUNCTION("GOOGLEFINANCE(""ASX:HGH"", ""price"")"),1.02)</f>
        <v>1.02</v>
      </c>
      <c r="E1038" s="8">
        <f>IFERROR(__xludf.DUMMYFUNCTION("GOOGLEFINANCE(""ASX:HGH"", ""closeyest"")"),1.0)</f>
        <v>1</v>
      </c>
      <c r="F1038" s="5" t="str">
        <f>IFERROR(__xludf.DUMMYFUNCTION("GOOGLEFINANCE(""ASX:HGH"", ""pe"")"),"#N/A")</f>
        <v>#N/A</v>
      </c>
      <c r="G1038" s="9">
        <f>IFERROR(__xludf.DUMMYFUNCTION("GOOGLEFINANCE(""ASX:HGH"", ""high52"")"),1.06)</f>
        <v>1.06</v>
      </c>
      <c r="H1038" s="9">
        <f>IFERROR(__xludf.DUMMYFUNCTION("GOOGLEFINANCE(""ASX:HGH"", ""low52"")"),0.66)</f>
        <v>0.66</v>
      </c>
      <c r="I1038" s="9">
        <f>IFERROR(__xludf.DUMMYFUNCTION("GOOGLEFINANCE(""ASX:HGH"", ""marketcap"")"),1.106786E9)</f>
        <v>1106786000</v>
      </c>
      <c r="J1038" s="5"/>
      <c r="K1038" s="5"/>
      <c r="L1038" s="5"/>
      <c r="M1038" s="5"/>
      <c r="N1038" s="11" t="s">
        <v>19</v>
      </c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>
      <c r="A1039" s="6" t="s">
        <v>2092</v>
      </c>
      <c r="B1039" s="6" t="s">
        <v>2093</v>
      </c>
      <c r="C1039" s="5" t="s">
        <v>39</v>
      </c>
      <c r="D1039" s="7">
        <f>IFERROR(__xludf.DUMMYFUNCTION("GOOGLEFINANCE(""ASX:HGO"", ""price"")"),0.05)</f>
        <v>0.05</v>
      </c>
      <c r="E1039" s="8">
        <f>IFERROR(__xludf.DUMMYFUNCTION("GOOGLEFINANCE(""ASX:HGO"", ""closeyest"")"),0.05)</f>
        <v>0.05</v>
      </c>
      <c r="F1039" s="5" t="str">
        <f>IFERROR(__xludf.DUMMYFUNCTION("GOOGLEFINANCE(""ASX:HGO"", ""pe"")"),"#N/A")</f>
        <v>#N/A</v>
      </c>
      <c r="G1039" s="9">
        <f>IFERROR(__xludf.DUMMYFUNCTION("GOOGLEFINANCE(""ASX:HGO"", ""high52"")"),0.06)</f>
        <v>0.06</v>
      </c>
      <c r="H1039" s="9">
        <f>IFERROR(__xludf.DUMMYFUNCTION("GOOGLEFINANCE(""ASX:HGO"", ""low52"")"),0.03)</f>
        <v>0.03</v>
      </c>
      <c r="I1039" s="9">
        <f>IFERROR(__xludf.DUMMYFUNCTION("GOOGLEFINANCE(""ASX:HGO"", ""marketcap"")"),1.73708981E8)</f>
        <v>173708981</v>
      </c>
      <c r="J1039" s="5"/>
      <c r="K1039" s="5"/>
      <c r="L1039" s="5"/>
      <c r="M1039" s="5"/>
      <c r="N1039" s="11" t="s">
        <v>19</v>
      </c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>
      <c r="A1040" s="6" t="s">
        <v>2094</v>
      </c>
      <c r="B1040" s="6" t="s">
        <v>2095</v>
      </c>
      <c r="C1040" s="5" t="s">
        <v>36</v>
      </c>
      <c r="D1040" s="7">
        <f>IFERROR(__xludf.DUMMYFUNCTION("GOOGLEFINANCE(""ASX:HHIF"", ""price"")"),0.95)</f>
        <v>0.95</v>
      </c>
      <c r="E1040" s="8">
        <f>IFERROR(__xludf.DUMMYFUNCTION("GOOGLEFINANCE(""ASX:HHIF"", ""closeyest"")"),0.95)</f>
        <v>0.95</v>
      </c>
      <c r="F1040" s="5" t="str">
        <f>IFERROR(__xludf.DUMMYFUNCTION("GOOGLEFINANCE(""ASX:HHIF"", ""pe"")"),"#N/A")</f>
        <v>#N/A</v>
      </c>
      <c r="G1040" s="9">
        <f>IFERROR(__xludf.DUMMYFUNCTION("GOOGLEFINANCE(""ASX:HHIF"", ""high52"")"),1.07)</f>
        <v>1.07</v>
      </c>
      <c r="H1040" s="9">
        <f>IFERROR(__xludf.DUMMYFUNCTION("GOOGLEFINANCE(""ASX:HHIF"", ""low52"")"),0.88)</f>
        <v>0.88</v>
      </c>
      <c r="I1040" s="9" t="str">
        <f>IFERROR(__xludf.DUMMYFUNCTION("GOOGLEFINANCE(""ASX:HHIF"", ""marketcap"")"),"#N/A")</f>
        <v>#N/A</v>
      </c>
      <c r="J1040" s="5"/>
      <c r="K1040" s="5"/>
      <c r="L1040" s="5"/>
      <c r="M1040" s="5"/>
      <c r="N1040" s="11" t="s">
        <v>19</v>
      </c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>
      <c r="A1041" s="6" t="s">
        <v>2096</v>
      </c>
      <c r="B1041" s="6" t="s">
        <v>2097</v>
      </c>
      <c r="C1041" s="5" t="s">
        <v>78</v>
      </c>
      <c r="D1041" s="7">
        <f>IFERROR(__xludf.DUMMYFUNCTION("GOOGLEFINANCE(""ASX:HHR"", ""price"")"),0.01)</f>
        <v>0.01</v>
      </c>
      <c r="E1041" s="8">
        <f>IFERROR(__xludf.DUMMYFUNCTION("GOOGLEFINANCE(""ASX:HHR"", ""closeyest"")"),0.01)</f>
        <v>0.01</v>
      </c>
      <c r="F1041" s="5" t="str">
        <f>IFERROR(__xludf.DUMMYFUNCTION("GOOGLEFINANCE(""ASX:HHR"", ""pe"")"),"#N/A")</f>
        <v>#N/A</v>
      </c>
      <c r="G1041" s="9">
        <f>IFERROR(__xludf.DUMMYFUNCTION("GOOGLEFINANCE(""ASX:HHR"", ""high52"")"),0.01)</f>
        <v>0.01</v>
      </c>
      <c r="H1041" s="9">
        <f>IFERROR(__xludf.DUMMYFUNCTION("GOOGLEFINANCE(""ASX:HHR"", ""low52"")"),0.01)</f>
        <v>0.01</v>
      </c>
      <c r="I1041" s="9">
        <f>IFERROR(__xludf.DUMMYFUNCTION("GOOGLEFINANCE(""ASX:HHR"", ""marketcap"")"),4.7466731E7)</f>
        <v>47466731</v>
      </c>
      <c r="J1041" s="5"/>
      <c r="K1041" s="5"/>
      <c r="L1041" s="5"/>
      <c r="M1041" s="5"/>
      <c r="N1041" s="11" t="s">
        <v>19</v>
      </c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>
      <c r="A1042" s="6" t="s">
        <v>2098</v>
      </c>
      <c r="B1042" s="6" t="s">
        <v>2099</v>
      </c>
      <c r="C1042" s="5" t="s">
        <v>212</v>
      </c>
      <c r="D1042" s="7">
        <f>IFERROR(__xludf.DUMMYFUNCTION("GOOGLEFINANCE(""ASX:HIO"", ""price"")"),0.02)</f>
        <v>0.02</v>
      </c>
      <c r="E1042" s="8">
        <f>IFERROR(__xludf.DUMMYFUNCTION("GOOGLEFINANCE(""ASX:HIO"", ""closeyest"")"),0.02)</f>
        <v>0.02</v>
      </c>
      <c r="F1042" s="5" t="str">
        <f>IFERROR(__xludf.DUMMYFUNCTION("GOOGLEFINANCE(""ASX:HIO"", ""pe"")"),"#N/A")</f>
        <v>#N/A</v>
      </c>
      <c r="G1042" s="9">
        <f>IFERROR(__xludf.DUMMYFUNCTION("GOOGLEFINANCE(""ASX:HIO"", ""high52"")"),0.04)</f>
        <v>0.04</v>
      </c>
      <c r="H1042" s="9">
        <f>IFERROR(__xludf.DUMMYFUNCTION("GOOGLEFINANCE(""ASX:HIO"", ""low52"")"),0.01)</f>
        <v>0.01</v>
      </c>
      <c r="I1042" s="9">
        <f>IFERROR(__xludf.DUMMYFUNCTION("GOOGLEFINANCE(""ASX:HIO"", ""marketcap"")"),2.8559057E7)</f>
        <v>28559057</v>
      </c>
      <c r="J1042" s="9">
        <v>6.92</v>
      </c>
      <c r="K1042" s="9">
        <v>6.91</v>
      </c>
      <c r="L1042" s="9">
        <v>7.02</v>
      </c>
      <c r="M1042" s="9">
        <v>5.92</v>
      </c>
      <c r="N1042" s="11" t="s">
        <v>19</v>
      </c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>
      <c r="A1043" s="6" t="s">
        <v>2098</v>
      </c>
      <c r="B1043" s="6" t="s">
        <v>2099</v>
      </c>
      <c r="C1043" s="5" t="s">
        <v>212</v>
      </c>
      <c r="D1043" s="7">
        <f>IFERROR(__xludf.DUMMYFUNCTION("GOOGLEFINANCE(""ASX:HIO"", ""price"")"),0.02)</f>
        <v>0.02</v>
      </c>
      <c r="E1043" s="8">
        <f>IFERROR(__xludf.DUMMYFUNCTION("GOOGLEFINANCE(""ASX:HIO"", ""closeyest"")"),0.02)</f>
        <v>0.02</v>
      </c>
      <c r="F1043" s="5" t="str">
        <f>IFERROR(__xludf.DUMMYFUNCTION("GOOGLEFINANCE(""ASX:HIO"", ""pe"")"),"#N/A")</f>
        <v>#N/A</v>
      </c>
      <c r="G1043" s="9">
        <f>IFERROR(__xludf.DUMMYFUNCTION("GOOGLEFINANCE(""ASX:HIO"", ""high52"")"),0.04)</f>
        <v>0.04</v>
      </c>
      <c r="H1043" s="9">
        <f>IFERROR(__xludf.DUMMYFUNCTION("GOOGLEFINANCE(""ASX:HIO"", ""low52"")"),0.01)</f>
        <v>0.01</v>
      </c>
      <c r="I1043" s="9">
        <f>IFERROR(__xludf.DUMMYFUNCTION("GOOGLEFINANCE(""ASX:HIO"", ""marketcap"")"),2.8559057E7)</f>
        <v>28559057</v>
      </c>
      <c r="J1043" s="9">
        <v>6.92</v>
      </c>
      <c r="K1043" s="9">
        <v>6.91</v>
      </c>
      <c r="L1043" s="9">
        <v>7.02</v>
      </c>
      <c r="M1043" s="9">
        <v>5.92</v>
      </c>
      <c r="N1043" s="11" t="s">
        <v>19</v>
      </c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>
      <c r="A1044" s="6" t="s">
        <v>2100</v>
      </c>
      <c r="B1044" s="6" t="s">
        <v>2101</v>
      </c>
      <c r="C1044" s="5" t="s">
        <v>52</v>
      </c>
      <c r="D1044" s="7">
        <f>IFERROR(__xludf.DUMMYFUNCTION("GOOGLEFINANCE(""ASX:HIQ"", ""price"")"),0.02)</f>
        <v>0.02</v>
      </c>
      <c r="E1044" s="8">
        <f>IFERROR(__xludf.DUMMYFUNCTION("GOOGLEFINANCE(""ASX:HIQ"", ""closeyest"")"),0.02)</f>
        <v>0.02</v>
      </c>
      <c r="F1044" s="5" t="str">
        <f>IFERROR(__xludf.DUMMYFUNCTION("GOOGLEFINANCE(""ASX:HIQ"", ""pe"")"),"#N/A")</f>
        <v>#N/A</v>
      </c>
      <c r="G1044" s="9">
        <f>IFERROR(__xludf.DUMMYFUNCTION("GOOGLEFINANCE(""ASX:HIQ"", ""high52"")"),0.05)</f>
        <v>0.05</v>
      </c>
      <c r="H1044" s="9">
        <f>IFERROR(__xludf.DUMMYFUNCTION("GOOGLEFINANCE(""ASX:HIQ"", ""low52"")"),0.01)</f>
        <v>0.01</v>
      </c>
      <c r="I1044" s="9">
        <f>IFERROR(__xludf.DUMMYFUNCTION("GOOGLEFINANCE(""ASX:HIQ"", ""marketcap"")"),1.1094121E7)</f>
        <v>11094121</v>
      </c>
      <c r="J1044" s="5"/>
      <c r="K1044" s="5"/>
      <c r="L1044" s="5"/>
      <c r="M1044" s="5"/>
      <c r="N1044" s="11" t="s">
        <v>19</v>
      </c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>
      <c r="A1045" s="6" t="s">
        <v>2102</v>
      </c>
      <c r="B1045" s="6" t="s">
        <v>2103</v>
      </c>
      <c r="C1045" s="5" t="s">
        <v>509</v>
      </c>
      <c r="D1045" s="7">
        <f>IFERROR(__xludf.DUMMYFUNCTION("GOOGLEFINANCE(""ASX:HIT"", ""price"")"),1.63)</f>
        <v>1.63</v>
      </c>
      <c r="E1045" s="8">
        <f>IFERROR(__xludf.DUMMYFUNCTION("GOOGLEFINANCE(""ASX:HIT"", ""closeyest"")"),1.63)</f>
        <v>1.63</v>
      </c>
      <c r="F1045" s="9">
        <f>IFERROR(__xludf.DUMMYFUNCTION("GOOGLEFINANCE(""ASX:HIT"", ""pe"")"),10.81)</f>
        <v>10.81</v>
      </c>
      <c r="G1045" s="9">
        <f>IFERROR(__xludf.DUMMYFUNCTION("GOOGLEFINANCE(""ASX:HIT"", ""high52"")"),2.11)</f>
        <v>2.11</v>
      </c>
      <c r="H1045" s="9">
        <f>IFERROR(__xludf.DUMMYFUNCTION("GOOGLEFINANCE(""ASX:HIT"", ""low52"")"),1.53)</f>
        <v>1.53</v>
      </c>
      <c r="I1045" s="9">
        <f>IFERROR(__xludf.DUMMYFUNCTION("GOOGLEFINANCE(""ASX:HIT"", ""marketcap"")"),6.873749E7)</f>
        <v>68737490</v>
      </c>
      <c r="J1045" s="5"/>
      <c r="K1045" s="5"/>
      <c r="L1045" s="5"/>
      <c r="M1045" s="5"/>
      <c r="N1045" s="10">
        <v>10.81</v>
      </c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>
      <c r="A1046" s="6" t="s">
        <v>2104</v>
      </c>
      <c r="B1046" s="6" t="s">
        <v>2105</v>
      </c>
      <c r="C1046" s="5" t="s">
        <v>36</v>
      </c>
      <c r="D1046" s="7">
        <f>IFERROR(__xludf.DUMMYFUNCTION("GOOGLEFINANCE(""ASX:HJHI"", ""price"")"),1.1)</f>
        <v>1.1</v>
      </c>
      <c r="E1046" s="8">
        <f>IFERROR(__xludf.DUMMYFUNCTION("GOOGLEFINANCE(""ASX:HJHI"", ""closeyest"")"),1.1)</f>
        <v>1.1</v>
      </c>
      <c r="F1046" s="5" t="str">
        <f>IFERROR(__xludf.DUMMYFUNCTION("GOOGLEFINANCE(""ASX:HJHI"", ""pe"")"),"#N/A")</f>
        <v>#N/A</v>
      </c>
      <c r="G1046" s="9">
        <f>IFERROR(__xludf.DUMMYFUNCTION("GOOGLEFINANCE(""ASX:HJHI"", ""high52"")"),1.14)</f>
        <v>1.14</v>
      </c>
      <c r="H1046" s="9">
        <f>IFERROR(__xludf.DUMMYFUNCTION("GOOGLEFINANCE(""ASX:HJHI"", ""low52"")"),0.95)</f>
        <v>0.95</v>
      </c>
      <c r="I1046" s="9" t="str">
        <f>IFERROR(__xludf.DUMMYFUNCTION("GOOGLEFINANCE(""ASX:HJHI"", ""marketcap"")"),"#N/A")</f>
        <v>#N/A</v>
      </c>
      <c r="J1046" s="5"/>
      <c r="K1046" s="5"/>
      <c r="L1046" s="5"/>
      <c r="M1046" s="5"/>
      <c r="N1046" s="11" t="s">
        <v>19</v>
      </c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>
      <c r="A1047" s="6" t="s">
        <v>2106</v>
      </c>
      <c r="B1047" s="6" t="s">
        <v>2107</v>
      </c>
      <c r="C1047" s="5" t="s">
        <v>36</v>
      </c>
      <c r="D1047" s="7">
        <f>IFERROR(__xludf.DUMMYFUNCTION("GOOGLEFINANCE(""ASX:HJPN"", ""price"")"),26.21)</f>
        <v>26.21</v>
      </c>
      <c r="E1047" s="8">
        <f>IFERROR(__xludf.DUMMYFUNCTION("GOOGLEFINANCE(""ASX:HJPN"", ""closeyest"")"),26.46)</f>
        <v>26.46</v>
      </c>
      <c r="F1047" s="5" t="str">
        <f>IFERROR(__xludf.DUMMYFUNCTION("GOOGLEFINANCE(""ASX:HJPN"", ""pe"")"),"#N/A")</f>
        <v>#N/A</v>
      </c>
      <c r="G1047" s="9">
        <f>IFERROR(__xludf.DUMMYFUNCTION("GOOGLEFINANCE(""ASX:HJPN"", ""high52"")"),26.5)</f>
        <v>26.5</v>
      </c>
      <c r="H1047" s="9">
        <f>IFERROR(__xludf.DUMMYFUNCTION("GOOGLEFINANCE(""ASX:HJPN"", ""low52"")"),15.6)</f>
        <v>15.6</v>
      </c>
      <c r="I1047" s="9" t="str">
        <f>IFERROR(__xludf.DUMMYFUNCTION("GOOGLEFINANCE(""ASX:HJPN"", ""marketcap"")"),"#N/A")</f>
        <v>#N/A</v>
      </c>
      <c r="J1047" s="5"/>
      <c r="K1047" s="5"/>
      <c r="L1047" s="5"/>
      <c r="M1047" s="5"/>
      <c r="N1047" s="11" t="s">
        <v>19</v>
      </c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>
      <c r="A1048" s="6" t="s">
        <v>2108</v>
      </c>
      <c r="B1048" s="6" t="s">
        <v>2109</v>
      </c>
      <c r="C1048" s="5" t="s">
        <v>36</v>
      </c>
      <c r="D1048" s="7" t="str">
        <f>IFERROR(__xludf.DUMMYFUNCTION("GOOGLEFINANCE(""ASX:HJZP"", ""price"")"),"#N/A")</f>
        <v>#N/A</v>
      </c>
      <c r="E1048" s="8" t="str">
        <f>IFERROR(__xludf.DUMMYFUNCTION("GOOGLEFINANCE(""ASX:HJZP"", ""closeyest"")"),"#N/A")</f>
        <v>#N/A</v>
      </c>
      <c r="F1048" s="5" t="str">
        <f>IFERROR(__xludf.DUMMYFUNCTION("GOOGLEFINANCE(""ASX:HJZP"", ""pe"")"),"#N/A")</f>
        <v>#N/A</v>
      </c>
      <c r="G1048" s="5" t="str">
        <f>IFERROR(__xludf.DUMMYFUNCTION("GOOGLEFINANCE(""ASX:HJZP"", ""high52"")"),"#N/A")</f>
        <v>#N/A</v>
      </c>
      <c r="H1048" s="5" t="str">
        <f>IFERROR(__xludf.DUMMYFUNCTION("GOOGLEFINANCE(""ASX:HJZP"", ""low52"")"),"#N/A")</f>
        <v>#N/A</v>
      </c>
      <c r="I1048" s="9" t="str">
        <f>IFERROR(__xludf.DUMMYFUNCTION("GOOGLEFINANCE(""ASX:HJZP"", ""marketcap"")"),"#N/A")</f>
        <v>#N/A</v>
      </c>
      <c r="J1048" s="12">
        <v>0.775</v>
      </c>
      <c r="K1048" s="12">
        <v>0.77</v>
      </c>
      <c r="L1048" s="12">
        <v>0.845</v>
      </c>
      <c r="M1048" s="12">
        <v>0.745</v>
      </c>
      <c r="N1048" s="11" t="s">
        <v>19</v>
      </c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>
      <c r="A1049" s="6" t="s">
        <v>2110</v>
      </c>
      <c r="B1049" s="6" t="s">
        <v>2111</v>
      </c>
      <c r="C1049" s="5" t="s">
        <v>2112</v>
      </c>
      <c r="D1049" s="7">
        <f>IFERROR(__xludf.DUMMYFUNCTION("GOOGLEFINANCE(""ASX:HLI"", ""price"")"),5.35)</f>
        <v>5.35</v>
      </c>
      <c r="E1049" s="8">
        <f>IFERROR(__xludf.DUMMYFUNCTION("GOOGLEFINANCE(""ASX:HLI"", ""closeyest"")"),5.33)</f>
        <v>5.33</v>
      </c>
      <c r="F1049" s="9">
        <f>IFERROR(__xludf.DUMMYFUNCTION("GOOGLEFINANCE(""ASX:HLI"", ""pe"")"),5.57)</f>
        <v>5.57</v>
      </c>
      <c r="G1049" s="9">
        <f>IFERROR(__xludf.DUMMYFUNCTION("GOOGLEFINANCE(""ASX:HLI"", ""high52"")"),6.19)</f>
        <v>6.19</v>
      </c>
      <c r="H1049" s="9">
        <f>IFERROR(__xludf.DUMMYFUNCTION("GOOGLEFINANCE(""ASX:HLI"", ""low52"")"),3.43)</f>
        <v>3.43</v>
      </c>
      <c r="I1049" s="9">
        <f>IFERROR(__xludf.DUMMYFUNCTION("GOOGLEFINANCE(""ASX:HLI"", ""marketcap"")"),1.457800609E9)</f>
        <v>1457800609</v>
      </c>
      <c r="J1049" s="5"/>
      <c r="K1049" s="5"/>
      <c r="L1049" s="5"/>
      <c r="M1049" s="5"/>
      <c r="N1049" s="9">
        <f>IFERROR(__xludf.DUMMYFUNCTION("IFERROR(GOOGLEFINANCE(""ASX:HLI"", ""pe""), ""N/A"")"),5.57)</f>
        <v>5.57</v>
      </c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>
      <c r="A1050" s="6" t="s">
        <v>2113</v>
      </c>
      <c r="B1050" s="6" t="s">
        <v>2114</v>
      </c>
      <c r="C1050" s="5" t="s">
        <v>670</v>
      </c>
      <c r="D1050" s="7">
        <f>IFERROR(__xludf.DUMMYFUNCTION("GOOGLEFINANCE(""ASX:HLO"", ""price"")"),1.88)</f>
        <v>1.88</v>
      </c>
      <c r="E1050" s="8">
        <f>IFERROR(__xludf.DUMMYFUNCTION("GOOGLEFINANCE(""ASX:HLO"", ""closeyest"")"),1.86)</f>
        <v>1.86</v>
      </c>
      <c r="F1050" s="9">
        <f>IFERROR(__xludf.DUMMYFUNCTION("GOOGLEFINANCE(""ASX:HLO"", ""pe"")"),9.19)</f>
        <v>9.19</v>
      </c>
      <c r="G1050" s="9">
        <f>IFERROR(__xludf.DUMMYFUNCTION("GOOGLEFINANCE(""ASX:HLO"", ""high52"")"),2.12)</f>
        <v>2.12</v>
      </c>
      <c r="H1050" s="9">
        <f>IFERROR(__xludf.DUMMYFUNCTION("GOOGLEFINANCE(""ASX:HLO"", ""low52"")"),1.3)</f>
        <v>1.3</v>
      </c>
      <c r="I1050" s="9">
        <f>IFERROR(__xludf.DUMMYFUNCTION("GOOGLEFINANCE(""ASX:HLO"", ""marketcap"")"),3.06900187E8)</f>
        <v>306900187</v>
      </c>
      <c r="J1050" s="9">
        <v>0.215</v>
      </c>
      <c r="K1050" s="9">
        <v>0.21</v>
      </c>
      <c r="L1050" s="9">
        <v>0.39</v>
      </c>
      <c r="M1050" s="9">
        <v>0.087</v>
      </c>
      <c r="N1050" s="9">
        <f>IFERROR(__xludf.DUMMYFUNCTION("IFERROR(GOOGLEFINANCE(""ASX:HLO"", ""pe""), ""N/A"")"),9.19)</f>
        <v>9.19</v>
      </c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>
      <c r="A1051" s="6" t="s">
        <v>2115</v>
      </c>
      <c r="B1051" s="6" t="s">
        <v>2116</v>
      </c>
      <c r="C1051" s="5" t="s">
        <v>164</v>
      </c>
      <c r="D1051" s="7">
        <f>IFERROR(__xludf.DUMMYFUNCTION("GOOGLEFINANCE(""ASX:HLS"", ""price"")"),0.95)</f>
        <v>0.95</v>
      </c>
      <c r="E1051" s="8">
        <f>IFERROR(__xludf.DUMMYFUNCTION("GOOGLEFINANCE(""ASX:HLS"", ""closeyest"")"),0.9)</f>
        <v>0.9</v>
      </c>
      <c r="F1051" s="5" t="str">
        <f>IFERROR(__xludf.DUMMYFUNCTION("GOOGLEFINANCE(""ASX:HLS"", ""pe"")"),"#N/A")</f>
        <v>#N/A</v>
      </c>
      <c r="G1051" s="9">
        <f>IFERROR(__xludf.DUMMYFUNCTION("GOOGLEFINANCE(""ASX:HLS"", ""high52"")"),1.64)</f>
        <v>1.64</v>
      </c>
      <c r="H1051" s="9">
        <f>IFERROR(__xludf.DUMMYFUNCTION("GOOGLEFINANCE(""ASX:HLS"", ""low52"")"),0.66)</f>
        <v>0.66</v>
      </c>
      <c r="I1051" s="9">
        <f>IFERROR(__xludf.DUMMYFUNCTION("GOOGLEFINANCE(""ASX:HLS"", ""marketcap"")"),6.85993756E8)</f>
        <v>685993756</v>
      </c>
      <c r="J1051" s="5"/>
      <c r="K1051" s="5"/>
      <c r="L1051" s="5"/>
      <c r="M1051" s="5"/>
      <c r="N1051" s="11" t="s">
        <v>19</v>
      </c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>
      <c r="A1052" s="6" t="s">
        <v>2117</v>
      </c>
      <c r="B1052" s="6" t="s">
        <v>2118</v>
      </c>
      <c r="C1052" s="5" t="s">
        <v>36</v>
      </c>
      <c r="D1052" s="7">
        <f>IFERROR(__xludf.DUMMYFUNCTION("GOOGLEFINANCE(""ASX:HLTH"", ""price"")"),12.3)</f>
        <v>12.3</v>
      </c>
      <c r="E1052" s="8">
        <f>IFERROR(__xludf.DUMMYFUNCTION("GOOGLEFINANCE(""ASX:HLTH"", ""closeyest"")"),12.09)</f>
        <v>12.09</v>
      </c>
      <c r="F1052" s="5" t="str">
        <f>IFERROR(__xludf.DUMMYFUNCTION("GOOGLEFINANCE(""ASX:HLTH"", ""pe"")"),"#N/A")</f>
        <v>#N/A</v>
      </c>
      <c r="G1052" s="9">
        <f>IFERROR(__xludf.DUMMYFUNCTION("GOOGLEFINANCE(""ASX:HLTH"", ""high52"")"),13.0)</f>
        <v>13</v>
      </c>
      <c r="H1052" s="9">
        <f>IFERROR(__xludf.DUMMYFUNCTION("GOOGLEFINANCE(""ASX:HLTH"", ""low52"")"),10.36)</f>
        <v>10.36</v>
      </c>
      <c r="I1052" s="9" t="str">
        <f>IFERROR(__xludf.DUMMYFUNCTION("GOOGLEFINANCE(""ASX:HLTH"", ""marketcap"")"),"#N/A")</f>
        <v>#N/A</v>
      </c>
      <c r="J1052" s="5"/>
      <c r="K1052" s="5"/>
      <c r="L1052" s="5"/>
      <c r="M1052" s="5"/>
      <c r="N1052" s="11" t="s">
        <v>19</v>
      </c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>
      <c r="A1053" s="6" t="s">
        <v>2119</v>
      </c>
      <c r="B1053" s="6" t="s">
        <v>2120</v>
      </c>
      <c r="C1053" s="5" t="s">
        <v>18</v>
      </c>
      <c r="D1053" s="7">
        <f>IFERROR(__xludf.DUMMYFUNCTION("GOOGLEFINANCE(""ASX:HLX"", ""price"")"),0.0)</f>
        <v>0</v>
      </c>
      <c r="E1053" s="8">
        <f>IFERROR(__xludf.DUMMYFUNCTION("GOOGLEFINANCE(""ASX:HLX"", ""closeyest"")"),0.0)</f>
        <v>0</v>
      </c>
      <c r="F1053" s="5" t="str">
        <f>IFERROR(__xludf.DUMMYFUNCTION("GOOGLEFINANCE(""ASX:HLX"", ""pe"")"),"#N/A")</f>
        <v>#N/A</v>
      </c>
      <c r="G1053" s="9">
        <f>IFERROR(__xludf.DUMMYFUNCTION("GOOGLEFINANCE(""ASX:HLX"", ""high52"")"),0.0)</f>
        <v>0</v>
      </c>
      <c r="H1053" s="9">
        <f>IFERROR(__xludf.DUMMYFUNCTION("GOOGLEFINANCE(""ASX:HLX"", ""low52"")"),0.0)</f>
        <v>0</v>
      </c>
      <c r="I1053" s="9">
        <f>IFERROR(__xludf.DUMMYFUNCTION("GOOGLEFINANCE(""ASX:HLX"", ""marketcap"")"),1632097.0)</f>
        <v>1632097</v>
      </c>
      <c r="J1053" s="12">
        <v>0.001</v>
      </c>
      <c r="K1053" s="12">
        <v>0.001</v>
      </c>
      <c r="L1053" s="12">
        <v>0.004</v>
      </c>
      <c r="M1053" s="12">
        <v>0.001</v>
      </c>
      <c r="N1053" s="11" t="s">
        <v>19</v>
      </c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>
      <c r="A1054" s="6" t="s">
        <v>2121</v>
      </c>
      <c r="B1054" s="6" t="s">
        <v>2122</v>
      </c>
      <c r="C1054" s="5" t="s">
        <v>171</v>
      </c>
      <c r="D1054" s="7">
        <f>IFERROR(__xludf.DUMMYFUNCTION("GOOGLEFINANCE(""ASX:HM1"", ""price"")"),3.16)</f>
        <v>3.16</v>
      </c>
      <c r="E1054" s="8">
        <f>IFERROR(__xludf.DUMMYFUNCTION("GOOGLEFINANCE(""ASX:HM1"", ""closeyest"")"),3.16)</f>
        <v>3.16</v>
      </c>
      <c r="F1054" s="9">
        <f>IFERROR(__xludf.DUMMYFUNCTION("GOOGLEFINANCE(""ASX:HM1"", ""pe"")"),6.77)</f>
        <v>6.77</v>
      </c>
      <c r="G1054" s="9">
        <f>IFERROR(__xludf.DUMMYFUNCTION("GOOGLEFINANCE(""ASX:HM1"", ""high52"")"),3.56)</f>
        <v>3.56</v>
      </c>
      <c r="H1054" s="9">
        <f>IFERROR(__xludf.DUMMYFUNCTION("GOOGLEFINANCE(""ASX:HM1"", ""low52"")"),2.49)</f>
        <v>2.49</v>
      </c>
      <c r="I1054" s="9">
        <f>IFERROR(__xludf.DUMMYFUNCTION("GOOGLEFINANCE(""ASX:HM1"", ""marketcap"")"),7.23583455E8)</f>
        <v>723583455</v>
      </c>
      <c r="J1054" s="5"/>
      <c r="K1054" s="5"/>
      <c r="L1054" s="5"/>
      <c r="M1054" s="5"/>
      <c r="N1054" s="9">
        <f>IFERROR(__xludf.DUMMYFUNCTION("IFERROR(GOOGLEFINANCE(""ASX:HM1"", ""pe""), ""N/A"")"),6.77)</f>
        <v>6.77</v>
      </c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>
      <c r="A1055" s="6" t="s">
        <v>2123</v>
      </c>
      <c r="B1055" s="6" t="s">
        <v>2124</v>
      </c>
      <c r="C1055" s="5" t="s">
        <v>171</v>
      </c>
      <c r="D1055" s="7">
        <f>IFERROR(__xludf.DUMMYFUNCTION("GOOGLEFINANCE(""ASX:HMC"", ""price"")"),4.06)</f>
        <v>4.06</v>
      </c>
      <c r="E1055" s="8">
        <f>IFERROR(__xludf.DUMMYFUNCTION("GOOGLEFINANCE(""ASX:HMC"", ""closeyest"")"),3.81)</f>
        <v>3.81</v>
      </c>
      <c r="F1055" s="9">
        <f>IFERROR(__xludf.DUMMYFUNCTION("GOOGLEFINANCE(""ASX:HMC"", ""pe"")"),11.12)</f>
        <v>11.12</v>
      </c>
      <c r="G1055" s="9">
        <f>IFERROR(__xludf.DUMMYFUNCTION("GOOGLEFINANCE(""ASX:HMC"", ""high52"")"),11.41)</f>
        <v>11.41</v>
      </c>
      <c r="H1055" s="9">
        <f>IFERROR(__xludf.DUMMYFUNCTION("GOOGLEFINANCE(""ASX:HMC"", ""low52"")"),2.85)</f>
        <v>2.85</v>
      </c>
      <c r="I1055" s="9">
        <f>IFERROR(__xludf.DUMMYFUNCTION("GOOGLEFINANCE(""ASX:HMC"", ""marketcap"")"),1.675219312E9)</f>
        <v>1675219312</v>
      </c>
      <c r="J1055" s="5"/>
      <c r="K1055" s="5"/>
      <c r="L1055" s="5"/>
      <c r="M1055" s="5"/>
      <c r="N1055" s="9">
        <f>IFERROR(__xludf.DUMMYFUNCTION("IFERROR(GOOGLEFINANCE(""ASX:HMC"", ""pe""), ""N/A"")"),11.12)</f>
        <v>11.12</v>
      </c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>
      <c r="A1056" s="6" t="s">
        <v>2125</v>
      </c>
      <c r="B1056" s="6" t="s">
        <v>2126</v>
      </c>
      <c r="C1056" s="5" t="s">
        <v>276</v>
      </c>
      <c r="D1056" s="7">
        <f>IFERROR(__xludf.DUMMYFUNCTION("GOOGLEFINANCE(""ASX:HMD"", ""price"")"),0.04)</f>
        <v>0.04</v>
      </c>
      <c r="E1056" s="8">
        <f>IFERROR(__xludf.DUMMYFUNCTION("GOOGLEFINANCE(""ASX:HMD"", ""closeyest"")"),0.04)</f>
        <v>0.04</v>
      </c>
      <c r="F1056" s="5" t="str">
        <f>IFERROR(__xludf.DUMMYFUNCTION("GOOGLEFINANCE(""ASX:HMD"", ""pe"")"),"#N/A")</f>
        <v>#N/A</v>
      </c>
      <c r="G1056" s="9">
        <f>IFERROR(__xludf.DUMMYFUNCTION("GOOGLEFINANCE(""ASX:HMD"", ""high52"")"),0.05)</f>
        <v>0.05</v>
      </c>
      <c r="H1056" s="9">
        <f>IFERROR(__xludf.DUMMYFUNCTION("GOOGLEFINANCE(""ASX:HMD"", ""low52"")"),0.01)</f>
        <v>0.01</v>
      </c>
      <c r="I1056" s="9">
        <f>IFERROR(__xludf.DUMMYFUNCTION("GOOGLEFINANCE(""ASX:HMD"", ""marketcap"")"),4.0667679E7)</f>
        <v>40667679</v>
      </c>
      <c r="J1056" s="5"/>
      <c r="K1056" s="5"/>
      <c r="L1056" s="5"/>
      <c r="M1056" s="5"/>
      <c r="N1056" s="11" t="s">
        <v>19</v>
      </c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>
      <c r="A1057" s="6" t="s">
        <v>2127</v>
      </c>
      <c r="B1057" s="6" t="s">
        <v>2128</v>
      </c>
      <c r="C1057" s="5" t="s">
        <v>88</v>
      </c>
      <c r="D1057" s="7">
        <f>IFERROR(__xludf.DUMMYFUNCTION("GOOGLEFINANCE(""ASX:HMG"", ""price"")"),0.06)</f>
        <v>0.06</v>
      </c>
      <c r="E1057" s="8">
        <f>IFERROR(__xludf.DUMMYFUNCTION("GOOGLEFINANCE(""ASX:HMG"", ""closeyest"")"),0.07)</f>
        <v>0.07</v>
      </c>
      <c r="F1057" s="5" t="str">
        <f>IFERROR(__xludf.DUMMYFUNCTION("GOOGLEFINANCE(""ASX:HMG"", ""pe"")"),"#N/A")</f>
        <v>#N/A</v>
      </c>
      <c r="G1057" s="9">
        <f>IFERROR(__xludf.DUMMYFUNCTION("GOOGLEFINANCE(""ASX:HMG"", ""high52"")"),0.1)</f>
        <v>0.1</v>
      </c>
      <c r="H1057" s="9">
        <f>IFERROR(__xludf.DUMMYFUNCTION("GOOGLEFINANCE(""ASX:HMG"", ""low52"")"),0.05)</f>
        <v>0.05</v>
      </c>
      <c r="I1057" s="9">
        <f>IFERROR(__xludf.DUMMYFUNCTION("GOOGLEFINANCE(""ASX:HMG"", ""marketcap"")"),1.2294816E7)</f>
        <v>12294816</v>
      </c>
      <c r="J1057" s="5"/>
      <c r="K1057" s="5"/>
      <c r="L1057" s="5"/>
      <c r="M1057" s="5"/>
      <c r="N1057" s="11" t="s">
        <v>19</v>
      </c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>
      <c r="A1058" s="6" t="s">
        <v>2129</v>
      </c>
      <c r="B1058" s="6" t="s">
        <v>2130</v>
      </c>
      <c r="C1058" s="5" t="s">
        <v>184</v>
      </c>
      <c r="D1058" s="7">
        <f>IFERROR(__xludf.DUMMYFUNCTION("GOOGLEFINANCE(""ASX:HMI"", ""price"")"),0.04)</f>
        <v>0.04</v>
      </c>
      <c r="E1058" s="8">
        <f>IFERROR(__xludf.DUMMYFUNCTION("GOOGLEFINANCE(""ASX:HMI"", ""closeyest"")"),0.04)</f>
        <v>0.04</v>
      </c>
      <c r="F1058" s="5" t="str">
        <f>IFERROR(__xludf.DUMMYFUNCTION("GOOGLEFINANCE(""ASX:HMI"", ""pe"")"),"#N/A")</f>
        <v>#N/A</v>
      </c>
      <c r="G1058" s="9">
        <f>IFERROR(__xludf.DUMMYFUNCTION("GOOGLEFINANCE(""ASX:HMI"", ""high52"")"),0.06)</f>
        <v>0.06</v>
      </c>
      <c r="H1058" s="9">
        <f>IFERROR(__xludf.DUMMYFUNCTION("GOOGLEFINANCE(""ASX:HMI"", ""low52"")"),0.03)</f>
        <v>0.03</v>
      </c>
      <c r="I1058" s="9">
        <f>IFERROR(__xludf.DUMMYFUNCTION("GOOGLEFINANCE(""ASX:HMI"", ""marketcap"")"),6729050.0)</f>
        <v>6729050</v>
      </c>
      <c r="J1058" s="5"/>
      <c r="K1058" s="5"/>
      <c r="L1058" s="5"/>
      <c r="M1058" s="5"/>
      <c r="N1058" s="11" t="s">
        <v>19</v>
      </c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>
      <c r="A1059" s="6" t="s">
        <v>2131</v>
      </c>
      <c r="B1059" s="6" t="s">
        <v>2132</v>
      </c>
      <c r="C1059" s="5" t="s">
        <v>18</v>
      </c>
      <c r="D1059" s="7">
        <f>IFERROR(__xludf.DUMMYFUNCTION("GOOGLEFINANCE(""ASX:HMX"", ""price"")"),0.04)</f>
        <v>0.04</v>
      </c>
      <c r="E1059" s="8">
        <f>IFERROR(__xludf.DUMMYFUNCTION("GOOGLEFINANCE(""ASX:HMX"", ""closeyest"")"),0.04)</f>
        <v>0.04</v>
      </c>
      <c r="F1059" s="5" t="str">
        <f>IFERROR(__xludf.DUMMYFUNCTION("GOOGLEFINANCE(""ASX:HMX"", ""pe"")"),"#N/A")</f>
        <v>#N/A</v>
      </c>
      <c r="G1059" s="9">
        <f>IFERROR(__xludf.DUMMYFUNCTION("GOOGLEFINANCE(""ASX:HMX"", ""high52"")"),0.05)</f>
        <v>0.05</v>
      </c>
      <c r="H1059" s="9">
        <f>IFERROR(__xludf.DUMMYFUNCTION("GOOGLEFINANCE(""ASX:HMX"", ""low52"")"),0.02)</f>
        <v>0.02</v>
      </c>
      <c r="I1059" s="9">
        <f>IFERROR(__xludf.DUMMYFUNCTION("GOOGLEFINANCE(""ASX:HMX"", ""marketcap"")"),3.782321E7)</f>
        <v>37823210</v>
      </c>
      <c r="J1059" s="9">
        <v>2.15</v>
      </c>
      <c r="K1059" s="9">
        <v>2.15</v>
      </c>
      <c r="L1059" s="9">
        <v>2.22</v>
      </c>
      <c r="M1059" s="9">
        <v>1.5</v>
      </c>
      <c r="N1059" s="11" t="s">
        <v>19</v>
      </c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>
      <c r="A1060" s="6" t="s">
        <v>2133</v>
      </c>
      <c r="B1060" s="6" t="s">
        <v>2134</v>
      </c>
      <c r="C1060" s="5" t="s">
        <v>241</v>
      </c>
      <c r="D1060" s="7">
        <f>IFERROR(__xludf.DUMMYFUNCTION("GOOGLEFINANCE(""ASX:HMY"", ""price"")"),0.84)</f>
        <v>0.84</v>
      </c>
      <c r="E1060" s="8">
        <f>IFERROR(__xludf.DUMMYFUNCTION("GOOGLEFINANCE(""ASX:HMY"", ""closeyest"")"),0.88)</f>
        <v>0.88</v>
      </c>
      <c r="F1060" s="9">
        <f>IFERROR(__xludf.DUMMYFUNCTION("GOOGLEFINANCE(""ASX:HMY"", ""pe"")"),15.52)</f>
        <v>15.52</v>
      </c>
      <c r="G1060" s="9">
        <f>IFERROR(__xludf.DUMMYFUNCTION("GOOGLEFINANCE(""ASX:HMY"", ""high52"")"),1.0)</f>
        <v>1</v>
      </c>
      <c r="H1060" s="9">
        <f>IFERROR(__xludf.DUMMYFUNCTION("GOOGLEFINANCE(""ASX:HMY"", ""low52"")"),0.38)</f>
        <v>0.38</v>
      </c>
      <c r="I1060" s="9">
        <f>IFERROR(__xludf.DUMMYFUNCTION("GOOGLEFINANCE(""ASX:HMY"", ""marketcap"")"),8.6927313E7)</f>
        <v>86927313</v>
      </c>
      <c r="J1060" s="9">
        <v>0.205</v>
      </c>
      <c r="K1060" s="9">
        <v>0.215</v>
      </c>
      <c r="L1060" s="9">
        <v>0.315</v>
      </c>
      <c r="M1060" s="9">
        <v>0.14</v>
      </c>
      <c r="N1060" s="9">
        <f>IFERROR(__xludf.DUMMYFUNCTION("IFERROR(GOOGLEFINANCE(""ASX:HMY"", ""pe""), ""N/A"")"),15.52)</f>
        <v>15.52</v>
      </c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>
      <c r="A1061" s="6" t="s">
        <v>2135</v>
      </c>
      <c r="B1061" s="6" t="s">
        <v>2136</v>
      </c>
      <c r="C1061" s="5" t="s">
        <v>36</v>
      </c>
      <c r="D1061" s="7">
        <f>IFERROR(__xludf.DUMMYFUNCTION("GOOGLEFINANCE(""ASX:HNDQ"", ""price"")"),50.45)</f>
        <v>50.45</v>
      </c>
      <c r="E1061" s="8">
        <f>IFERROR(__xludf.DUMMYFUNCTION("GOOGLEFINANCE(""ASX:HNDQ"", ""closeyest"")"),50.16)</f>
        <v>50.16</v>
      </c>
      <c r="F1061" s="5" t="str">
        <f>IFERROR(__xludf.DUMMYFUNCTION("GOOGLEFINANCE(""ASX:HNDQ"", ""pe"")"),"#N/A")</f>
        <v>#N/A</v>
      </c>
      <c r="G1061" s="9">
        <f>IFERROR(__xludf.DUMMYFUNCTION("GOOGLEFINANCE(""ASX:HNDQ"", ""high52"")"),51.75)</f>
        <v>51.75</v>
      </c>
      <c r="H1061" s="9">
        <f>IFERROR(__xludf.DUMMYFUNCTION("GOOGLEFINANCE(""ASX:HNDQ"", ""low52"")"),32.96)</f>
        <v>32.96</v>
      </c>
      <c r="I1061" s="9" t="str">
        <f>IFERROR(__xludf.DUMMYFUNCTION("GOOGLEFINANCE(""ASX:HNDQ"", ""marketcap"")"),"#N/A")</f>
        <v>#N/A</v>
      </c>
      <c r="J1061" s="5"/>
      <c r="K1061" s="5"/>
      <c r="L1061" s="5"/>
      <c r="M1061" s="5"/>
      <c r="N1061" s="11" t="s">
        <v>19</v>
      </c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>
      <c r="A1062" s="6" t="s">
        <v>2137</v>
      </c>
      <c r="B1062" s="6" t="s">
        <v>2138</v>
      </c>
      <c r="C1062" s="5" t="s">
        <v>22</v>
      </c>
      <c r="D1062" s="7">
        <f>IFERROR(__xludf.DUMMYFUNCTION("GOOGLEFINANCE(""ASX:HNG"", ""price"")"),0.23)</f>
        <v>0.23</v>
      </c>
      <c r="E1062" s="8">
        <f>IFERROR(__xludf.DUMMYFUNCTION("GOOGLEFINANCE(""ASX:HNG"", ""closeyest"")"),0.22)</f>
        <v>0.22</v>
      </c>
      <c r="F1062" s="5" t="str">
        <f>IFERROR(__xludf.DUMMYFUNCTION("GOOGLEFINANCE(""ASX:HNG"", ""pe"")"),"#N/A")</f>
        <v>#N/A</v>
      </c>
      <c r="G1062" s="9">
        <f>IFERROR(__xludf.DUMMYFUNCTION("GOOGLEFINANCE(""ASX:HNG"", ""high52"")"),0.31)</f>
        <v>0.31</v>
      </c>
      <c r="H1062" s="9">
        <f>IFERROR(__xludf.DUMMYFUNCTION("GOOGLEFINANCE(""ASX:HNG"", ""low52"")"),0.2)</f>
        <v>0.2</v>
      </c>
      <c r="I1062" s="9">
        <f>IFERROR(__xludf.DUMMYFUNCTION("GOOGLEFINANCE(""ASX:HNG"", ""marketcap"")"),1.17322174E8)</f>
        <v>117322174</v>
      </c>
      <c r="J1062" s="5"/>
      <c r="K1062" s="5"/>
      <c r="L1062" s="5"/>
      <c r="M1062" s="5"/>
      <c r="N1062" s="11" t="s">
        <v>19</v>
      </c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>
      <c r="A1063" s="6" t="s">
        <v>2139</v>
      </c>
      <c r="B1063" s="6" t="s">
        <v>2140</v>
      </c>
      <c r="C1063" s="5" t="s">
        <v>18</v>
      </c>
      <c r="D1063" s="7">
        <f>IFERROR(__xludf.DUMMYFUNCTION("GOOGLEFINANCE(""ASX:HOR"", ""price"")"),0.05)</f>
        <v>0.05</v>
      </c>
      <c r="E1063" s="8">
        <f>IFERROR(__xludf.DUMMYFUNCTION("GOOGLEFINANCE(""ASX:HOR"", ""closeyest"")"),0.04)</f>
        <v>0.04</v>
      </c>
      <c r="F1063" s="5" t="str">
        <f>IFERROR(__xludf.DUMMYFUNCTION("GOOGLEFINANCE(""ASX:HOR"", ""pe"")"),"#N/A")</f>
        <v>#N/A</v>
      </c>
      <c r="G1063" s="9">
        <f>IFERROR(__xludf.DUMMYFUNCTION("GOOGLEFINANCE(""ASX:HOR"", ""high52"")"),0.05)</f>
        <v>0.05</v>
      </c>
      <c r="H1063" s="9">
        <f>IFERROR(__xludf.DUMMYFUNCTION("GOOGLEFINANCE(""ASX:HOR"", ""low52"")"),0.01)</f>
        <v>0.01</v>
      </c>
      <c r="I1063" s="9">
        <f>IFERROR(__xludf.DUMMYFUNCTION("GOOGLEFINANCE(""ASX:HOR"", ""marketcap"")"),3.4110248E7)</f>
        <v>34110248</v>
      </c>
      <c r="J1063" s="9">
        <v>0.007</v>
      </c>
      <c r="K1063" s="9">
        <v>0.007</v>
      </c>
      <c r="L1063" s="9">
        <v>0.007</v>
      </c>
      <c r="M1063" s="9">
        <v>0.007</v>
      </c>
      <c r="N1063" s="11" t="s">
        <v>19</v>
      </c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>
      <c r="A1064" s="6" t="s">
        <v>2141</v>
      </c>
      <c r="B1064" s="6" t="s">
        <v>2142</v>
      </c>
      <c r="C1064" s="5" t="s">
        <v>174</v>
      </c>
      <c r="D1064" s="7">
        <f>IFERROR(__xludf.DUMMYFUNCTION("GOOGLEFINANCE(""ASX:HPC"", ""price"")"),0.01)</f>
        <v>0.01</v>
      </c>
      <c r="E1064" s="8">
        <f>IFERROR(__xludf.DUMMYFUNCTION("GOOGLEFINANCE(""ASX:HPC"", ""closeyest"")"),0.01)</f>
        <v>0.01</v>
      </c>
      <c r="F1064" s="9">
        <f>IFERROR(__xludf.DUMMYFUNCTION("GOOGLEFINANCE(""ASX:HPC"", ""pe"")"),0.15)</f>
        <v>0.15</v>
      </c>
      <c r="G1064" s="9">
        <f>IFERROR(__xludf.DUMMYFUNCTION("GOOGLEFINANCE(""ASX:HPC"", ""high52"")"),0.02)</f>
        <v>0.02</v>
      </c>
      <c r="H1064" s="9">
        <f>IFERROR(__xludf.DUMMYFUNCTION("GOOGLEFINANCE(""ASX:HPC"", ""low52"")"),0.0)</f>
        <v>0</v>
      </c>
      <c r="I1064" s="9">
        <f>IFERROR(__xludf.DUMMYFUNCTION("GOOGLEFINANCE(""ASX:HPC"", ""marketcap"")"),2154000.0)</f>
        <v>2154000</v>
      </c>
      <c r="J1064" s="5"/>
      <c r="K1064" s="5"/>
      <c r="L1064" s="5"/>
      <c r="M1064" s="5"/>
      <c r="N1064" s="9">
        <f>IFERROR(__xludf.DUMMYFUNCTION("IFERROR(GOOGLEFINANCE(""ASX:HPC"", ""pe""), ""N/A"")"),0.15)</f>
        <v>0.15</v>
      </c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>
      <c r="A1065" s="6" t="s">
        <v>2143</v>
      </c>
      <c r="B1065" s="6" t="s">
        <v>2144</v>
      </c>
      <c r="C1065" s="5" t="s">
        <v>70</v>
      </c>
      <c r="D1065" s="7">
        <f>IFERROR(__xludf.DUMMYFUNCTION("GOOGLEFINANCE(""ASX:HPG"", ""price"")"),1.22)</f>
        <v>1.22</v>
      </c>
      <c r="E1065" s="8">
        <f>IFERROR(__xludf.DUMMYFUNCTION("GOOGLEFINANCE(""ASX:HPG"", ""closeyest"")"),1.25)</f>
        <v>1.25</v>
      </c>
      <c r="F1065" s="9">
        <f>IFERROR(__xludf.DUMMYFUNCTION("GOOGLEFINANCE(""ASX:HPG"", ""pe"")"),69.11)</f>
        <v>69.11</v>
      </c>
      <c r="G1065" s="9">
        <f>IFERROR(__xludf.DUMMYFUNCTION("GOOGLEFINANCE(""ASX:HPG"", ""high52"")"),1.5)</f>
        <v>1.5</v>
      </c>
      <c r="H1065" s="9">
        <f>IFERROR(__xludf.DUMMYFUNCTION("GOOGLEFINANCE(""ASX:HPG"", ""low52"")"),0.78)</f>
        <v>0.78</v>
      </c>
      <c r="I1065" s="9">
        <f>IFERROR(__xludf.DUMMYFUNCTION("GOOGLEFINANCE(""ASX:HPG"", ""marketcap"")"),1.65667441E8)</f>
        <v>165667441</v>
      </c>
      <c r="J1065" s="5"/>
      <c r="K1065" s="5"/>
      <c r="L1065" s="5"/>
      <c r="M1065" s="5"/>
      <c r="N1065" s="9">
        <f>IFERROR(__xludf.DUMMYFUNCTION("IFERROR(GOOGLEFINANCE(""ASX:HPG"", ""pe""), ""N/A"")"),69.11)</f>
        <v>69.11</v>
      </c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>
      <c r="A1066" s="6" t="s">
        <v>2145</v>
      </c>
      <c r="B1066" s="6" t="s">
        <v>2146</v>
      </c>
      <c r="C1066" s="5" t="s">
        <v>78</v>
      </c>
      <c r="D1066" s="7">
        <f>IFERROR(__xludf.DUMMYFUNCTION("GOOGLEFINANCE(""ASX:HPR"", ""price"")"),0.06)</f>
        <v>0.06</v>
      </c>
      <c r="E1066" s="8">
        <f>IFERROR(__xludf.DUMMYFUNCTION("GOOGLEFINANCE(""ASX:HPR"", ""closeyest"")"),0.06)</f>
        <v>0.06</v>
      </c>
      <c r="F1066" s="5" t="str">
        <f>IFERROR(__xludf.DUMMYFUNCTION("GOOGLEFINANCE(""ASX:HPR"", ""pe"")"),"#N/A")</f>
        <v>#N/A</v>
      </c>
      <c r="G1066" s="9">
        <f>IFERROR(__xludf.DUMMYFUNCTION("GOOGLEFINANCE(""ASX:HPR"", ""high52"")"),0.09)</f>
        <v>0.09</v>
      </c>
      <c r="H1066" s="9">
        <f>IFERROR(__xludf.DUMMYFUNCTION("GOOGLEFINANCE(""ASX:HPR"", ""low52"")"),0.04)</f>
        <v>0.04</v>
      </c>
      <c r="I1066" s="9">
        <f>IFERROR(__xludf.DUMMYFUNCTION("GOOGLEFINANCE(""ASX:HPR"", ""marketcap"")"),1.272214E7)</f>
        <v>12722140</v>
      </c>
      <c r="J1066" s="5"/>
      <c r="K1066" s="5"/>
      <c r="L1066" s="5"/>
      <c r="M1066" s="5"/>
      <c r="N1066" s="11" t="s">
        <v>19</v>
      </c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>
      <c r="A1067" s="6" t="s">
        <v>2147</v>
      </c>
      <c r="B1067" s="6" t="s">
        <v>2148</v>
      </c>
      <c r="C1067" s="5" t="s">
        <v>36</v>
      </c>
      <c r="D1067" s="7">
        <f>IFERROR(__xludf.DUMMYFUNCTION("GOOGLEFINANCE(""ASX:HQLT"", ""price"")"),33.86)</f>
        <v>33.86</v>
      </c>
      <c r="E1067" s="8">
        <f>IFERROR(__xludf.DUMMYFUNCTION("GOOGLEFINANCE(""ASX:HQLT"", ""closeyest"")"),33.44)</f>
        <v>33.44</v>
      </c>
      <c r="F1067" s="5" t="str">
        <f>IFERROR(__xludf.DUMMYFUNCTION("GOOGLEFINANCE(""ASX:HQLT"", ""pe"")"),"#N/A")</f>
        <v>#N/A</v>
      </c>
      <c r="G1067" s="9">
        <f>IFERROR(__xludf.DUMMYFUNCTION("GOOGLEFINANCE(""ASX:HQLT"", ""high52"")"),34.0)</f>
        <v>34</v>
      </c>
      <c r="H1067" s="9">
        <f>IFERROR(__xludf.DUMMYFUNCTION("GOOGLEFINANCE(""ASX:HQLT"", ""low52"")"),25.2)</f>
        <v>25.2</v>
      </c>
      <c r="I1067" s="9" t="str">
        <f>IFERROR(__xludf.DUMMYFUNCTION("GOOGLEFINANCE(""ASX:HQLT"", ""marketcap"")"),"#N/A")</f>
        <v>#N/A</v>
      </c>
      <c r="J1067" s="5"/>
      <c r="K1067" s="5"/>
      <c r="L1067" s="5"/>
      <c r="M1067" s="5"/>
      <c r="N1067" s="11" t="s">
        <v>19</v>
      </c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>
      <c r="A1068" s="6" t="s">
        <v>2149</v>
      </c>
      <c r="B1068" s="6" t="s">
        <v>2150</v>
      </c>
      <c r="C1068" s="5" t="s">
        <v>36</v>
      </c>
      <c r="D1068" s="7">
        <f>IFERROR(__xludf.DUMMYFUNCTION("GOOGLEFINANCE(""ASX:HQUS"", ""price"")"),47.17)</f>
        <v>47.17</v>
      </c>
      <c r="E1068" s="8">
        <f>IFERROR(__xludf.DUMMYFUNCTION("GOOGLEFINANCE(""ASX:HQUS"", ""closeyest"")"),46.57)</f>
        <v>46.57</v>
      </c>
      <c r="F1068" s="5" t="str">
        <f>IFERROR(__xludf.DUMMYFUNCTION("GOOGLEFINANCE(""ASX:HQUS"", ""pe"")"),"#N/A")</f>
        <v>#N/A</v>
      </c>
      <c r="G1068" s="9">
        <f>IFERROR(__xludf.DUMMYFUNCTION("GOOGLEFINANCE(""ASX:HQUS"", ""high52"")"),47.21)</f>
        <v>47.21</v>
      </c>
      <c r="H1068" s="9">
        <f>IFERROR(__xludf.DUMMYFUNCTION("GOOGLEFINANCE(""ASX:HQUS"", ""low52"")"),36.15)</f>
        <v>36.15</v>
      </c>
      <c r="I1068" s="9" t="str">
        <f>IFERROR(__xludf.DUMMYFUNCTION("GOOGLEFINANCE(""ASX:HQUS"", ""marketcap"")"),"#N/A")</f>
        <v>#N/A</v>
      </c>
      <c r="J1068" s="5"/>
      <c r="K1068" s="5"/>
      <c r="L1068" s="5"/>
      <c r="M1068" s="5"/>
      <c r="N1068" s="11" t="s">
        <v>19</v>
      </c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>
      <c r="A1069" s="6" t="s">
        <v>2151</v>
      </c>
      <c r="B1069" s="6" t="s">
        <v>2152</v>
      </c>
      <c r="C1069" s="5" t="s">
        <v>450</v>
      </c>
      <c r="D1069" s="7">
        <f>IFERROR(__xludf.DUMMYFUNCTION("GOOGLEFINANCE(""ASX:HRE"", ""price"")"),0.05)</f>
        <v>0.05</v>
      </c>
      <c r="E1069" s="8">
        <f>IFERROR(__xludf.DUMMYFUNCTION("GOOGLEFINANCE(""ASX:HRE"", ""closeyest"")"),0.05)</f>
        <v>0.05</v>
      </c>
      <c r="F1069" s="5" t="str">
        <f>IFERROR(__xludf.DUMMYFUNCTION("GOOGLEFINANCE(""ASX:HRE"", ""pe"")"),"#N/A")</f>
        <v>#N/A</v>
      </c>
      <c r="G1069" s="9">
        <f>IFERROR(__xludf.DUMMYFUNCTION("GOOGLEFINANCE(""ASX:HRE"", ""high52"")"),0.07)</f>
        <v>0.07</v>
      </c>
      <c r="H1069" s="9">
        <f>IFERROR(__xludf.DUMMYFUNCTION("GOOGLEFINANCE(""ASX:HRE"", ""low52"")"),0.02)</f>
        <v>0.02</v>
      </c>
      <c r="I1069" s="9">
        <f>IFERROR(__xludf.DUMMYFUNCTION("GOOGLEFINANCE(""ASX:HRE"", ""marketcap"")"),1.0276869E7)</f>
        <v>10276869</v>
      </c>
      <c r="J1069" s="5"/>
      <c r="K1069" s="5"/>
      <c r="L1069" s="5"/>
      <c r="M1069" s="5"/>
      <c r="N1069" s="11" t="s">
        <v>19</v>
      </c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>
      <c r="A1070" s="6" t="s">
        <v>2153</v>
      </c>
      <c r="B1070" s="6" t="s">
        <v>2154</v>
      </c>
      <c r="C1070" s="5" t="s">
        <v>88</v>
      </c>
      <c r="D1070" s="7">
        <f>IFERROR(__xludf.DUMMYFUNCTION("GOOGLEFINANCE(""ASX:HRN"", ""price"")"),0.86)</f>
        <v>0.86</v>
      </c>
      <c r="E1070" s="8">
        <f>IFERROR(__xludf.DUMMYFUNCTION("GOOGLEFINANCE(""ASX:HRN"", ""closeyest"")"),0.85)</f>
        <v>0.85</v>
      </c>
      <c r="F1070" s="5" t="str">
        <f>IFERROR(__xludf.DUMMYFUNCTION("GOOGLEFINANCE(""ASX:HRN"", ""pe"")"),"#N/A")</f>
        <v>#N/A</v>
      </c>
      <c r="G1070" s="9">
        <f>IFERROR(__xludf.DUMMYFUNCTION("GOOGLEFINANCE(""ASX:HRN"", ""high52"")"),0.86)</f>
        <v>0.86</v>
      </c>
      <c r="H1070" s="9">
        <f>IFERROR(__xludf.DUMMYFUNCTION("GOOGLEFINANCE(""ASX:HRN"", ""low52"")"),0.38)</f>
        <v>0.38</v>
      </c>
      <c r="I1070" s="9">
        <f>IFERROR(__xludf.DUMMYFUNCTION("GOOGLEFINANCE(""ASX:HRN"", ""marketcap"")"),1.45045452E8)</f>
        <v>145045452</v>
      </c>
      <c r="J1070" s="5"/>
      <c r="K1070" s="5"/>
      <c r="L1070" s="5"/>
      <c r="M1070" s="5"/>
      <c r="N1070" s="11" t="s">
        <v>19</v>
      </c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>
      <c r="A1071" s="6" t="s">
        <v>2155</v>
      </c>
      <c r="B1071" s="6" t="s">
        <v>2156</v>
      </c>
      <c r="C1071" s="5" t="s">
        <v>88</v>
      </c>
      <c r="D1071" s="7">
        <f>IFERROR(__xludf.DUMMYFUNCTION("GOOGLEFINANCE(""ASX:HRZ"", ""price"")"),1.27)</f>
        <v>1.27</v>
      </c>
      <c r="E1071" s="8">
        <f>IFERROR(__xludf.DUMMYFUNCTION("GOOGLEFINANCE(""ASX:HRZ"", ""closeyest"")"),1.24)</f>
        <v>1.24</v>
      </c>
      <c r="F1071" s="5" t="str">
        <f>IFERROR(__xludf.DUMMYFUNCTION("GOOGLEFINANCE(""ASX:HRZ"", ""pe"")"),"#N/A")</f>
        <v>#N/A</v>
      </c>
      <c r="G1071" s="9">
        <f>IFERROR(__xludf.DUMMYFUNCTION("GOOGLEFINANCE(""ASX:HRZ"", ""high52"")"),1.37)</f>
        <v>1.37</v>
      </c>
      <c r="H1071" s="9">
        <f>IFERROR(__xludf.DUMMYFUNCTION("GOOGLEFINANCE(""ASX:HRZ"", ""low52"")"),0.63)</f>
        <v>0.63</v>
      </c>
      <c r="I1071" s="9">
        <f>IFERROR(__xludf.DUMMYFUNCTION("GOOGLEFINANCE(""ASX:HRZ"", ""marketcap"")"),2.60928989E8)</f>
        <v>260928989</v>
      </c>
      <c r="J1071" s="5"/>
      <c r="K1071" s="5"/>
      <c r="L1071" s="5"/>
      <c r="M1071" s="5"/>
      <c r="N1071" s="11" t="s">
        <v>19</v>
      </c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>
      <c r="A1072" s="6" t="s">
        <v>2157</v>
      </c>
      <c r="B1072" s="6" t="s">
        <v>2158</v>
      </c>
      <c r="C1072" s="5" t="s">
        <v>15</v>
      </c>
      <c r="D1072" s="7">
        <f>IFERROR(__xludf.DUMMYFUNCTION("GOOGLEFINANCE(""ASX:HSN"", ""price"")"),5.3)</f>
        <v>5.3</v>
      </c>
      <c r="E1072" s="8">
        <f>IFERROR(__xludf.DUMMYFUNCTION("GOOGLEFINANCE(""ASX:HSN"", ""closeyest"")"),5.31)</f>
        <v>5.31</v>
      </c>
      <c r="F1072" s="9">
        <f>IFERROR(__xludf.DUMMYFUNCTION("GOOGLEFINANCE(""ASX:HSN"", ""pe"")"),25.22)</f>
        <v>25.22</v>
      </c>
      <c r="G1072" s="9">
        <f>IFERROR(__xludf.DUMMYFUNCTION("GOOGLEFINANCE(""ASX:HSN"", ""high52"")"),6.5)</f>
        <v>6.5</v>
      </c>
      <c r="H1072" s="9">
        <f>IFERROR(__xludf.DUMMYFUNCTION("GOOGLEFINANCE(""ASX:HSN"", ""low52"")"),4.53)</f>
        <v>4.53</v>
      </c>
      <c r="I1072" s="9">
        <f>IFERROR(__xludf.DUMMYFUNCTION("GOOGLEFINANCE(""ASX:HSN"", ""marketcap"")"),1.082405788E9)</f>
        <v>1082405788</v>
      </c>
      <c r="J1072" s="5"/>
      <c r="K1072" s="5"/>
      <c r="L1072" s="5"/>
      <c r="M1072" s="5"/>
      <c r="N1072" s="9">
        <f>IFERROR(__xludf.DUMMYFUNCTION("IFERROR(GOOGLEFINANCE(""ASX:HSN"", ""pe""), ""N/A"")"),25.22)</f>
        <v>25.22</v>
      </c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>
      <c r="A1073" s="6" t="s">
        <v>2159</v>
      </c>
      <c r="B1073" s="6" t="s">
        <v>2160</v>
      </c>
      <c r="C1073" s="5" t="s">
        <v>70</v>
      </c>
      <c r="D1073" s="7">
        <f>IFERROR(__xludf.DUMMYFUNCTION("GOOGLEFINANCE(""ASX:HT8"", ""price"")"),0.01)</f>
        <v>0.01</v>
      </c>
      <c r="E1073" s="8">
        <f>IFERROR(__xludf.DUMMYFUNCTION("GOOGLEFINANCE(""ASX:HT8"", ""closeyest"")"),0.01)</f>
        <v>0.01</v>
      </c>
      <c r="F1073" s="5" t="str">
        <f>IFERROR(__xludf.DUMMYFUNCTION("GOOGLEFINANCE(""ASX:HT8"", ""pe"")"),"#N/A")</f>
        <v>#N/A</v>
      </c>
      <c r="G1073" s="9">
        <f>IFERROR(__xludf.DUMMYFUNCTION("GOOGLEFINANCE(""ASX:HT8"", ""high52"")"),0.02)</f>
        <v>0.02</v>
      </c>
      <c r="H1073" s="9">
        <f>IFERROR(__xludf.DUMMYFUNCTION("GOOGLEFINANCE(""ASX:HT8"", ""low52"")"),0.01)</f>
        <v>0.01</v>
      </c>
      <c r="I1073" s="9">
        <f>IFERROR(__xludf.DUMMYFUNCTION("GOOGLEFINANCE(""ASX:HT8"", ""marketcap"")"),2960690.0)</f>
        <v>2960690</v>
      </c>
      <c r="J1073" s="9">
        <v>0.505</v>
      </c>
      <c r="K1073" s="5"/>
      <c r="L1073" s="9">
        <v>0.535</v>
      </c>
      <c r="M1073" s="9">
        <v>0.492</v>
      </c>
      <c r="N1073" s="11" t="s">
        <v>19</v>
      </c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>
      <c r="A1074" s="6" t="s">
        <v>2161</v>
      </c>
      <c r="B1074" s="6" t="s">
        <v>2162</v>
      </c>
      <c r="C1074" s="5" t="s">
        <v>103</v>
      </c>
      <c r="D1074" s="7">
        <f>IFERROR(__xludf.DUMMYFUNCTION("GOOGLEFINANCE(""ASX:HTG"", ""price"")"),0.02)</f>
        <v>0.02</v>
      </c>
      <c r="E1074" s="8">
        <f>IFERROR(__xludf.DUMMYFUNCTION("GOOGLEFINANCE(""ASX:HTG"", ""closeyest"")"),0.02)</f>
        <v>0.02</v>
      </c>
      <c r="F1074" s="5" t="str">
        <f>IFERROR(__xludf.DUMMYFUNCTION("GOOGLEFINANCE(""ASX:HTG"", ""pe"")"),"#N/A")</f>
        <v>#N/A</v>
      </c>
      <c r="G1074" s="9">
        <f>IFERROR(__xludf.DUMMYFUNCTION("GOOGLEFINANCE(""ASX:HTG"", ""high52"")"),0.03)</f>
        <v>0.03</v>
      </c>
      <c r="H1074" s="9">
        <f>IFERROR(__xludf.DUMMYFUNCTION("GOOGLEFINANCE(""ASX:HTG"", ""low52"")"),0.01)</f>
        <v>0.01</v>
      </c>
      <c r="I1074" s="9">
        <f>IFERROR(__xludf.DUMMYFUNCTION("GOOGLEFINANCE(""ASX:HTG"", ""marketcap"")"),2.8557504E7)</f>
        <v>28557504</v>
      </c>
      <c r="J1074" s="5"/>
      <c r="K1074" s="5"/>
      <c r="L1074" s="5"/>
      <c r="M1074" s="5"/>
      <c r="N1074" s="11" t="s">
        <v>19</v>
      </c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>
      <c r="A1075" s="6" t="s">
        <v>2163</v>
      </c>
      <c r="B1075" s="6" t="s">
        <v>2164</v>
      </c>
      <c r="C1075" s="5" t="s">
        <v>39</v>
      </c>
      <c r="D1075" s="7">
        <f>IFERROR(__xludf.DUMMYFUNCTION("GOOGLEFINANCE(""ASX:HTM"", ""price"")"),0.3)</f>
        <v>0.3</v>
      </c>
      <c r="E1075" s="8">
        <f>IFERROR(__xludf.DUMMYFUNCTION("GOOGLEFINANCE(""ASX:HTM"", ""closeyest"")"),0.33)</f>
        <v>0.33</v>
      </c>
      <c r="F1075" s="5" t="str">
        <f>IFERROR(__xludf.DUMMYFUNCTION("GOOGLEFINANCE(""ASX:HTM"", ""pe"")"),"#N/A")</f>
        <v>#N/A</v>
      </c>
      <c r="G1075" s="9">
        <f>IFERROR(__xludf.DUMMYFUNCTION("GOOGLEFINANCE(""ASX:HTM"", ""high52"")"),0.36)</f>
        <v>0.36</v>
      </c>
      <c r="H1075" s="9">
        <f>IFERROR(__xludf.DUMMYFUNCTION("GOOGLEFINANCE(""ASX:HTM"", ""low52"")"),0.14)</f>
        <v>0.14</v>
      </c>
      <c r="I1075" s="9">
        <f>IFERROR(__xludf.DUMMYFUNCTION("GOOGLEFINANCE(""ASX:HTM"", ""marketcap"")"),1.7811999E7)</f>
        <v>17811999</v>
      </c>
      <c r="J1075" s="5"/>
      <c r="K1075" s="5"/>
      <c r="L1075" s="5"/>
      <c r="M1075" s="5"/>
      <c r="N1075" s="11" t="s">
        <v>19</v>
      </c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>
      <c r="A1076" s="6" t="s">
        <v>2165</v>
      </c>
      <c r="B1076" s="6" t="s">
        <v>2166</v>
      </c>
      <c r="C1076" s="5" t="s">
        <v>140</v>
      </c>
      <c r="D1076" s="7">
        <f>IFERROR(__xludf.DUMMYFUNCTION("GOOGLEFINANCE(""ASX:HUB"", ""price"")"),93.64)</f>
        <v>93.64</v>
      </c>
      <c r="E1076" s="8">
        <f>IFERROR(__xludf.DUMMYFUNCTION("GOOGLEFINANCE(""ASX:HUB"", ""closeyest"")"),91.91)</f>
        <v>91.91</v>
      </c>
      <c r="F1076" s="9">
        <f>IFERROR(__xludf.DUMMYFUNCTION("GOOGLEFINANCE(""ASX:HUB"", ""pe"")"),97.81)</f>
        <v>97.81</v>
      </c>
      <c r="G1076" s="9">
        <f>IFERROR(__xludf.DUMMYFUNCTION("GOOGLEFINANCE(""ASX:HUB"", ""high52"")"),122.03)</f>
        <v>122.03</v>
      </c>
      <c r="H1076" s="9">
        <f>IFERROR(__xludf.DUMMYFUNCTION("GOOGLEFINANCE(""ASX:HUB"", ""low52"")"),48.84)</f>
        <v>48.84</v>
      </c>
      <c r="I1076" s="9">
        <f>IFERROR(__xludf.DUMMYFUNCTION("GOOGLEFINANCE(""ASX:HUB"", ""marketcap"")"),7.657296709E9)</f>
        <v>7657296709</v>
      </c>
      <c r="J1076" s="5"/>
      <c r="K1076" s="5"/>
      <c r="L1076" s="5"/>
      <c r="M1076" s="5"/>
      <c r="N1076" s="9">
        <f>IFERROR(__xludf.DUMMYFUNCTION("IFERROR(GOOGLEFINANCE(""ASX:HUB"", ""pe""), ""N/A"")"),97.81)</f>
        <v>97.81</v>
      </c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>
      <c r="A1077" s="6" t="s">
        <v>2167</v>
      </c>
      <c r="B1077" s="6" t="s">
        <v>2168</v>
      </c>
      <c r="C1077" s="5" t="s">
        <v>36</v>
      </c>
      <c r="D1077" s="7">
        <f>IFERROR(__xludf.DUMMYFUNCTION("GOOGLEFINANCE(""ASX:HUGE"", ""price"")"),12.53)</f>
        <v>12.53</v>
      </c>
      <c r="E1077" s="8">
        <f>IFERROR(__xludf.DUMMYFUNCTION("GOOGLEFINANCE(""ASX:HUGE"", ""closeyest"")"),12.67)</f>
        <v>12.67</v>
      </c>
      <c r="F1077" s="5" t="str">
        <f>IFERROR(__xludf.DUMMYFUNCTION("GOOGLEFINANCE(""ASX:HUGE"", ""pe"")"),"#N/A")</f>
        <v>#N/A</v>
      </c>
      <c r="G1077" s="9">
        <f>IFERROR(__xludf.DUMMYFUNCTION("GOOGLEFINANCE(""ASX:HUGE"", ""high52"")"),13.5)</f>
        <v>13.5</v>
      </c>
      <c r="H1077" s="9">
        <f>IFERROR(__xludf.DUMMYFUNCTION("GOOGLEFINANCE(""ASX:HUGE"", ""low52"")"),12.53)</f>
        <v>12.53</v>
      </c>
      <c r="I1077" s="9" t="str">
        <f>IFERROR(__xludf.DUMMYFUNCTION("GOOGLEFINANCE(""ASX:HUGE"", ""marketcap"")"),"#N/A")</f>
        <v>#N/A</v>
      </c>
      <c r="J1077" s="5"/>
      <c r="K1077" s="5"/>
      <c r="L1077" s="5"/>
      <c r="M1077" s="5"/>
      <c r="N1077" s="11" t="s">
        <v>19</v>
      </c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>
      <c r="A1078" s="6" t="s">
        <v>2169</v>
      </c>
      <c r="B1078" s="6" t="s">
        <v>2170</v>
      </c>
      <c r="C1078" s="5" t="s">
        <v>241</v>
      </c>
      <c r="D1078" s="7">
        <f>IFERROR(__xludf.DUMMYFUNCTION("GOOGLEFINANCE(""ASX:HUM"", ""price"")"),0.74)</f>
        <v>0.74</v>
      </c>
      <c r="E1078" s="8">
        <f>IFERROR(__xludf.DUMMYFUNCTION("GOOGLEFINANCE(""ASX:HUM"", ""closeyest"")"),0.73)</f>
        <v>0.73</v>
      </c>
      <c r="F1078" s="9">
        <f>IFERROR(__xludf.DUMMYFUNCTION("GOOGLEFINANCE(""ASX:HUM"", ""pe"")"),10.58)</f>
        <v>10.58</v>
      </c>
      <c r="G1078" s="9">
        <f>IFERROR(__xludf.DUMMYFUNCTION("GOOGLEFINANCE(""ASX:HUM"", ""high52"")"),0.78)</f>
        <v>0.78</v>
      </c>
      <c r="H1078" s="9">
        <f>IFERROR(__xludf.DUMMYFUNCTION("GOOGLEFINANCE(""ASX:HUM"", ""low52"")"),0.43)</f>
        <v>0.43</v>
      </c>
      <c r="I1078" s="9">
        <f>IFERROR(__xludf.DUMMYFUNCTION("GOOGLEFINANCE(""ASX:HUM"", ""marketcap"")"),3.64965286E8)</f>
        <v>364965286</v>
      </c>
      <c r="J1078" s="5"/>
      <c r="K1078" s="5"/>
      <c r="L1078" s="5"/>
      <c r="M1078" s="5"/>
      <c r="N1078" s="9">
        <f>IFERROR(__xludf.DUMMYFUNCTION("IFERROR(GOOGLEFINANCE(""ASX:HUM"", ""pe""), ""N/A"")"),10.58)</f>
        <v>10.58</v>
      </c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>
      <c r="A1079" s="6" t="s">
        <v>2171</v>
      </c>
      <c r="B1079" s="6" t="s">
        <v>2172</v>
      </c>
      <c r="C1079" s="5" t="s">
        <v>36</v>
      </c>
      <c r="D1079" s="7">
        <f>IFERROR(__xludf.DUMMYFUNCTION("GOOGLEFINANCE(""ASX:HVLU"", ""price"")"),35.8)</f>
        <v>35.8</v>
      </c>
      <c r="E1079" s="8">
        <f>IFERROR(__xludf.DUMMYFUNCTION("GOOGLEFINANCE(""ASX:HVLU"", ""closeyest"")"),35.51)</f>
        <v>35.51</v>
      </c>
      <c r="F1079" s="5" t="str">
        <f>IFERROR(__xludf.DUMMYFUNCTION("GOOGLEFINANCE(""ASX:HVLU"", ""pe"")"),"#N/A")</f>
        <v>#N/A</v>
      </c>
      <c r="G1079" s="9">
        <f>IFERROR(__xludf.DUMMYFUNCTION("GOOGLEFINANCE(""ASX:HVLU"", ""high52"")"),35.82)</f>
        <v>35.82</v>
      </c>
      <c r="H1079" s="9">
        <f>IFERROR(__xludf.DUMMYFUNCTION("GOOGLEFINANCE(""ASX:HVLU"", ""low52"")"),23.83)</f>
        <v>23.83</v>
      </c>
      <c r="I1079" s="9" t="str">
        <f>IFERROR(__xludf.DUMMYFUNCTION("GOOGLEFINANCE(""ASX:HVLU"", ""marketcap"")"),"#N/A")</f>
        <v>#N/A</v>
      </c>
      <c r="J1079" s="5"/>
      <c r="K1079" s="5"/>
      <c r="L1079" s="5"/>
      <c r="M1079" s="5"/>
      <c r="N1079" s="11" t="s">
        <v>19</v>
      </c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>
      <c r="A1080" s="6" t="s">
        <v>2173</v>
      </c>
      <c r="B1080" s="6" t="s">
        <v>2174</v>
      </c>
      <c r="C1080" s="5" t="s">
        <v>153</v>
      </c>
      <c r="D1080" s="7">
        <f>IFERROR(__xludf.DUMMYFUNCTION("GOOGLEFINANCE(""ASX:HVN"", ""price"")"),6.56)</f>
        <v>6.56</v>
      </c>
      <c r="E1080" s="8">
        <f>IFERROR(__xludf.DUMMYFUNCTION("GOOGLEFINANCE(""ASX:HVN"", ""closeyest"")"),6.9)</f>
        <v>6.9</v>
      </c>
      <c r="F1080" s="9">
        <f>IFERROR(__xludf.DUMMYFUNCTION("GOOGLEFINANCE(""ASX:HVN"", ""pe"")"),15.81)</f>
        <v>15.81</v>
      </c>
      <c r="G1080" s="9">
        <f>IFERROR(__xludf.DUMMYFUNCTION("GOOGLEFINANCE(""ASX:HVN"", ""high52"")"),7.7)</f>
        <v>7.7</v>
      </c>
      <c r="H1080" s="9">
        <f>IFERROR(__xludf.DUMMYFUNCTION("GOOGLEFINANCE(""ASX:HVN"", ""low52"")"),4.53)</f>
        <v>4.53</v>
      </c>
      <c r="I1080" s="9">
        <f>IFERROR(__xludf.DUMMYFUNCTION("GOOGLEFINANCE(""ASX:HVN"", ""marketcap"")"),8.173799288E9)</f>
        <v>8173799288</v>
      </c>
      <c r="J1080" s="5"/>
      <c r="K1080" s="5"/>
      <c r="L1080" s="5"/>
      <c r="M1080" s="5"/>
      <c r="N1080" s="9">
        <f>IFERROR(__xludf.DUMMYFUNCTION("IFERROR(GOOGLEFINANCE(""ASX:HVN"", ""pe""), ""N/A"")"),15.81)</f>
        <v>15.81</v>
      </c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>
      <c r="A1081" s="6" t="s">
        <v>2175</v>
      </c>
      <c r="B1081" s="6" t="s">
        <v>2176</v>
      </c>
      <c r="C1081" s="5" t="s">
        <v>36</v>
      </c>
      <c r="D1081" s="7">
        <f>IFERROR(__xludf.DUMMYFUNCTION("GOOGLEFINANCE(""ASX:HVST"", ""price"")"),13.38)</f>
        <v>13.38</v>
      </c>
      <c r="E1081" s="8">
        <f>IFERROR(__xludf.DUMMYFUNCTION("GOOGLEFINANCE(""ASX:HVST"", ""closeyest"")"),13.36)</f>
        <v>13.36</v>
      </c>
      <c r="F1081" s="5" t="str">
        <f>IFERROR(__xludf.DUMMYFUNCTION("GOOGLEFINANCE(""ASX:HVST"", ""pe"")"),"#N/A")</f>
        <v>#N/A</v>
      </c>
      <c r="G1081" s="9">
        <f>IFERROR(__xludf.DUMMYFUNCTION("GOOGLEFINANCE(""ASX:HVST"", ""high52"")"),14.24)</f>
        <v>14.24</v>
      </c>
      <c r="H1081" s="9">
        <f>IFERROR(__xludf.DUMMYFUNCTION("GOOGLEFINANCE(""ASX:HVST"", ""low52"")"),11.5)</f>
        <v>11.5</v>
      </c>
      <c r="I1081" s="9" t="str">
        <f>IFERROR(__xludf.DUMMYFUNCTION("GOOGLEFINANCE(""ASX:HVST"", ""marketcap"")"),"#N/A")</f>
        <v>#N/A</v>
      </c>
      <c r="J1081" s="9">
        <v>0.002</v>
      </c>
      <c r="K1081" s="9">
        <v>0.002</v>
      </c>
      <c r="L1081" s="9">
        <v>0.003</v>
      </c>
      <c r="M1081" s="9">
        <v>0.001</v>
      </c>
      <c r="N1081" s="11" t="s">
        <v>19</v>
      </c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>
      <c r="A1082" s="6" t="s">
        <v>2177</v>
      </c>
      <c r="B1082" s="6" t="s">
        <v>2178</v>
      </c>
      <c r="C1082" s="5" t="s">
        <v>39</v>
      </c>
      <c r="D1082" s="7">
        <f>IFERROR(__xludf.DUMMYFUNCTION("GOOGLEFINANCE(""ASX:HVY"", ""price"")"),0.51)</f>
        <v>0.51</v>
      </c>
      <c r="E1082" s="8">
        <f>IFERROR(__xludf.DUMMYFUNCTION("GOOGLEFINANCE(""ASX:HVY"", ""closeyest"")"),0.5)</f>
        <v>0.5</v>
      </c>
      <c r="F1082" s="5" t="str">
        <f>IFERROR(__xludf.DUMMYFUNCTION("GOOGLEFINANCE(""ASX:HVY"", ""pe"")"),"#N/A")</f>
        <v>#N/A</v>
      </c>
      <c r="G1082" s="9">
        <f>IFERROR(__xludf.DUMMYFUNCTION("GOOGLEFINANCE(""ASX:HVY"", ""high52"")"),0.7)</f>
        <v>0.7</v>
      </c>
      <c r="H1082" s="9">
        <f>IFERROR(__xludf.DUMMYFUNCTION("GOOGLEFINANCE(""ASX:HVY"", ""low52"")"),0.12)</f>
        <v>0.12</v>
      </c>
      <c r="I1082" s="9">
        <f>IFERROR(__xludf.DUMMYFUNCTION("GOOGLEFINANCE(""ASX:HVY"", ""marketcap"")"),3.4857963E7)</f>
        <v>34857963</v>
      </c>
      <c r="J1082" s="5"/>
      <c r="K1082" s="5"/>
      <c r="L1082" s="5"/>
      <c r="M1082" s="5"/>
      <c r="N1082" s="11" t="s">
        <v>19</v>
      </c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>
      <c r="A1083" s="6" t="s">
        <v>2179</v>
      </c>
      <c r="B1083" s="6" t="s">
        <v>2180</v>
      </c>
      <c r="C1083" s="5" t="s">
        <v>18</v>
      </c>
      <c r="D1083" s="7">
        <f>IFERROR(__xludf.DUMMYFUNCTION("GOOGLEFINANCE(""ASX:HWK"", ""price"")"),0.05)</f>
        <v>0.05</v>
      </c>
      <c r="E1083" s="8">
        <f>IFERROR(__xludf.DUMMYFUNCTION("GOOGLEFINANCE(""ASX:HWK"", ""closeyest"")"),0.04)</f>
        <v>0.04</v>
      </c>
      <c r="F1083" s="5" t="str">
        <f>IFERROR(__xludf.DUMMYFUNCTION("GOOGLEFINANCE(""ASX:HWK"", ""pe"")"),"#N/A")</f>
        <v>#N/A</v>
      </c>
      <c r="G1083" s="9">
        <f>IFERROR(__xludf.DUMMYFUNCTION("GOOGLEFINANCE(""ASX:HWK"", ""high52"")"),0.05)</f>
        <v>0.05</v>
      </c>
      <c r="H1083" s="9">
        <f>IFERROR(__xludf.DUMMYFUNCTION("GOOGLEFINANCE(""ASX:HWK"", ""low52"")"),0.01)</f>
        <v>0.01</v>
      </c>
      <c r="I1083" s="9">
        <f>IFERROR(__xludf.DUMMYFUNCTION("GOOGLEFINANCE(""ASX:HWK"", ""marketcap"")"),2.241936E7)</f>
        <v>22419360</v>
      </c>
      <c r="J1083" s="9">
        <v>0.056</v>
      </c>
      <c r="K1083" s="9">
        <v>0.056</v>
      </c>
      <c r="L1083" s="9">
        <v>0.28</v>
      </c>
      <c r="M1083" s="9">
        <v>0.05</v>
      </c>
      <c r="N1083" s="11" t="s">
        <v>19</v>
      </c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>
      <c r="A1084" s="6" t="s">
        <v>2181</v>
      </c>
      <c r="B1084" s="6" t="s">
        <v>2182</v>
      </c>
      <c r="C1084" s="5" t="s">
        <v>25</v>
      </c>
      <c r="D1084" s="7">
        <f>IFERROR(__xludf.DUMMYFUNCTION("GOOGLEFINANCE(""ASX:HXL"", ""price"")"),0.01)</f>
        <v>0.01</v>
      </c>
      <c r="E1084" s="8">
        <f>IFERROR(__xludf.DUMMYFUNCTION("GOOGLEFINANCE(""ASX:HXL"", ""closeyest"")"),0.01)</f>
        <v>0.01</v>
      </c>
      <c r="F1084" s="5" t="str">
        <f>IFERROR(__xludf.DUMMYFUNCTION("GOOGLEFINANCE(""ASX:HXL"", ""pe"")"),"#N/A")</f>
        <v>#N/A</v>
      </c>
      <c r="G1084" s="9">
        <f>IFERROR(__xludf.DUMMYFUNCTION("GOOGLEFINANCE(""ASX:HXL"", ""high52"")"),0.01)</f>
        <v>0.01</v>
      </c>
      <c r="H1084" s="9">
        <f>IFERROR(__xludf.DUMMYFUNCTION("GOOGLEFINANCE(""ASX:HXL"", ""low52"")"),0.01)</f>
        <v>0.01</v>
      </c>
      <c r="I1084" s="9">
        <f>IFERROR(__xludf.DUMMYFUNCTION("GOOGLEFINANCE(""ASX:HXL"", ""marketcap"")"),2822976.0)</f>
        <v>2822976</v>
      </c>
      <c r="J1084" s="5"/>
      <c r="K1084" s="5"/>
      <c r="L1084" s="5"/>
      <c r="M1084" s="5"/>
      <c r="N1084" s="11" t="s">
        <v>19</v>
      </c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>
      <c r="A1085" s="6" t="s">
        <v>2183</v>
      </c>
      <c r="B1085" s="6" t="s">
        <v>2184</v>
      </c>
      <c r="C1085" s="5" t="s">
        <v>161</v>
      </c>
      <c r="D1085" s="7">
        <f>IFERROR(__xludf.DUMMYFUNCTION("GOOGLEFINANCE(""ASX:HYD"", ""price"")"),0.01)</f>
        <v>0.01</v>
      </c>
      <c r="E1085" s="8">
        <f>IFERROR(__xludf.DUMMYFUNCTION("GOOGLEFINANCE(""ASX:HYD"", ""closeyest"")"),0.01)</f>
        <v>0.01</v>
      </c>
      <c r="F1085" s="5" t="str">
        <f>IFERROR(__xludf.DUMMYFUNCTION("GOOGLEFINANCE(""ASX:HYD"", ""pe"")"),"#N/A")</f>
        <v>#N/A</v>
      </c>
      <c r="G1085" s="9">
        <f>IFERROR(__xludf.DUMMYFUNCTION("GOOGLEFINANCE(""ASX:HYD"", ""high52"")"),0.03)</f>
        <v>0.03</v>
      </c>
      <c r="H1085" s="9">
        <f>IFERROR(__xludf.DUMMYFUNCTION("GOOGLEFINANCE(""ASX:HYD"", ""low52"")"),0.01)</f>
        <v>0.01</v>
      </c>
      <c r="I1085" s="9">
        <f>IFERROR(__xludf.DUMMYFUNCTION("GOOGLEFINANCE(""ASX:HYD"", ""marketcap"")"),4582522.0)</f>
        <v>4582522</v>
      </c>
      <c r="J1085" s="5"/>
      <c r="K1085" s="5"/>
      <c r="L1085" s="5"/>
      <c r="M1085" s="5"/>
      <c r="N1085" s="11" t="s">
        <v>19</v>
      </c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>
      <c r="A1086" s="6" t="s">
        <v>2185</v>
      </c>
      <c r="B1086" s="6" t="s">
        <v>2186</v>
      </c>
      <c r="C1086" s="5" t="s">
        <v>36</v>
      </c>
      <c r="D1086" s="7" t="str">
        <f>IFERROR(__xludf.DUMMYFUNCTION("GOOGLEFINANCE(""ASX:HYGG"", ""price"")"),"#N/A")</f>
        <v>#N/A</v>
      </c>
      <c r="E1086" s="8" t="str">
        <f>IFERROR(__xludf.DUMMYFUNCTION("GOOGLEFINANCE(""ASX:HYGG"", ""closeyest"")"),"#N/A")</f>
        <v>#N/A</v>
      </c>
      <c r="F1086" s="5" t="str">
        <f>IFERROR(__xludf.DUMMYFUNCTION("GOOGLEFINANCE(""ASX:HYGG"", ""pe"")"),"#N/A")</f>
        <v>#N/A</v>
      </c>
      <c r="G1086" s="5" t="str">
        <f>IFERROR(__xludf.DUMMYFUNCTION("GOOGLEFINANCE(""ASX:HYGG"", ""high52"")"),"#N/A")</f>
        <v>#N/A</v>
      </c>
      <c r="H1086" s="5" t="str">
        <f>IFERROR(__xludf.DUMMYFUNCTION("GOOGLEFINANCE(""ASX:HYGG"", ""low52"")"),"#N/A")</f>
        <v>#N/A</v>
      </c>
      <c r="I1086" s="9" t="str">
        <f>IFERROR(__xludf.DUMMYFUNCTION("GOOGLEFINANCE(""ASX:HYGG"", ""marketcap"")"),"#N/A")</f>
        <v>#N/A</v>
      </c>
      <c r="J1086" s="12">
        <v>6.9</v>
      </c>
      <c r="K1086" s="12">
        <v>6.91</v>
      </c>
      <c r="L1086" s="12">
        <v>7.82</v>
      </c>
      <c r="M1086" s="12">
        <v>5.34</v>
      </c>
      <c r="N1086" s="11" t="s">
        <v>19</v>
      </c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>
      <c r="A1087" s="6" t="s">
        <v>2187</v>
      </c>
      <c r="B1087" s="6" t="s">
        <v>2188</v>
      </c>
      <c r="C1087" s="5" t="s">
        <v>36</v>
      </c>
      <c r="D1087" s="7">
        <f>IFERROR(__xludf.DUMMYFUNCTION("GOOGLEFINANCE(""ASX:HYLD"", ""price"")"),30.99)</f>
        <v>30.99</v>
      </c>
      <c r="E1087" s="8">
        <f>IFERROR(__xludf.DUMMYFUNCTION("GOOGLEFINANCE(""ASX:HYLD"", ""closeyest"")"),31.04)</f>
        <v>31.04</v>
      </c>
      <c r="F1087" s="5" t="str">
        <f>IFERROR(__xludf.DUMMYFUNCTION("GOOGLEFINANCE(""ASX:HYLD"", ""pe"")"),"#N/A")</f>
        <v>#N/A</v>
      </c>
      <c r="G1087" s="9">
        <f>IFERROR(__xludf.DUMMYFUNCTION("GOOGLEFINANCE(""ASX:HYLD"", ""high52"")"),32.27)</f>
        <v>32.27</v>
      </c>
      <c r="H1087" s="9">
        <f>IFERROR(__xludf.DUMMYFUNCTION("GOOGLEFINANCE(""ASX:HYLD"", ""low52"")"),30.04)</f>
        <v>30.04</v>
      </c>
      <c r="I1087" s="9" t="str">
        <f>IFERROR(__xludf.DUMMYFUNCTION("GOOGLEFINANCE(""ASX:HYLD"", ""marketcap"")"),"#N/A")</f>
        <v>#N/A</v>
      </c>
      <c r="J1087" s="5"/>
      <c r="K1087" s="5"/>
      <c r="L1087" s="5"/>
      <c r="M1087" s="5"/>
      <c r="N1087" s="11" t="s">
        <v>19</v>
      </c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>
      <c r="A1088" s="6" t="s">
        <v>2189</v>
      </c>
      <c r="B1088" s="6" t="s">
        <v>2190</v>
      </c>
      <c r="C1088" s="5" t="s">
        <v>1899</v>
      </c>
      <c r="D1088" s="7">
        <f>IFERROR(__xludf.DUMMYFUNCTION("GOOGLEFINANCE(""ASX:HYT"", ""price"")"),0.02)</f>
        <v>0.02</v>
      </c>
      <c r="E1088" s="8">
        <f>IFERROR(__xludf.DUMMYFUNCTION("GOOGLEFINANCE(""ASX:HYT"", ""closeyest"")"),0.02)</f>
        <v>0.02</v>
      </c>
      <c r="F1088" s="5" t="str">
        <f>IFERROR(__xludf.DUMMYFUNCTION("GOOGLEFINANCE(""ASX:HYT"", ""pe"")"),"#N/A")</f>
        <v>#N/A</v>
      </c>
      <c r="G1088" s="9">
        <f>IFERROR(__xludf.DUMMYFUNCTION("GOOGLEFINANCE(""ASX:HYT"", ""high52"")"),0.05)</f>
        <v>0.05</v>
      </c>
      <c r="H1088" s="9">
        <f>IFERROR(__xludf.DUMMYFUNCTION("GOOGLEFINANCE(""ASX:HYT"", ""low52"")"),0.02)</f>
        <v>0.02</v>
      </c>
      <c r="I1088" s="9">
        <f>IFERROR(__xludf.DUMMYFUNCTION("GOOGLEFINANCE(""ASX:HYT"", ""marketcap"")"),4.0275139E7)</f>
        <v>40275139</v>
      </c>
      <c r="J1088" s="9">
        <v>5.53</v>
      </c>
      <c r="K1088" s="9">
        <v>5.49</v>
      </c>
      <c r="L1088" s="9">
        <v>6.125</v>
      </c>
      <c r="M1088" s="9">
        <v>4.31</v>
      </c>
      <c r="N1088" s="11" t="s">
        <v>19</v>
      </c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>
      <c r="A1089" s="6" t="s">
        <v>2191</v>
      </c>
      <c r="B1089" s="6" t="s">
        <v>2192</v>
      </c>
      <c r="C1089" s="5" t="s">
        <v>78</v>
      </c>
      <c r="D1089" s="7">
        <f>IFERROR(__xludf.DUMMYFUNCTION("GOOGLEFINANCE(""ASX:HZN"", ""price"")"),0.21)</f>
        <v>0.21</v>
      </c>
      <c r="E1089" s="8">
        <f>IFERROR(__xludf.DUMMYFUNCTION("GOOGLEFINANCE(""ASX:HZN"", ""closeyest"")"),0.21)</f>
        <v>0.21</v>
      </c>
      <c r="F1089" s="9">
        <f>IFERROR(__xludf.DUMMYFUNCTION("GOOGLEFINANCE(""ASX:HZN"", ""pe"")"),18.27)</f>
        <v>18.27</v>
      </c>
      <c r="G1089" s="9">
        <f>IFERROR(__xludf.DUMMYFUNCTION("GOOGLEFINANCE(""ASX:HZN"", ""high52"")"),0.23)</f>
        <v>0.23</v>
      </c>
      <c r="H1089" s="9">
        <f>IFERROR(__xludf.DUMMYFUNCTION("GOOGLEFINANCE(""ASX:HZN"", ""low52"")"),0.17)</f>
        <v>0.17</v>
      </c>
      <c r="I1089" s="9">
        <f>IFERROR(__xludf.DUMMYFUNCTION("GOOGLEFINANCE(""ASX:HZN"", ""marketcap"")"),3.25711377E8)</f>
        <v>325711377</v>
      </c>
      <c r="J1089" s="5"/>
      <c r="K1089" s="5"/>
      <c r="L1089" s="5"/>
      <c r="M1089" s="5"/>
      <c r="N1089" s="9">
        <f>IFERROR(__xludf.DUMMYFUNCTION("IFERROR(GOOGLEFINANCE(""ASX:HZN"", ""pe""), ""N/A"")"),18.27)</f>
        <v>18.27</v>
      </c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>
      <c r="A1090" s="6" t="s">
        <v>2193</v>
      </c>
      <c r="B1090" s="6" t="s">
        <v>2194</v>
      </c>
      <c r="C1090" s="5" t="s">
        <v>223</v>
      </c>
      <c r="D1090" s="7">
        <f>IFERROR(__xludf.DUMMYFUNCTION("GOOGLEFINANCE(""ASX:HZR"", ""price"")"),0.51)</f>
        <v>0.51</v>
      </c>
      <c r="E1090" s="8">
        <f>IFERROR(__xludf.DUMMYFUNCTION("GOOGLEFINANCE(""ASX:HZR"", ""closeyest"")"),0.51)</f>
        <v>0.51</v>
      </c>
      <c r="F1090" s="5" t="str">
        <f>IFERROR(__xludf.DUMMYFUNCTION("GOOGLEFINANCE(""ASX:HZR"", ""pe"")"),"#N/A")</f>
        <v>#N/A</v>
      </c>
      <c r="G1090" s="9">
        <f>IFERROR(__xludf.DUMMYFUNCTION("GOOGLEFINANCE(""ASX:HZR"", ""high52"")"),0.64)</f>
        <v>0.64</v>
      </c>
      <c r="H1090" s="9">
        <f>IFERROR(__xludf.DUMMYFUNCTION("GOOGLEFINANCE(""ASX:HZR"", ""low52"")"),0.27)</f>
        <v>0.27</v>
      </c>
      <c r="I1090" s="9">
        <f>IFERROR(__xludf.DUMMYFUNCTION("GOOGLEFINANCE(""ASX:HZR"", ""marketcap"")"),1.32833279E8)</f>
        <v>132833279</v>
      </c>
      <c r="J1090" s="5"/>
      <c r="K1090" s="5"/>
      <c r="L1090" s="5"/>
      <c r="M1090" s="5"/>
      <c r="N1090" s="11" t="s">
        <v>19</v>
      </c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>
      <c r="A1091" s="6" t="s">
        <v>2195</v>
      </c>
      <c r="B1091" s="6" t="s">
        <v>2196</v>
      </c>
      <c r="C1091" s="5" t="s">
        <v>18</v>
      </c>
      <c r="D1091" s="7">
        <f>IFERROR(__xludf.DUMMYFUNCTION("GOOGLEFINANCE(""ASX:I88"", ""price"")"),0.29)</f>
        <v>0.29</v>
      </c>
      <c r="E1091" s="8">
        <f>IFERROR(__xludf.DUMMYFUNCTION("GOOGLEFINANCE(""ASX:I88"", ""closeyest"")"),0.29)</f>
        <v>0.29</v>
      </c>
      <c r="F1091" s="5" t="str">
        <f>IFERROR(__xludf.DUMMYFUNCTION("GOOGLEFINANCE(""ASX:I88"", ""pe"")"),"#N/A")</f>
        <v>#N/A</v>
      </c>
      <c r="G1091" s="9">
        <f>IFERROR(__xludf.DUMMYFUNCTION("GOOGLEFINANCE(""ASX:I88"", ""high52"")"),0.76)</f>
        <v>0.76</v>
      </c>
      <c r="H1091" s="9">
        <f>IFERROR(__xludf.DUMMYFUNCTION("GOOGLEFINANCE(""ASX:I88"", ""low52"")"),0.08)</f>
        <v>0.08</v>
      </c>
      <c r="I1091" s="9">
        <f>IFERROR(__xludf.DUMMYFUNCTION("GOOGLEFINANCE(""ASX:I88"", ""marketcap"")"),2.4398441E7)</f>
        <v>24398441</v>
      </c>
      <c r="J1091" s="5"/>
      <c r="K1091" s="5"/>
      <c r="L1091" s="5"/>
      <c r="M1091" s="5"/>
      <c r="N1091" s="11" t="s">
        <v>19</v>
      </c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>
      <c r="A1092" s="6" t="s">
        <v>2197</v>
      </c>
      <c r="B1092" s="6" t="s">
        <v>2198</v>
      </c>
      <c r="C1092" s="5" t="s">
        <v>36</v>
      </c>
      <c r="D1092" s="7">
        <f>IFERROR(__xludf.DUMMYFUNCTION("GOOGLEFINANCE(""ASX:IAA"", ""price"")"),154.0)</f>
        <v>154</v>
      </c>
      <c r="E1092" s="8">
        <f>IFERROR(__xludf.DUMMYFUNCTION("GOOGLEFINANCE(""ASX:IAA"", ""closeyest"")"),157.07)</f>
        <v>157.07</v>
      </c>
      <c r="F1092" s="5" t="str">
        <f>IFERROR(__xludf.DUMMYFUNCTION("GOOGLEFINANCE(""ASX:IAA"", ""pe"")"),"#N/A")</f>
        <v>#N/A</v>
      </c>
      <c r="G1092" s="9">
        <f>IFERROR(__xludf.DUMMYFUNCTION("GOOGLEFINANCE(""ASX:IAA"", ""high52"")"),158.25)</f>
        <v>158.25</v>
      </c>
      <c r="H1092" s="9">
        <f>IFERROR(__xludf.DUMMYFUNCTION("GOOGLEFINANCE(""ASX:IAA"", ""low52"")"),100.0)</f>
        <v>100</v>
      </c>
      <c r="I1092" s="9" t="str">
        <f>IFERROR(__xludf.DUMMYFUNCTION("GOOGLEFINANCE(""ASX:IAA"", ""marketcap"")"),"#N/A")</f>
        <v>#N/A</v>
      </c>
      <c r="J1092" s="5"/>
      <c r="K1092" s="5"/>
      <c r="L1092" s="5"/>
      <c r="M1092" s="5"/>
      <c r="N1092" s="11" t="s">
        <v>19</v>
      </c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>
      <c r="A1093" s="6" t="s">
        <v>2199</v>
      </c>
      <c r="B1093" s="6" t="s">
        <v>2200</v>
      </c>
      <c r="C1093" s="5" t="s">
        <v>36</v>
      </c>
      <c r="D1093" s="7">
        <f>IFERROR(__xludf.DUMMYFUNCTION("GOOGLEFINANCE(""ASX:IACT"", ""price"")"),28.49)</f>
        <v>28.49</v>
      </c>
      <c r="E1093" s="8">
        <f>IFERROR(__xludf.DUMMYFUNCTION("GOOGLEFINANCE(""ASX:IACT"", ""closeyest"")"),28.49)</f>
        <v>28.49</v>
      </c>
      <c r="F1093" s="5" t="str">
        <f>IFERROR(__xludf.DUMMYFUNCTION("GOOGLEFINANCE(""ASX:IACT"", ""pe"")"),"#N/A")</f>
        <v>#N/A</v>
      </c>
      <c r="G1093" s="9">
        <f>IFERROR(__xludf.DUMMYFUNCTION("GOOGLEFINANCE(""ASX:IACT"", ""high52"")"),29.12)</f>
        <v>29.12</v>
      </c>
      <c r="H1093" s="9">
        <f>IFERROR(__xludf.DUMMYFUNCTION("GOOGLEFINANCE(""ASX:IACT"", ""low52"")"),25.35)</f>
        <v>25.35</v>
      </c>
      <c r="I1093" s="9" t="str">
        <f>IFERROR(__xludf.DUMMYFUNCTION("GOOGLEFINANCE(""ASX:IACT"", ""marketcap"")"),"#N/A")</f>
        <v>#N/A</v>
      </c>
      <c r="J1093" s="5"/>
      <c r="K1093" s="5"/>
      <c r="L1093" s="5"/>
      <c r="M1093" s="5"/>
      <c r="N1093" s="11" t="s">
        <v>19</v>
      </c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>
      <c r="A1094" s="6" t="s">
        <v>2201</v>
      </c>
      <c r="B1094" s="6" t="s">
        <v>2202</v>
      </c>
      <c r="C1094" s="5" t="s">
        <v>36</v>
      </c>
      <c r="D1094" s="7">
        <f>IFERROR(__xludf.DUMMYFUNCTION("GOOGLEFINANCE(""ASX:IAF"", ""price"")"),101.16)</f>
        <v>101.16</v>
      </c>
      <c r="E1094" s="8">
        <f>IFERROR(__xludf.DUMMYFUNCTION("GOOGLEFINANCE(""ASX:IAF"", ""closeyest"")"),101.87)</f>
        <v>101.87</v>
      </c>
      <c r="F1094" s="5" t="str">
        <f>IFERROR(__xludf.DUMMYFUNCTION("GOOGLEFINANCE(""ASX:IAF"", ""pe"")"),"#N/A")</f>
        <v>#N/A</v>
      </c>
      <c r="G1094" s="9">
        <f>IFERROR(__xludf.DUMMYFUNCTION("GOOGLEFINANCE(""ASX:IAF"", ""high52"")"),104.99)</f>
        <v>104.99</v>
      </c>
      <c r="H1094" s="9">
        <f>IFERROR(__xludf.DUMMYFUNCTION("GOOGLEFINANCE(""ASX:IAF"", ""low52"")"),99.84)</f>
        <v>99.84</v>
      </c>
      <c r="I1094" s="9" t="str">
        <f>IFERROR(__xludf.DUMMYFUNCTION("GOOGLEFINANCE(""ASX:IAF"", ""marketcap"")"),"#N/A")</f>
        <v>#N/A</v>
      </c>
      <c r="J1094" s="5"/>
      <c r="K1094" s="5"/>
      <c r="L1094" s="5"/>
      <c r="M1094" s="5"/>
      <c r="N1094" s="11" t="s">
        <v>19</v>
      </c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>
      <c r="A1095" s="6" t="s">
        <v>2203</v>
      </c>
      <c r="B1095" s="6" t="s">
        <v>2204</v>
      </c>
      <c r="C1095" s="5" t="s">
        <v>2112</v>
      </c>
      <c r="D1095" s="7">
        <f>IFERROR(__xludf.DUMMYFUNCTION("GOOGLEFINANCE(""ASX:IAG"", ""price"")"),7.97)</f>
        <v>7.97</v>
      </c>
      <c r="E1095" s="8">
        <f>IFERROR(__xludf.DUMMYFUNCTION("GOOGLEFINANCE(""ASX:IAG"", ""closeyest"")"),7.86)</f>
        <v>7.86</v>
      </c>
      <c r="F1095" s="9">
        <f>IFERROR(__xludf.DUMMYFUNCTION("GOOGLEFINANCE(""ASX:IAG"", ""pe"")"),14.2)</f>
        <v>14.2</v>
      </c>
      <c r="G1095" s="9">
        <f>IFERROR(__xludf.DUMMYFUNCTION("GOOGLEFINANCE(""ASX:IAG"", ""high52"")"),9.21)</f>
        <v>9.21</v>
      </c>
      <c r="H1095" s="9">
        <f>IFERROR(__xludf.DUMMYFUNCTION("GOOGLEFINANCE(""ASX:IAG"", ""low52"")"),7.1)</f>
        <v>7.1</v>
      </c>
      <c r="I1095" s="9">
        <f>IFERROR(__xludf.DUMMYFUNCTION("GOOGLEFINANCE(""ASX:IAG"", ""marketcap"")"),1.8851312983E10)</f>
        <v>18851312983</v>
      </c>
      <c r="J1095" s="9">
        <v>2.39</v>
      </c>
      <c r="K1095" s="9">
        <v>2.39</v>
      </c>
      <c r="L1095" s="9">
        <v>3.9</v>
      </c>
      <c r="M1095" s="9">
        <v>2.26</v>
      </c>
      <c r="N1095" s="9">
        <f>IFERROR(__xludf.DUMMYFUNCTION("IFERROR(GOOGLEFINANCE(""ASX:IAG"", ""pe""), ""N/A"")"),14.2)</f>
        <v>14.2</v>
      </c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>
      <c r="A1096" s="6" t="s">
        <v>2205</v>
      </c>
      <c r="B1096" s="6" t="s">
        <v>2206</v>
      </c>
      <c r="C1096" s="5" t="s">
        <v>171</v>
      </c>
      <c r="D1096" s="7">
        <f>IFERROR(__xludf.DUMMYFUNCTION("GOOGLEFINANCE(""ASX:IAM"", ""price"")"),0.04)</f>
        <v>0.04</v>
      </c>
      <c r="E1096" s="8">
        <f>IFERROR(__xludf.DUMMYFUNCTION("GOOGLEFINANCE(""ASX:IAM"", ""closeyest"")"),0.03)</f>
        <v>0.03</v>
      </c>
      <c r="F1096" s="5" t="str">
        <f>IFERROR(__xludf.DUMMYFUNCTION("GOOGLEFINANCE(""ASX:IAM"", ""pe"")"),"#N/A")</f>
        <v>#N/A</v>
      </c>
      <c r="G1096" s="9">
        <f>IFERROR(__xludf.DUMMYFUNCTION("GOOGLEFINANCE(""ASX:IAM"", ""high52"")"),0.05)</f>
        <v>0.05</v>
      </c>
      <c r="H1096" s="9">
        <f>IFERROR(__xludf.DUMMYFUNCTION("GOOGLEFINANCE(""ASX:IAM"", ""low52"")"),0.02)</f>
        <v>0.02</v>
      </c>
      <c r="I1096" s="9">
        <f>IFERROR(__xludf.DUMMYFUNCTION("GOOGLEFINANCE(""ASX:IAM"", ""marketcap"")"),3.6924545E7)</f>
        <v>36924545</v>
      </c>
      <c r="J1096" s="5"/>
      <c r="K1096" s="5"/>
      <c r="L1096" s="5"/>
      <c r="M1096" s="5"/>
      <c r="N1096" s="11" t="s">
        <v>19</v>
      </c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>
      <c r="A1097" s="6" t="s">
        <v>2207</v>
      </c>
      <c r="B1097" s="6" t="s">
        <v>2208</v>
      </c>
      <c r="C1097" s="5" t="s">
        <v>36</v>
      </c>
      <c r="D1097" s="7">
        <f>IFERROR(__xludf.DUMMYFUNCTION("GOOGLEFINANCE(""ASX:IBAL"", ""price"")"),30.66)</f>
        <v>30.66</v>
      </c>
      <c r="E1097" s="8">
        <f>IFERROR(__xludf.DUMMYFUNCTION("GOOGLEFINANCE(""ASX:IBAL"", ""closeyest"")"),30.46)</f>
        <v>30.46</v>
      </c>
      <c r="F1097" s="5" t="str">
        <f>IFERROR(__xludf.DUMMYFUNCTION("GOOGLEFINANCE(""ASX:IBAL"", ""pe"")"),"#N/A")</f>
        <v>#N/A</v>
      </c>
      <c r="G1097" s="9">
        <f>IFERROR(__xludf.DUMMYFUNCTION("GOOGLEFINANCE(""ASX:IBAL"", ""high52"")"),31.07)</f>
        <v>31.07</v>
      </c>
      <c r="H1097" s="9">
        <f>IFERROR(__xludf.DUMMYFUNCTION("GOOGLEFINANCE(""ASX:IBAL"", ""low52"")"),28.0)</f>
        <v>28</v>
      </c>
      <c r="I1097" s="9" t="str">
        <f>IFERROR(__xludf.DUMMYFUNCTION("GOOGLEFINANCE(""ASX:IBAL"", ""marketcap"")"),"#N/A")</f>
        <v>#N/A</v>
      </c>
      <c r="J1097" s="5"/>
      <c r="K1097" s="5"/>
      <c r="L1097" s="5"/>
      <c r="M1097" s="5"/>
      <c r="N1097" s="11" t="s">
        <v>19</v>
      </c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>
      <c r="A1098" s="6" t="s">
        <v>2209</v>
      </c>
      <c r="B1098" s="6" t="s">
        <v>2210</v>
      </c>
      <c r="C1098" s="5" t="s">
        <v>171</v>
      </c>
      <c r="D1098" s="7">
        <f>IFERROR(__xludf.DUMMYFUNCTION("GOOGLEFINANCE(""ASX:IBC"", ""price"")"),0.44)</f>
        <v>0.44</v>
      </c>
      <c r="E1098" s="8">
        <f>IFERROR(__xludf.DUMMYFUNCTION("GOOGLEFINANCE(""ASX:IBC"", ""closeyest"")"),0.44)</f>
        <v>0.44</v>
      </c>
      <c r="F1098" s="9">
        <f>IFERROR(__xludf.DUMMYFUNCTION("GOOGLEFINANCE(""ASX:IBC"", ""pe"")"),15.19)</f>
        <v>15.19</v>
      </c>
      <c r="G1098" s="9">
        <f>IFERROR(__xludf.DUMMYFUNCTION("GOOGLEFINANCE(""ASX:IBC"", ""high52"")"),0.46)</f>
        <v>0.46</v>
      </c>
      <c r="H1098" s="9">
        <f>IFERROR(__xludf.DUMMYFUNCTION("GOOGLEFINANCE(""ASX:IBC"", ""low52"")"),0.41)</f>
        <v>0.41</v>
      </c>
      <c r="I1098" s="9">
        <f>IFERROR(__xludf.DUMMYFUNCTION("GOOGLEFINANCE(""ASX:IBC"", ""marketcap"")"),4.5154163E7)</f>
        <v>45154163</v>
      </c>
      <c r="J1098" s="5"/>
      <c r="K1098" s="5"/>
      <c r="L1098" s="5"/>
      <c r="M1098" s="5"/>
      <c r="N1098" s="9">
        <f>IFERROR(__xludf.DUMMYFUNCTION("IFERROR(GOOGLEFINANCE(""ASX:IBC"", ""pe""), ""N/A"")"),15.19)</f>
        <v>15.19</v>
      </c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>
      <c r="A1099" s="6" t="s">
        <v>2211</v>
      </c>
      <c r="B1099" s="6" t="s">
        <v>2212</v>
      </c>
      <c r="C1099" s="5" t="s">
        <v>36</v>
      </c>
      <c r="D1099" s="7">
        <f>IFERROR(__xludf.DUMMYFUNCTION("GOOGLEFINANCE(""ASX:IBIT"", ""price"")"),26.14)</f>
        <v>26.14</v>
      </c>
      <c r="E1099" s="8">
        <f>IFERROR(__xludf.DUMMYFUNCTION("GOOGLEFINANCE(""ASX:IBIT"", ""closeyest"")"),26.54)</f>
        <v>26.54</v>
      </c>
      <c r="F1099" s="5" t="str">
        <f>IFERROR(__xludf.DUMMYFUNCTION("GOOGLEFINANCE(""ASX:IBIT"", ""pe"")"),"#N/A")</f>
        <v>#N/A</v>
      </c>
      <c r="G1099" s="9">
        <f>IFERROR(__xludf.DUMMYFUNCTION("GOOGLEFINANCE(""ASX:IBIT"", ""high52"")"),29.26)</f>
        <v>29.26</v>
      </c>
      <c r="H1099" s="9">
        <f>IFERROR(__xludf.DUMMYFUNCTION("GOOGLEFINANCE(""ASX:IBIT"", ""low52"")"),24.5)</f>
        <v>24.5</v>
      </c>
      <c r="I1099" s="9" t="str">
        <f>IFERROR(__xludf.DUMMYFUNCTION("GOOGLEFINANCE(""ASX:IBIT"", ""marketcap"")"),"#N/A")</f>
        <v>#N/A</v>
      </c>
      <c r="J1099" s="5"/>
      <c r="K1099" s="5"/>
      <c r="L1099" s="5"/>
      <c r="M1099" s="5"/>
      <c r="N1099" s="11" t="s">
        <v>19</v>
      </c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>
      <c r="A1100" s="6" t="s">
        <v>2213</v>
      </c>
      <c r="B1100" s="6" t="s">
        <v>2214</v>
      </c>
      <c r="C1100" s="5" t="s">
        <v>25</v>
      </c>
      <c r="D1100" s="7">
        <f>IFERROR(__xludf.DUMMYFUNCTION("GOOGLEFINANCE(""ASX:IBX"", ""price"")"),0.03)</f>
        <v>0.03</v>
      </c>
      <c r="E1100" s="8">
        <f>IFERROR(__xludf.DUMMYFUNCTION("GOOGLEFINANCE(""ASX:IBX"", ""closeyest"")"),0.03)</f>
        <v>0.03</v>
      </c>
      <c r="F1100" s="5" t="str">
        <f>IFERROR(__xludf.DUMMYFUNCTION("GOOGLEFINANCE(""ASX:IBX"", ""pe"")"),"#N/A")</f>
        <v>#N/A</v>
      </c>
      <c r="G1100" s="9">
        <f>IFERROR(__xludf.DUMMYFUNCTION("GOOGLEFINANCE(""ASX:IBX"", ""high52"")"),0.06)</f>
        <v>0.06</v>
      </c>
      <c r="H1100" s="9">
        <f>IFERROR(__xludf.DUMMYFUNCTION("GOOGLEFINANCE(""ASX:IBX"", ""low52"")"),0.01)</f>
        <v>0.01</v>
      </c>
      <c r="I1100" s="9">
        <f>IFERROR(__xludf.DUMMYFUNCTION("GOOGLEFINANCE(""ASX:IBX"", ""marketcap"")"),1.5037984E7)</f>
        <v>15037984</v>
      </c>
      <c r="J1100" s="5"/>
      <c r="K1100" s="5"/>
      <c r="L1100" s="5"/>
      <c r="M1100" s="5"/>
      <c r="N1100" s="11" t="s">
        <v>19</v>
      </c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>
      <c r="A1101" s="6" t="s">
        <v>2215</v>
      </c>
      <c r="B1101" s="6" t="s">
        <v>2216</v>
      </c>
      <c r="C1101" s="5" t="s">
        <v>184</v>
      </c>
      <c r="D1101" s="7">
        <f>IFERROR(__xludf.DUMMYFUNCTION("GOOGLEFINANCE(""ASX:ICE"", ""price"")"),0.05)</f>
        <v>0.05</v>
      </c>
      <c r="E1101" s="8">
        <f>IFERROR(__xludf.DUMMYFUNCTION("GOOGLEFINANCE(""ASX:ICE"", ""closeyest"")"),0.05)</f>
        <v>0.05</v>
      </c>
      <c r="F1101" s="5" t="str">
        <f>IFERROR(__xludf.DUMMYFUNCTION("GOOGLEFINANCE(""ASX:ICE"", ""pe"")"),"#N/A")</f>
        <v>#N/A</v>
      </c>
      <c r="G1101" s="9">
        <f>IFERROR(__xludf.DUMMYFUNCTION("GOOGLEFINANCE(""ASX:ICE"", ""high52"")"),0.1)</f>
        <v>0.1</v>
      </c>
      <c r="H1101" s="9">
        <f>IFERROR(__xludf.DUMMYFUNCTION("GOOGLEFINANCE(""ASX:ICE"", ""low52"")"),0.01)</f>
        <v>0.01</v>
      </c>
      <c r="I1101" s="9">
        <f>IFERROR(__xludf.DUMMYFUNCTION("GOOGLEFINANCE(""ASX:ICE"", ""marketcap"")"),2.5017086E7)</f>
        <v>25017086</v>
      </c>
      <c r="J1101" s="5"/>
      <c r="K1101" s="5"/>
      <c r="L1101" s="5"/>
      <c r="M1101" s="5"/>
      <c r="N1101" s="11" t="s">
        <v>19</v>
      </c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>
      <c r="A1102" s="6" t="s">
        <v>2217</v>
      </c>
      <c r="B1102" s="6" t="s">
        <v>2218</v>
      </c>
      <c r="C1102" s="5" t="s">
        <v>15</v>
      </c>
      <c r="D1102" s="7">
        <f>IFERROR(__xludf.DUMMYFUNCTION("GOOGLEFINANCE(""ASX:ICI"", ""price"")"),0.02)</f>
        <v>0.02</v>
      </c>
      <c r="E1102" s="8">
        <f>IFERROR(__xludf.DUMMYFUNCTION("GOOGLEFINANCE(""ASX:ICI"", ""closeyest"")"),0.02)</f>
        <v>0.02</v>
      </c>
      <c r="F1102" s="9" t="str">
        <f>IFERROR(__xludf.DUMMYFUNCTION("GOOGLEFINANCE(""ASX:ICI"", ""pe"")"),"#N/A")</f>
        <v>#N/A</v>
      </c>
      <c r="G1102" s="9">
        <f>IFERROR(__xludf.DUMMYFUNCTION("GOOGLEFINANCE(""ASX:ICI"", ""high52"")"),0.03)</f>
        <v>0.03</v>
      </c>
      <c r="H1102" s="9">
        <f>IFERROR(__xludf.DUMMYFUNCTION("GOOGLEFINANCE(""ASX:ICI"", ""low52"")"),0.02)</f>
        <v>0.02</v>
      </c>
      <c r="I1102" s="9">
        <f>IFERROR(__xludf.DUMMYFUNCTION("GOOGLEFINANCE(""ASX:ICI"", ""marketcap"")"),2.048652E7)</f>
        <v>20486520</v>
      </c>
      <c r="J1102" s="5"/>
      <c r="K1102" s="5"/>
      <c r="L1102" s="5"/>
      <c r="M1102" s="5"/>
      <c r="N1102" s="10">
        <v>55.17</v>
      </c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>
      <c r="A1103" s="6" t="s">
        <v>2219</v>
      </c>
      <c r="B1103" s="6" t="s">
        <v>2220</v>
      </c>
      <c r="C1103" s="5" t="s">
        <v>88</v>
      </c>
      <c r="D1103" s="7">
        <f>IFERROR(__xludf.DUMMYFUNCTION("GOOGLEFINANCE(""ASX:ICL"", ""price"")"),0.06)</f>
        <v>0.06</v>
      </c>
      <c r="E1103" s="8">
        <f>IFERROR(__xludf.DUMMYFUNCTION("GOOGLEFINANCE(""ASX:ICL"", ""closeyest"")"),0.07)</f>
        <v>0.07</v>
      </c>
      <c r="F1103" s="5" t="str">
        <f>IFERROR(__xludf.DUMMYFUNCTION("GOOGLEFINANCE(""ASX:ICL"", ""pe"")"),"#N/A")</f>
        <v>#N/A</v>
      </c>
      <c r="G1103" s="9">
        <f>IFERROR(__xludf.DUMMYFUNCTION("GOOGLEFINANCE(""ASX:ICL"", ""high52"")"),0.1)</f>
        <v>0.1</v>
      </c>
      <c r="H1103" s="9">
        <f>IFERROR(__xludf.DUMMYFUNCTION("GOOGLEFINANCE(""ASX:ICL"", ""low52"")"),0.05)</f>
        <v>0.05</v>
      </c>
      <c r="I1103" s="9">
        <f>IFERROR(__xludf.DUMMYFUNCTION("GOOGLEFINANCE(""ASX:ICL"", ""marketcap"")"),2.1695265E7)</f>
        <v>21695265</v>
      </c>
      <c r="J1103" s="5"/>
      <c r="K1103" s="5"/>
      <c r="L1103" s="5"/>
      <c r="M1103" s="5"/>
      <c r="N1103" s="11" t="s">
        <v>19</v>
      </c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>
      <c r="A1104" s="6" t="s">
        <v>2221</v>
      </c>
      <c r="B1104" s="6" t="s">
        <v>2222</v>
      </c>
      <c r="C1104" s="5" t="s">
        <v>36</v>
      </c>
      <c r="D1104" s="7">
        <f>IFERROR(__xludf.DUMMYFUNCTION("GOOGLEFINANCE(""ASX:ICME"", ""price"")"),100.15)</f>
        <v>100.15</v>
      </c>
      <c r="E1104" s="8">
        <f>IFERROR(__xludf.DUMMYFUNCTION("GOOGLEFINANCE(""ASX:ICME"", ""closeyest"")"),100.63)</f>
        <v>100.63</v>
      </c>
      <c r="F1104" s="5" t="str">
        <f>IFERROR(__xludf.DUMMYFUNCTION("GOOGLEFINANCE(""ASX:ICME"", ""pe"")"),"#N/A")</f>
        <v>#N/A</v>
      </c>
      <c r="G1104" s="9">
        <f>IFERROR(__xludf.DUMMYFUNCTION("GOOGLEFINANCE(""ASX:ICME"", ""high52"")"),100.63)</f>
        <v>100.63</v>
      </c>
      <c r="H1104" s="9">
        <f>IFERROR(__xludf.DUMMYFUNCTION("GOOGLEFINANCE(""ASX:ICME"", ""low52"")"),100.14)</f>
        <v>100.14</v>
      </c>
      <c r="I1104" s="9" t="str">
        <f>IFERROR(__xludf.DUMMYFUNCTION("GOOGLEFINANCE(""ASX:ICME"", ""marketcap"")"),"#N/A")</f>
        <v>#N/A</v>
      </c>
      <c r="J1104" s="9">
        <v>0.003</v>
      </c>
      <c r="K1104" s="9">
        <v>0.003</v>
      </c>
      <c r="L1104" s="9">
        <v>0.005</v>
      </c>
      <c r="M1104" s="9">
        <v>0.002</v>
      </c>
      <c r="N1104" s="11" t="s">
        <v>19</v>
      </c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>
      <c r="A1105" s="6" t="s">
        <v>2223</v>
      </c>
      <c r="B1105" s="6" t="s">
        <v>2224</v>
      </c>
      <c r="C1105" s="5" t="s">
        <v>78</v>
      </c>
      <c r="D1105" s="7">
        <f>IFERROR(__xludf.DUMMYFUNCTION("GOOGLEFINANCE(""ASX:ICN"", ""price"")"),0.01)</f>
        <v>0.01</v>
      </c>
      <c r="E1105" s="8">
        <f>IFERROR(__xludf.DUMMYFUNCTION("GOOGLEFINANCE(""ASX:ICN"", ""closeyest"")"),0.01)</f>
        <v>0.01</v>
      </c>
      <c r="F1105" s="5" t="str">
        <f>IFERROR(__xludf.DUMMYFUNCTION("GOOGLEFINANCE(""ASX:ICN"", ""pe"")"),"#N/A")</f>
        <v>#N/A</v>
      </c>
      <c r="G1105" s="9">
        <f>IFERROR(__xludf.DUMMYFUNCTION("GOOGLEFINANCE(""ASX:ICN"", ""high52"")"),0.01)</f>
        <v>0.01</v>
      </c>
      <c r="H1105" s="9">
        <f>IFERROR(__xludf.DUMMYFUNCTION("GOOGLEFINANCE(""ASX:ICN"", ""low52"")"),0.01)</f>
        <v>0.01</v>
      </c>
      <c r="I1105" s="9">
        <f>IFERROR(__xludf.DUMMYFUNCTION("GOOGLEFINANCE(""ASX:ICN"", ""marketcap"")"),3225660.0)</f>
        <v>3225660</v>
      </c>
      <c r="J1105" s="5"/>
      <c r="K1105" s="5"/>
      <c r="L1105" s="5"/>
      <c r="M1105" s="5"/>
      <c r="N1105" s="11" t="s">
        <v>19</v>
      </c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>
      <c r="A1106" s="6" t="s">
        <v>2225</v>
      </c>
      <c r="B1106" s="6" t="s">
        <v>2226</v>
      </c>
      <c r="C1106" s="5" t="s">
        <v>36</v>
      </c>
      <c r="D1106" s="7">
        <f>IFERROR(__xludf.DUMMYFUNCTION("GOOGLEFINANCE(""ASX:ICOR"", ""price"")"),94.54)</f>
        <v>94.54</v>
      </c>
      <c r="E1106" s="8">
        <f>IFERROR(__xludf.DUMMYFUNCTION("GOOGLEFINANCE(""ASX:ICOR"", ""closeyest"")"),95.61)</f>
        <v>95.61</v>
      </c>
      <c r="F1106" s="5" t="str">
        <f>IFERROR(__xludf.DUMMYFUNCTION("GOOGLEFINANCE(""ASX:ICOR"", ""pe"")"),"#N/A")</f>
        <v>#N/A</v>
      </c>
      <c r="G1106" s="9">
        <f>IFERROR(__xludf.DUMMYFUNCTION("GOOGLEFINANCE(""ASX:ICOR"", ""high52"")"),97.54)</f>
        <v>97.54</v>
      </c>
      <c r="H1106" s="9">
        <f>IFERROR(__xludf.DUMMYFUNCTION("GOOGLEFINANCE(""ASX:ICOR"", ""low52"")"),93.98)</f>
        <v>93.98</v>
      </c>
      <c r="I1106" s="9" t="str">
        <f>IFERROR(__xludf.DUMMYFUNCTION("GOOGLEFINANCE(""ASX:ICOR"", ""marketcap"")"),"#N/A")</f>
        <v>#N/A</v>
      </c>
      <c r="J1106" s="5"/>
      <c r="K1106" s="5"/>
      <c r="L1106" s="5"/>
      <c r="M1106" s="5"/>
      <c r="N1106" s="11" t="s">
        <v>19</v>
      </c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>
      <c r="A1107" s="6" t="s">
        <v>2227</v>
      </c>
      <c r="B1107" s="6" t="s">
        <v>2228</v>
      </c>
      <c r="C1107" s="5" t="s">
        <v>2229</v>
      </c>
      <c r="D1107" s="7">
        <f>IFERROR(__xludf.DUMMYFUNCTION("GOOGLEFINANCE(""ASX:ICR"", ""price"")"),0.03)</f>
        <v>0.03</v>
      </c>
      <c r="E1107" s="8">
        <f>IFERROR(__xludf.DUMMYFUNCTION("GOOGLEFINANCE(""ASX:ICR"", ""closeyest"")"),0.03)</f>
        <v>0.03</v>
      </c>
      <c r="F1107" s="5" t="str">
        <f>IFERROR(__xludf.DUMMYFUNCTION("GOOGLEFINANCE(""ASX:ICR"", ""pe"")"),"#N/A")</f>
        <v>#N/A</v>
      </c>
      <c r="G1107" s="9">
        <f>IFERROR(__xludf.DUMMYFUNCTION("GOOGLEFINANCE(""ASX:ICR"", ""high52"")"),0.04)</f>
        <v>0.04</v>
      </c>
      <c r="H1107" s="9">
        <f>IFERROR(__xludf.DUMMYFUNCTION("GOOGLEFINANCE(""ASX:ICR"", ""low52"")"),0.01)</f>
        <v>0.01</v>
      </c>
      <c r="I1107" s="9">
        <f>IFERROR(__xludf.DUMMYFUNCTION("GOOGLEFINANCE(""ASX:ICR"", ""marketcap"")"),1.8605625E7)</f>
        <v>18605625</v>
      </c>
      <c r="J1107" s="5"/>
      <c r="K1107" s="5"/>
      <c r="L1107" s="5"/>
      <c r="M1107" s="5"/>
      <c r="N1107" s="11" t="s">
        <v>19</v>
      </c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>
      <c r="A1108" s="6" t="s">
        <v>2230</v>
      </c>
      <c r="B1108" s="6" t="s">
        <v>2231</v>
      </c>
      <c r="C1108" s="5" t="s">
        <v>389</v>
      </c>
      <c r="D1108" s="7">
        <f>IFERROR(__xludf.DUMMYFUNCTION("GOOGLEFINANCE(""ASX:ICU"", ""price"")"),0.0)</f>
        <v>0</v>
      </c>
      <c r="E1108" s="8">
        <f>IFERROR(__xludf.DUMMYFUNCTION("GOOGLEFINANCE(""ASX:ICU"", ""closeyest"")"),0.0)</f>
        <v>0</v>
      </c>
      <c r="F1108" s="5" t="str">
        <f>IFERROR(__xludf.DUMMYFUNCTION("GOOGLEFINANCE(""ASX:ICU"", ""pe"")"),"#N/A")</f>
        <v>#N/A</v>
      </c>
      <c r="G1108" s="9">
        <f>IFERROR(__xludf.DUMMYFUNCTION("GOOGLEFINANCE(""ASX:ICU"", ""high52"")"),0.0)</f>
        <v>0</v>
      </c>
      <c r="H1108" s="9">
        <f>IFERROR(__xludf.DUMMYFUNCTION("GOOGLEFINANCE(""ASX:ICU"", ""low52"")"),0.0)</f>
        <v>0</v>
      </c>
      <c r="I1108" s="9">
        <f>IFERROR(__xludf.DUMMYFUNCTION("GOOGLEFINANCE(""ASX:ICU"", ""marketcap"")"),304510.0)</f>
        <v>304510</v>
      </c>
      <c r="J1108" s="12">
        <v>0.001</v>
      </c>
      <c r="K1108" s="12">
        <v>0.001</v>
      </c>
      <c r="L1108" s="12">
        <v>0.003</v>
      </c>
      <c r="M1108" s="12">
        <v>0.001</v>
      </c>
      <c r="N1108" s="11" t="s">
        <v>19</v>
      </c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>
      <c r="A1109" s="6" t="s">
        <v>2232</v>
      </c>
      <c r="B1109" s="6" t="s">
        <v>2233</v>
      </c>
      <c r="C1109" s="5" t="s">
        <v>15</v>
      </c>
      <c r="D1109" s="7">
        <f>IFERROR(__xludf.DUMMYFUNCTION("GOOGLEFINANCE(""ASX:ID8"", ""price"")"),0.01)</f>
        <v>0.01</v>
      </c>
      <c r="E1109" s="8">
        <f>IFERROR(__xludf.DUMMYFUNCTION("GOOGLEFINANCE(""ASX:ID8"", ""closeyest"")"),0.01)</f>
        <v>0.01</v>
      </c>
      <c r="F1109" s="5" t="str">
        <f>IFERROR(__xludf.DUMMYFUNCTION("GOOGLEFINANCE(""ASX:ID8"", ""pe"")"),"#N/A")</f>
        <v>#N/A</v>
      </c>
      <c r="G1109" s="9">
        <f>IFERROR(__xludf.DUMMYFUNCTION("GOOGLEFINANCE(""ASX:ID8"", ""high52"")"),0.02)</f>
        <v>0.02</v>
      </c>
      <c r="H1109" s="9">
        <f>IFERROR(__xludf.DUMMYFUNCTION("GOOGLEFINANCE(""ASX:ID8"", ""low52"")"),0.01)</f>
        <v>0.01</v>
      </c>
      <c r="I1109" s="9">
        <f>IFERROR(__xludf.DUMMYFUNCTION("GOOGLEFINANCE(""ASX:ID8"", ""marketcap"")"),4476588.0)</f>
        <v>4476588</v>
      </c>
      <c r="J1109" s="5"/>
      <c r="K1109" s="5"/>
      <c r="L1109" s="5"/>
      <c r="M1109" s="5"/>
      <c r="N1109" s="11" t="s">
        <v>19</v>
      </c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>
      <c r="A1110" s="6" t="s">
        <v>2234</v>
      </c>
      <c r="B1110" s="6" t="s">
        <v>2235</v>
      </c>
      <c r="C1110" s="5" t="s">
        <v>18</v>
      </c>
      <c r="D1110" s="7">
        <f>IFERROR(__xludf.DUMMYFUNCTION("GOOGLEFINANCE(""ASX:IDA"", ""price"")"),0.04)</f>
        <v>0.04</v>
      </c>
      <c r="E1110" s="8">
        <f>IFERROR(__xludf.DUMMYFUNCTION("GOOGLEFINANCE(""ASX:IDA"", ""closeyest"")"),0.04)</f>
        <v>0.04</v>
      </c>
      <c r="F1110" s="9">
        <f>IFERROR(__xludf.DUMMYFUNCTION("GOOGLEFINANCE(""ASX:IDA"", ""pe"")"),0.28)</f>
        <v>0.28</v>
      </c>
      <c r="G1110" s="9">
        <f>IFERROR(__xludf.DUMMYFUNCTION("GOOGLEFINANCE(""ASX:IDA"", ""high52"")"),0.09)</f>
        <v>0.09</v>
      </c>
      <c r="H1110" s="9">
        <f>IFERROR(__xludf.DUMMYFUNCTION("GOOGLEFINANCE(""ASX:IDA"", ""low52"")"),0.03)</f>
        <v>0.03</v>
      </c>
      <c r="I1110" s="9">
        <f>IFERROR(__xludf.DUMMYFUNCTION("GOOGLEFINANCE(""ASX:IDA"", ""marketcap"")"),2.7712679E7)</f>
        <v>27712679</v>
      </c>
      <c r="J1110" s="5"/>
      <c r="K1110" s="5"/>
      <c r="L1110" s="5"/>
      <c r="M1110" s="5"/>
      <c r="N1110" s="10">
        <v>0.26</v>
      </c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>
      <c r="A1111" s="6" t="s">
        <v>2236</v>
      </c>
      <c r="B1111" s="6" t="s">
        <v>2237</v>
      </c>
      <c r="C1111" s="5" t="s">
        <v>25</v>
      </c>
      <c r="D1111" s="7">
        <f>IFERROR(__xludf.DUMMYFUNCTION("GOOGLEFINANCE(""ASX:IDT"", ""price"")"),0.05)</f>
        <v>0.05</v>
      </c>
      <c r="E1111" s="8">
        <f>IFERROR(__xludf.DUMMYFUNCTION("GOOGLEFINANCE(""ASX:IDT"", ""closeyest"")"),0.05)</f>
        <v>0.05</v>
      </c>
      <c r="F1111" s="5" t="str">
        <f>IFERROR(__xludf.DUMMYFUNCTION("GOOGLEFINANCE(""ASX:IDT"", ""pe"")"),"#N/A")</f>
        <v>#N/A</v>
      </c>
      <c r="G1111" s="9">
        <f>IFERROR(__xludf.DUMMYFUNCTION("GOOGLEFINANCE(""ASX:IDT"", ""high52"")"),0.13)</f>
        <v>0.13</v>
      </c>
      <c r="H1111" s="9">
        <f>IFERROR(__xludf.DUMMYFUNCTION("GOOGLEFINANCE(""ASX:IDT"", ""low52"")"),0.05)</f>
        <v>0.05</v>
      </c>
      <c r="I1111" s="9">
        <f>IFERROR(__xludf.DUMMYFUNCTION("GOOGLEFINANCE(""ASX:IDT"", ""marketcap"")"),2.17987E7)</f>
        <v>21798700</v>
      </c>
      <c r="J1111" s="9">
        <v>6.27</v>
      </c>
      <c r="K1111" s="9">
        <v>6.28</v>
      </c>
      <c r="L1111" s="9">
        <v>7.39</v>
      </c>
      <c r="M1111" s="9">
        <v>5.81</v>
      </c>
      <c r="N1111" s="11" t="s">
        <v>19</v>
      </c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>
      <c r="A1112" s="6" t="s">
        <v>2238</v>
      </c>
      <c r="B1112" s="6" t="s">
        <v>2239</v>
      </c>
      <c r="C1112" s="5" t="s">
        <v>164</v>
      </c>
      <c r="D1112" s="7">
        <f>IFERROR(__xludf.DUMMYFUNCTION("GOOGLEFINANCE(""ASX:IDX"", ""price"")"),2.51)</f>
        <v>2.51</v>
      </c>
      <c r="E1112" s="8">
        <f>IFERROR(__xludf.DUMMYFUNCTION("GOOGLEFINANCE(""ASX:IDX"", ""closeyest"")"),2.51)</f>
        <v>2.51</v>
      </c>
      <c r="F1112" s="9">
        <f>IFERROR(__xludf.DUMMYFUNCTION("GOOGLEFINANCE(""ASX:IDX"", ""pe"")"),166.67)</f>
        <v>166.67</v>
      </c>
      <c r="G1112" s="9">
        <f>IFERROR(__xludf.DUMMYFUNCTION("GOOGLEFINANCE(""ASX:IDX"", ""high52"")"),3.15)</f>
        <v>3.15</v>
      </c>
      <c r="H1112" s="9">
        <f>IFERROR(__xludf.DUMMYFUNCTION("GOOGLEFINANCE(""ASX:IDX"", ""low52"")"),1.91)</f>
        <v>1.91</v>
      </c>
      <c r="I1112" s="9">
        <f>IFERROR(__xludf.DUMMYFUNCTION("GOOGLEFINANCE(""ASX:IDX"", ""marketcap"")"),9.36045762E8)</f>
        <v>936045762</v>
      </c>
      <c r="J1112" s="5"/>
      <c r="K1112" s="5"/>
      <c r="L1112" s="5"/>
      <c r="M1112" s="5"/>
      <c r="N1112" s="10">
        <v>166.67</v>
      </c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>
      <c r="A1113" s="6" t="s">
        <v>2240</v>
      </c>
      <c r="B1113" s="6" t="s">
        <v>2241</v>
      </c>
      <c r="C1113" s="5" t="s">
        <v>1457</v>
      </c>
      <c r="D1113" s="7">
        <f>IFERROR(__xludf.DUMMYFUNCTION("GOOGLEFINANCE(""ASX:IEL"", ""price"")"),5.54)</f>
        <v>5.54</v>
      </c>
      <c r="E1113" s="8">
        <f>IFERROR(__xludf.DUMMYFUNCTION("GOOGLEFINANCE(""ASX:IEL"", ""closeyest"")"),5.52)</f>
        <v>5.52</v>
      </c>
      <c r="F1113" s="9">
        <f>IFERROR(__xludf.DUMMYFUNCTION("GOOGLEFINANCE(""ASX:IEL"", ""pe"")"),34.79)</f>
        <v>34.79</v>
      </c>
      <c r="G1113" s="9">
        <f>IFERROR(__xludf.DUMMYFUNCTION("GOOGLEFINANCE(""ASX:IEL"", ""high52"")"),13.43)</f>
        <v>13.43</v>
      </c>
      <c r="H1113" s="9">
        <f>IFERROR(__xludf.DUMMYFUNCTION("GOOGLEFINANCE(""ASX:IEL"", ""low52"")"),3.41)</f>
        <v>3.41</v>
      </c>
      <c r="I1113" s="9">
        <f>IFERROR(__xludf.DUMMYFUNCTION("GOOGLEFINANCE(""ASX:IEL"", ""marketcap"")"),1.541982537E9)</f>
        <v>1541982537</v>
      </c>
      <c r="J1113" s="5"/>
      <c r="K1113" s="5"/>
      <c r="L1113" s="5"/>
      <c r="M1113" s="5"/>
      <c r="N1113" s="10">
        <v>36.11</v>
      </c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>
      <c r="A1114" s="6" t="s">
        <v>2242</v>
      </c>
      <c r="B1114" s="6" t="s">
        <v>2243</v>
      </c>
      <c r="C1114" s="5" t="s">
        <v>36</v>
      </c>
      <c r="D1114" s="7">
        <f>IFERROR(__xludf.DUMMYFUNCTION("GOOGLEFINANCE(""ASX:IEM"", ""price"")"),85.45)</f>
        <v>85.45</v>
      </c>
      <c r="E1114" s="8">
        <f>IFERROR(__xludf.DUMMYFUNCTION("GOOGLEFINANCE(""ASX:IEM"", ""closeyest"")"),86.02)</f>
        <v>86.02</v>
      </c>
      <c r="F1114" s="5" t="str">
        <f>IFERROR(__xludf.DUMMYFUNCTION("GOOGLEFINANCE(""ASX:IEM"", ""pe"")"),"#N/A")</f>
        <v>#N/A</v>
      </c>
      <c r="G1114" s="9">
        <f>IFERROR(__xludf.DUMMYFUNCTION("GOOGLEFINANCE(""ASX:IEM"", ""high52"")"),86.35)</f>
        <v>86.35</v>
      </c>
      <c r="H1114" s="9">
        <f>IFERROR(__xludf.DUMMYFUNCTION("GOOGLEFINANCE(""ASX:IEM"", ""low52"")"),64.46)</f>
        <v>64.46</v>
      </c>
      <c r="I1114" s="9" t="str">
        <f>IFERROR(__xludf.DUMMYFUNCTION("GOOGLEFINANCE(""ASX:IEM"", ""marketcap"")"),"#N/A")</f>
        <v>#N/A</v>
      </c>
      <c r="J1114" s="5"/>
      <c r="K1114" s="5"/>
      <c r="L1114" s="5"/>
      <c r="M1114" s="5"/>
      <c r="N1114" s="11" t="s">
        <v>19</v>
      </c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>
      <c r="A1115" s="6" t="s">
        <v>2244</v>
      </c>
      <c r="B1115" s="6" t="s">
        <v>2245</v>
      </c>
      <c r="C1115" s="5" t="s">
        <v>1535</v>
      </c>
      <c r="D1115" s="7">
        <f>IFERROR(__xludf.DUMMYFUNCTION("GOOGLEFINANCE(""ASX:IEQ"", ""price"")"),0.04)</f>
        <v>0.04</v>
      </c>
      <c r="E1115" s="8">
        <f>IFERROR(__xludf.DUMMYFUNCTION("GOOGLEFINANCE(""ASX:IEQ"", ""closeyest"")"),0.04)</f>
        <v>0.04</v>
      </c>
      <c r="F1115" s="5" t="str">
        <f>IFERROR(__xludf.DUMMYFUNCTION("GOOGLEFINANCE(""ASX:IEQ"", ""pe"")"),"#N/A")</f>
        <v>#N/A</v>
      </c>
      <c r="G1115" s="9">
        <f>IFERROR(__xludf.DUMMYFUNCTION("GOOGLEFINANCE(""ASX:IEQ"", ""high52"")"),0.04)</f>
        <v>0.04</v>
      </c>
      <c r="H1115" s="9">
        <f>IFERROR(__xludf.DUMMYFUNCTION("GOOGLEFINANCE(""ASX:IEQ"", ""low52"")"),0.04)</f>
        <v>0.04</v>
      </c>
      <c r="I1115" s="9">
        <f>IFERROR(__xludf.DUMMYFUNCTION("GOOGLEFINANCE(""ASX:IEQ"", ""marketcap"")"),5128939.0)</f>
        <v>5128939</v>
      </c>
      <c r="J1115" s="5"/>
      <c r="K1115" s="5"/>
      <c r="L1115" s="5"/>
      <c r="M1115" s="5"/>
      <c r="N1115" s="11" t="s">
        <v>19</v>
      </c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>
      <c r="A1116" s="6" t="s">
        <v>2246</v>
      </c>
      <c r="B1116" s="6" t="s">
        <v>2247</v>
      </c>
      <c r="C1116" s="5" t="s">
        <v>36</v>
      </c>
      <c r="D1116" s="7">
        <f>IFERROR(__xludf.DUMMYFUNCTION("GOOGLEFINANCE(""ASX:IESG"", ""price"")"),31.49)</f>
        <v>31.49</v>
      </c>
      <c r="E1116" s="8">
        <f>IFERROR(__xludf.DUMMYFUNCTION("GOOGLEFINANCE(""ASX:IESG"", ""closeyest"")"),31.72)</f>
        <v>31.72</v>
      </c>
      <c r="F1116" s="5" t="str">
        <f>IFERROR(__xludf.DUMMYFUNCTION("GOOGLEFINANCE(""ASX:IESG"", ""pe"")"),"#N/A")</f>
        <v>#N/A</v>
      </c>
      <c r="G1116" s="9">
        <f>IFERROR(__xludf.DUMMYFUNCTION("GOOGLEFINANCE(""ASX:IESG"", ""high52"")"),33.93)</f>
        <v>33.93</v>
      </c>
      <c r="H1116" s="9">
        <f>IFERROR(__xludf.DUMMYFUNCTION("GOOGLEFINANCE(""ASX:IESG"", ""low52"")"),26.88)</f>
        <v>26.88</v>
      </c>
      <c r="I1116" s="9" t="str">
        <f>IFERROR(__xludf.DUMMYFUNCTION("GOOGLEFINANCE(""ASX:IESG"", ""marketcap"")"),"#N/A")</f>
        <v>#N/A</v>
      </c>
      <c r="J1116" s="5"/>
      <c r="K1116" s="5"/>
      <c r="L1116" s="5"/>
      <c r="M1116" s="5"/>
      <c r="N1116" s="11" t="s">
        <v>19</v>
      </c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>
      <c r="A1117" s="6" t="s">
        <v>2248</v>
      </c>
      <c r="B1117" s="6" t="s">
        <v>2249</v>
      </c>
      <c r="C1117" s="5" t="s">
        <v>36</v>
      </c>
      <c r="D1117" s="7">
        <f>IFERROR(__xludf.DUMMYFUNCTION("GOOGLEFINANCE(""ASX:IEU"", ""price"")"),102.65)</f>
        <v>102.65</v>
      </c>
      <c r="E1117" s="8">
        <f>IFERROR(__xludf.DUMMYFUNCTION("GOOGLEFINANCE(""ASX:IEU"", ""closeyest"")"),103.27)</f>
        <v>103.27</v>
      </c>
      <c r="F1117" s="5" t="str">
        <f>IFERROR(__xludf.DUMMYFUNCTION("GOOGLEFINANCE(""ASX:IEU"", ""pe"")"),"#N/A")</f>
        <v>#N/A</v>
      </c>
      <c r="G1117" s="9">
        <f>IFERROR(__xludf.DUMMYFUNCTION("GOOGLEFINANCE(""ASX:IEU"", ""high52"")"),104.01)</f>
        <v>104.01</v>
      </c>
      <c r="H1117" s="9">
        <f>IFERROR(__xludf.DUMMYFUNCTION("GOOGLEFINANCE(""ASX:IEU"", ""low52"")"),83.92)</f>
        <v>83.92</v>
      </c>
      <c r="I1117" s="9" t="str">
        <f>IFERROR(__xludf.DUMMYFUNCTION("GOOGLEFINANCE(""ASX:IEU"", ""marketcap"")"),"#N/A")</f>
        <v>#N/A</v>
      </c>
      <c r="J1117" s="5"/>
      <c r="K1117" s="5"/>
      <c r="L1117" s="5"/>
      <c r="M1117" s="5"/>
      <c r="N1117" s="11" t="s">
        <v>19</v>
      </c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>
      <c r="A1118" s="6" t="s">
        <v>2250</v>
      </c>
      <c r="B1118" s="6" t="s">
        <v>2251</v>
      </c>
      <c r="C1118" s="5" t="s">
        <v>15</v>
      </c>
      <c r="D1118" s="7">
        <f>IFERROR(__xludf.DUMMYFUNCTION("GOOGLEFINANCE(""ASX:IFG"", ""price"")"),0.02)</f>
        <v>0.02</v>
      </c>
      <c r="E1118" s="8">
        <f>IFERROR(__xludf.DUMMYFUNCTION("GOOGLEFINANCE(""ASX:IFG"", ""closeyest"")"),0.02)</f>
        <v>0.02</v>
      </c>
      <c r="F1118" s="5" t="str">
        <f>IFERROR(__xludf.DUMMYFUNCTION("GOOGLEFINANCE(""ASX:IFG"", ""pe"")"),"#N/A")</f>
        <v>#N/A</v>
      </c>
      <c r="G1118" s="9">
        <f>IFERROR(__xludf.DUMMYFUNCTION("GOOGLEFINANCE(""ASX:IFG"", ""high52"")"),0.04)</f>
        <v>0.04</v>
      </c>
      <c r="H1118" s="9">
        <f>IFERROR(__xludf.DUMMYFUNCTION("GOOGLEFINANCE(""ASX:IFG"", ""low52"")"),0.0)</f>
        <v>0</v>
      </c>
      <c r="I1118" s="9">
        <f>IFERROR(__xludf.DUMMYFUNCTION("GOOGLEFINANCE(""ASX:IFG"", ""marketcap"")"),7059811.0)</f>
        <v>7059811</v>
      </c>
      <c r="J1118" s="5"/>
      <c r="K1118" s="5"/>
      <c r="L1118" s="5"/>
      <c r="M1118" s="5"/>
      <c r="N1118" s="11" t="s">
        <v>19</v>
      </c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>
      <c r="A1119" s="6" t="s">
        <v>2252</v>
      </c>
      <c r="B1119" s="6" t="s">
        <v>2253</v>
      </c>
      <c r="C1119" s="5" t="s">
        <v>171</v>
      </c>
      <c r="D1119" s="7">
        <f>IFERROR(__xludf.DUMMYFUNCTION("GOOGLEFINANCE(""ASX:IFL"", ""price"")"),4.62)</f>
        <v>4.62</v>
      </c>
      <c r="E1119" s="8">
        <f>IFERROR(__xludf.DUMMYFUNCTION("GOOGLEFINANCE(""ASX:IFL"", ""closeyest"")"),4.61)</f>
        <v>4.61</v>
      </c>
      <c r="F1119" s="9">
        <f>IFERROR(__xludf.DUMMYFUNCTION("GOOGLEFINANCE(""ASX:IFL"", ""pe"")"),191.7)</f>
        <v>191.7</v>
      </c>
      <c r="G1119" s="9">
        <f>IFERROR(__xludf.DUMMYFUNCTION("GOOGLEFINANCE(""ASX:IFL"", ""high52"")"),4.84)</f>
        <v>4.84</v>
      </c>
      <c r="H1119" s="9">
        <f>IFERROR(__xludf.DUMMYFUNCTION("GOOGLEFINANCE(""ASX:IFL"", ""low52"")"),3.27)</f>
        <v>3.27</v>
      </c>
      <c r="I1119" s="9">
        <f>IFERROR(__xludf.DUMMYFUNCTION("GOOGLEFINANCE(""ASX:IFL"", ""marketcap"")"),3.098754967E9)</f>
        <v>3098754967</v>
      </c>
      <c r="J1119" s="5"/>
      <c r="K1119" s="5"/>
      <c r="L1119" s="5"/>
      <c r="M1119" s="5"/>
      <c r="N1119" s="10">
        <v>188.8</v>
      </c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>
      <c r="A1120" s="6" t="s">
        <v>2254</v>
      </c>
      <c r="B1120" s="6" t="s">
        <v>2255</v>
      </c>
      <c r="C1120" s="5" t="s">
        <v>123</v>
      </c>
      <c r="D1120" s="7">
        <f>IFERROR(__xludf.DUMMYFUNCTION("GOOGLEFINANCE(""ASX:IFN"", ""price"")"),0.82)</f>
        <v>0.82</v>
      </c>
      <c r="E1120" s="8">
        <f>IFERROR(__xludf.DUMMYFUNCTION("GOOGLEFINANCE(""ASX:IFN"", ""closeyest"")"),0.82)</f>
        <v>0.82</v>
      </c>
      <c r="F1120" s="5" t="str">
        <f>IFERROR(__xludf.DUMMYFUNCTION("GOOGLEFINANCE(""ASX:IFN"", ""pe"")"),"#N/A")</f>
        <v>#N/A</v>
      </c>
      <c r="G1120" s="9">
        <f>IFERROR(__xludf.DUMMYFUNCTION("GOOGLEFINANCE(""ASX:IFN"", ""high52"")"),1.3)</f>
        <v>1.3</v>
      </c>
      <c r="H1120" s="9">
        <f>IFERROR(__xludf.DUMMYFUNCTION("GOOGLEFINANCE(""ASX:IFN"", ""low52"")"),0.69)</f>
        <v>0.69</v>
      </c>
      <c r="I1120" s="9">
        <f>IFERROR(__xludf.DUMMYFUNCTION("GOOGLEFINANCE(""ASX:IFN"", ""marketcap"")"),1.10138284E8)</f>
        <v>110138284</v>
      </c>
      <c r="J1120" s="5"/>
      <c r="K1120" s="5"/>
      <c r="L1120" s="5"/>
      <c r="M1120" s="5"/>
      <c r="N1120" s="11" t="s">
        <v>19</v>
      </c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>
      <c r="A1121" s="6" t="s">
        <v>2256</v>
      </c>
      <c r="B1121" s="6" t="s">
        <v>2257</v>
      </c>
      <c r="C1121" s="5" t="s">
        <v>36</v>
      </c>
      <c r="D1121" s="7">
        <f>IFERROR(__xludf.DUMMYFUNCTION("GOOGLEFINANCE(""ASX:IFRA"", ""price"")"),23.25)</f>
        <v>23.25</v>
      </c>
      <c r="E1121" s="8">
        <f>IFERROR(__xludf.DUMMYFUNCTION("GOOGLEFINANCE(""ASX:IFRA"", ""closeyest"")"),23.16)</f>
        <v>23.16</v>
      </c>
      <c r="F1121" s="5" t="str">
        <f>IFERROR(__xludf.DUMMYFUNCTION("GOOGLEFINANCE(""ASX:IFRA"", ""pe"")"),"#N/A")</f>
        <v>#N/A</v>
      </c>
      <c r="G1121" s="9">
        <f>IFERROR(__xludf.DUMMYFUNCTION("GOOGLEFINANCE(""ASX:IFRA"", ""high52"")"),24.5)</f>
        <v>24.5</v>
      </c>
      <c r="H1121" s="9">
        <f>IFERROR(__xludf.DUMMYFUNCTION("GOOGLEFINANCE(""ASX:IFRA"", ""low52"")"),20.38)</f>
        <v>20.38</v>
      </c>
      <c r="I1121" s="9" t="str">
        <f>IFERROR(__xludf.DUMMYFUNCTION("GOOGLEFINANCE(""ASX:IFRA"", ""marketcap"")"),"#N/A")</f>
        <v>#N/A</v>
      </c>
      <c r="J1121" s="5"/>
      <c r="K1121" s="5"/>
      <c r="L1121" s="5"/>
      <c r="M1121" s="5"/>
      <c r="N1121" s="11" t="s">
        <v>19</v>
      </c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>
      <c r="A1122" s="6" t="s">
        <v>2258</v>
      </c>
      <c r="B1122" s="6" t="s">
        <v>2259</v>
      </c>
      <c r="C1122" s="5" t="s">
        <v>171</v>
      </c>
      <c r="D1122" s="7">
        <f>IFERROR(__xludf.DUMMYFUNCTION("GOOGLEFINANCE(""ASX:IFT"", ""price"")"),9.83)</f>
        <v>9.83</v>
      </c>
      <c r="E1122" s="8">
        <f>IFERROR(__xludf.DUMMYFUNCTION("GOOGLEFINANCE(""ASX:IFT"", ""closeyest"")"),10.06)</f>
        <v>10.06</v>
      </c>
      <c r="F1122" s="5" t="str">
        <f>IFERROR(__xludf.DUMMYFUNCTION("GOOGLEFINANCE(""ASX:IFT"", ""pe"")"),"#N/A")</f>
        <v>#N/A</v>
      </c>
      <c r="G1122" s="9">
        <f>IFERROR(__xludf.DUMMYFUNCTION("GOOGLEFINANCE(""ASX:IFT"", ""high52"")"),11.43)</f>
        <v>11.43</v>
      </c>
      <c r="H1122" s="9">
        <f>IFERROR(__xludf.DUMMYFUNCTION("GOOGLEFINANCE(""ASX:IFT"", ""low52"")"),8.44)</f>
        <v>8.44</v>
      </c>
      <c r="I1122" s="9">
        <f>IFERROR(__xludf.DUMMYFUNCTION("GOOGLEFINANCE(""ASX:IFT"", ""marketcap"")"),1.111264E10)</f>
        <v>11112640000</v>
      </c>
      <c r="J1122" s="5"/>
      <c r="K1122" s="5"/>
      <c r="L1122" s="5"/>
      <c r="M1122" s="5"/>
      <c r="N1122" s="11" t="s">
        <v>19</v>
      </c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>
      <c r="A1123" s="6" t="s">
        <v>2260</v>
      </c>
      <c r="B1123" s="6" t="s">
        <v>2261</v>
      </c>
      <c r="C1123" s="5" t="s">
        <v>39</v>
      </c>
      <c r="D1123" s="7">
        <f>IFERROR(__xludf.DUMMYFUNCTION("GOOGLEFINANCE(""ASX:IG6"", ""price"")"),0.07)</f>
        <v>0.07</v>
      </c>
      <c r="E1123" s="8">
        <f>IFERROR(__xludf.DUMMYFUNCTION("GOOGLEFINANCE(""ASX:IG6"", ""closeyest"")"),0.06)</f>
        <v>0.06</v>
      </c>
      <c r="F1123" s="5" t="str">
        <f>IFERROR(__xludf.DUMMYFUNCTION("GOOGLEFINANCE(""ASX:IG6"", ""pe"")"),"#N/A")</f>
        <v>#N/A</v>
      </c>
      <c r="G1123" s="9">
        <f>IFERROR(__xludf.DUMMYFUNCTION("GOOGLEFINANCE(""ASX:IG6"", ""high52"")"),0.13)</f>
        <v>0.13</v>
      </c>
      <c r="H1123" s="9">
        <f>IFERROR(__xludf.DUMMYFUNCTION("GOOGLEFINANCE(""ASX:IG6"", ""low52"")"),0.04)</f>
        <v>0.04</v>
      </c>
      <c r="I1123" s="9">
        <f>IFERROR(__xludf.DUMMYFUNCTION("GOOGLEFINANCE(""ASX:IG6"", ""marketcap"")"),1.3826277E7)</f>
        <v>13826277</v>
      </c>
      <c r="J1123" s="5"/>
      <c r="K1123" s="5"/>
      <c r="L1123" s="5"/>
      <c r="M1123" s="5"/>
      <c r="N1123" s="11" t="s">
        <v>19</v>
      </c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>
      <c r="A1124" s="6" t="s">
        <v>2262</v>
      </c>
      <c r="B1124" s="6" t="s">
        <v>2263</v>
      </c>
      <c r="C1124" s="5" t="s">
        <v>36</v>
      </c>
      <c r="D1124" s="7">
        <f>IFERROR(__xludf.DUMMYFUNCTION("GOOGLEFINANCE(""ASX:IGB"", ""price"")"),96.81)</f>
        <v>96.81</v>
      </c>
      <c r="E1124" s="8">
        <f>IFERROR(__xludf.DUMMYFUNCTION("GOOGLEFINANCE(""ASX:IGB"", ""closeyest"")"),97.42)</f>
        <v>97.42</v>
      </c>
      <c r="F1124" s="5" t="str">
        <f>IFERROR(__xludf.DUMMYFUNCTION("GOOGLEFINANCE(""ASX:IGB"", ""pe"")"),"#N/A")</f>
        <v>#N/A</v>
      </c>
      <c r="G1124" s="9">
        <f>IFERROR(__xludf.DUMMYFUNCTION("GOOGLEFINANCE(""ASX:IGB"", ""high52"")"),100.76)</f>
        <v>100.76</v>
      </c>
      <c r="H1124" s="9">
        <f>IFERROR(__xludf.DUMMYFUNCTION("GOOGLEFINANCE(""ASX:IGB"", ""low52"")"),96.19)</f>
        <v>96.19</v>
      </c>
      <c r="I1124" s="9" t="str">
        <f>IFERROR(__xludf.DUMMYFUNCTION("GOOGLEFINANCE(""ASX:IGB"", ""marketcap"")"),"#N/A")</f>
        <v>#N/A</v>
      </c>
      <c r="J1124" s="9">
        <v>0.004</v>
      </c>
      <c r="K1124" s="5"/>
      <c r="L1124" s="9">
        <v>0.02</v>
      </c>
      <c r="M1124" s="9">
        <v>0.004</v>
      </c>
      <c r="N1124" s="11" t="s">
        <v>19</v>
      </c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>
      <c r="A1125" s="6" t="s">
        <v>2264</v>
      </c>
      <c r="B1125" s="6" t="s">
        <v>2265</v>
      </c>
      <c r="C1125" s="5" t="s">
        <v>1470</v>
      </c>
      <c r="D1125" s="7">
        <f>IFERROR(__xludf.DUMMYFUNCTION("GOOGLEFINANCE(""ASX:IGL"", ""price"")"),2.91)</f>
        <v>2.91</v>
      </c>
      <c r="E1125" s="8">
        <f>IFERROR(__xludf.DUMMYFUNCTION("GOOGLEFINANCE(""ASX:IGL"", ""closeyest"")"),2.95)</f>
        <v>2.95</v>
      </c>
      <c r="F1125" s="9">
        <f>IFERROR(__xludf.DUMMYFUNCTION("GOOGLEFINANCE(""ASX:IGL"", ""pe"")"),9.74)</f>
        <v>9.74</v>
      </c>
      <c r="G1125" s="9">
        <f>IFERROR(__xludf.DUMMYFUNCTION("GOOGLEFINANCE(""ASX:IGL"", ""high52"")"),3.22)</f>
        <v>3.22</v>
      </c>
      <c r="H1125" s="9">
        <f>IFERROR(__xludf.DUMMYFUNCTION("GOOGLEFINANCE(""ASX:IGL"", ""low52"")"),2.06)</f>
        <v>2.06</v>
      </c>
      <c r="I1125" s="9">
        <f>IFERROR(__xludf.DUMMYFUNCTION("GOOGLEFINANCE(""ASX:IGL"", ""marketcap"")"),4.47432883E8)</f>
        <v>447432883</v>
      </c>
      <c r="J1125" s="5"/>
      <c r="K1125" s="5"/>
      <c r="L1125" s="5"/>
      <c r="M1125" s="5"/>
      <c r="N1125" s="10">
        <v>9.87</v>
      </c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>
      <c r="A1126" s="6" t="s">
        <v>2266</v>
      </c>
      <c r="B1126" s="6" t="s">
        <v>2267</v>
      </c>
      <c r="C1126" s="5" t="s">
        <v>509</v>
      </c>
      <c r="D1126" s="7">
        <f>IFERROR(__xludf.DUMMYFUNCTION("GOOGLEFINANCE(""ASX:IGN"", ""price"")"),0.75)</f>
        <v>0.75</v>
      </c>
      <c r="E1126" s="8">
        <f>IFERROR(__xludf.DUMMYFUNCTION("GOOGLEFINANCE(""ASX:IGN"", ""closeyest"")"),0.75)</f>
        <v>0.75</v>
      </c>
      <c r="F1126" s="9">
        <f>IFERROR(__xludf.DUMMYFUNCTION("GOOGLEFINANCE(""ASX:IGN"", ""pe"")"),10.31)</f>
        <v>10.31</v>
      </c>
      <c r="G1126" s="9">
        <f>IFERROR(__xludf.DUMMYFUNCTION("GOOGLEFINANCE(""ASX:IGN"", ""high52"")"),1.65)</f>
        <v>1.65</v>
      </c>
      <c r="H1126" s="9">
        <f>IFERROR(__xludf.DUMMYFUNCTION("GOOGLEFINANCE(""ASX:IGN"", ""low52"")"),0.71)</f>
        <v>0.71</v>
      </c>
      <c r="I1126" s="9">
        <f>IFERROR(__xludf.DUMMYFUNCTION("GOOGLEFINANCE(""ASX:IGN"", ""marketcap"")"),1.240515E7)</f>
        <v>12405150</v>
      </c>
      <c r="J1126" s="5"/>
      <c r="K1126" s="5"/>
      <c r="L1126" s="5"/>
      <c r="M1126" s="5"/>
      <c r="N1126" s="10">
        <v>9.76</v>
      </c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>
      <c r="A1127" s="6" t="s">
        <v>2268</v>
      </c>
      <c r="B1127" s="6" t="s">
        <v>2269</v>
      </c>
      <c r="C1127" s="5" t="s">
        <v>39</v>
      </c>
      <c r="D1127" s="7">
        <f>IFERROR(__xludf.DUMMYFUNCTION("GOOGLEFINANCE(""ASX:IGO"", ""price"")"),8.77)</f>
        <v>8.77</v>
      </c>
      <c r="E1127" s="8">
        <f>IFERROR(__xludf.DUMMYFUNCTION("GOOGLEFINANCE(""ASX:IGO"", ""closeyest"")"),8.73)</f>
        <v>8.73</v>
      </c>
      <c r="F1127" s="5" t="str">
        <f>IFERROR(__xludf.DUMMYFUNCTION("GOOGLEFINANCE(""ASX:IGO"", ""pe"")"),"#N/A")</f>
        <v>#N/A</v>
      </c>
      <c r="G1127" s="9">
        <f>IFERROR(__xludf.DUMMYFUNCTION("GOOGLEFINANCE(""ASX:IGO"", ""high52"")"),8.85)</f>
        <v>8.85</v>
      </c>
      <c r="H1127" s="9">
        <f>IFERROR(__xludf.DUMMYFUNCTION("GOOGLEFINANCE(""ASX:IGO"", ""low52"")"),3.09)</f>
        <v>3.09</v>
      </c>
      <c r="I1127" s="9">
        <f>IFERROR(__xludf.DUMMYFUNCTION("GOOGLEFINANCE(""ASX:IGO"", ""marketcap"")"),6.641238952E9)</f>
        <v>6641238952</v>
      </c>
      <c r="J1127" s="9">
        <v>17.56</v>
      </c>
      <c r="K1127" s="9">
        <v>17.57</v>
      </c>
      <c r="L1127" s="9">
        <v>19.65</v>
      </c>
      <c r="M1127" s="9">
        <v>14.41</v>
      </c>
      <c r="N1127" s="11" t="s">
        <v>19</v>
      </c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>
      <c r="A1128" s="6" t="s">
        <v>2270</v>
      </c>
      <c r="B1128" s="6" t="s">
        <v>2271</v>
      </c>
      <c r="C1128" s="5" t="s">
        <v>36</v>
      </c>
      <c r="D1128" s="7">
        <f>IFERROR(__xludf.DUMMYFUNCTION("GOOGLEFINANCE(""ASX:IGRO"", ""price"")"),36.08)</f>
        <v>36.08</v>
      </c>
      <c r="E1128" s="8">
        <f>IFERROR(__xludf.DUMMYFUNCTION("GOOGLEFINANCE(""ASX:IGRO"", ""closeyest"")"),35.94)</f>
        <v>35.94</v>
      </c>
      <c r="F1128" s="5" t="str">
        <f>IFERROR(__xludf.DUMMYFUNCTION("GOOGLEFINANCE(""ASX:IGRO"", ""pe"")"),"#N/A")</f>
        <v>#N/A</v>
      </c>
      <c r="G1128" s="9">
        <f>IFERROR(__xludf.DUMMYFUNCTION("GOOGLEFINANCE(""ASX:IGRO"", ""high52"")"),37.1)</f>
        <v>37.1</v>
      </c>
      <c r="H1128" s="9">
        <f>IFERROR(__xludf.DUMMYFUNCTION("GOOGLEFINANCE(""ASX:IGRO"", ""low52"")"),29.68)</f>
        <v>29.68</v>
      </c>
      <c r="I1128" s="9" t="str">
        <f>IFERROR(__xludf.DUMMYFUNCTION("GOOGLEFINANCE(""ASX:IGRO"", ""marketcap"")"),"#N/A")</f>
        <v>#N/A</v>
      </c>
      <c r="J1128" s="5"/>
      <c r="K1128" s="5"/>
      <c r="L1128" s="5"/>
      <c r="M1128" s="5"/>
      <c r="N1128" s="11" t="s">
        <v>19</v>
      </c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>
      <c r="A1129" s="6" t="s">
        <v>2272</v>
      </c>
      <c r="B1129" s="6" t="s">
        <v>2273</v>
      </c>
      <c r="C1129" s="5" t="s">
        <v>36</v>
      </c>
      <c r="D1129" s="7">
        <f>IFERROR(__xludf.DUMMYFUNCTION("GOOGLEFINANCE(""ASX:IHCB"", ""price"")"),92.87)</f>
        <v>92.87</v>
      </c>
      <c r="E1129" s="8">
        <f>IFERROR(__xludf.DUMMYFUNCTION("GOOGLEFINANCE(""ASX:IHCB"", ""closeyest"")"),92.74)</f>
        <v>92.74</v>
      </c>
      <c r="F1129" s="5" t="str">
        <f>IFERROR(__xludf.DUMMYFUNCTION("GOOGLEFINANCE(""ASX:IHCB"", ""pe"")"),"#N/A")</f>
        <v>#N/A</v>
      </c>
      <c r="G1129" s="9">
        <f>IFERROR(__xludf.DUMMYFUNCTION("GOOGLEFINANCE(""ASX:IHCB"", ""high52"")"),94.42)</f>
        <v>94.42</v>
      </c>
      <c r="H1129" s="9">
        <f>IFERROR(__xludf.DUMMYFUNCTION("GOOGLEFINANCE(""ASX:IHCB"", ""low52"")"),87.26)</f>
        <v>87.26</v>
      </c>
      <c r="I1129" s="9" t="str">
        <f>IFERROR(__xludf.DUMMYFUNCTION("GOOGLEFINANCE(""ASX:IHCB"", ""marketcap"")"),"#N/A")</f>
        <v>#N/A</v>
      </c>
      <c r="J1129" s="5"/>
      <c r="K1129" s="5"/>
      <c r="L1129" s="5"/>
      <c r="M1129" s="5"/>
      <c r="N1129" s="11" t="s">
        <v>19</v>
      </c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>
      <c r="A1130" s="6" t="s">
        <v>2274</v>
      </c>
      <c r="B1130" s="6" t="s">
        <v>2275</v>
      </c>
      <c r="C1130" s="5" t="s">
        <v>36</v>
      </c>
      <c r="D1130" s="7">
        <f>IFERROR(__xludf.DUMMYFUNCTION("GOOGLEFINANCE(""ASX:IHD"", ""price"")"),16.44)</f>
        <v>16.44</v>
      </c>
      <c r="E1130" s="8">
        <f>IFERROR(__xludf.DUMMYFUNCTION("GOOGLEFINANCE(""ASX:IHD"", ""closeyest"")"),16.57)</f>
        <v>16.57</v>
      </c>
      <c r="F1130" s="5" t="str">
        <f>IFERROR(__xludf.DUMMYFUNCTION("GOOGLEFINANCE(""ASX:IHD"", ""pe"")"),"#N/A")</f>
        <v>#N/A</v>
      </c>
      <c r="G1130" s="9">
        <f>IFERROR(__xludf.DUMMYFUNCTION("GOOGLEFINANCE(""ASX:IHD"", ""high52"")"),16.75)</f>
        <v>16.75</v>
      </c>
      <c r="H1130" s="9">
        <f>IFERROR(__xludf.DUMMYFUNCTION("GOOGLEFINANCE(""ASX:IHD"", ""low52"")"),12.95)</f>
        <v>12.95</v>
      </c>
      <c r="I1130" s="9" t="str">
        <f>IFERROR(__xludf.DUMMYFUNCTION("GOOGLEFINANCE(""ASX:IHD"", ""marketcap"")"),"#N/A")</f>
        <v>#N/A</v>
      </c>
      <c r="J1130" s="5"/>
      <c r="K1130" s="5"/>
      <c r="L1130" s="5"/>
      <c r="M1130" s="5"/>
      <c r="N1130" s="11" t="s">
        <v>19</v>
      </c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>
      <c r="A1131" s="6" t="s">
        <v>2276</v>
      </c>
      <c r="B1131" s="6" t="s">
        <v>2277</v>
      </c>
      <c r="C1131" s="5" t="s">
        <v>36</v>
      </c>
      <c r="D1131" s="7">
        <f>IFERROR(__xludf.DUMMYFUNCTION("GOOGLEFINANCE(""ASX:IHEB"", ""price"")"),79.32)</f>
        <v>79.32</v>
      </c>
      <c r="E1131" s="8">
        <f>IFERROR(__xludf.DUMMYFUNCTION("GOOGLEFINANCE(""ASX:IHEB"", ""closeyest"")"),79.21)</f>
        <v>79.21</v>
      </c>
      <c r="F1131" s="5" t="str">
        <f>IFERROR(__xludf.DUMMYFUNCTION("GOOGLEFINANCE(""ASX:IHEB"", ""pe"")"),"#N/A")</f>
        <v>#N/A</v>
      </c>
      <c r="G1131" s="9">
        <f>IFERROR(__xludf.DUMMYFUNCTION("GOOGLEFINANCE(""ASX:IHEB"", ""high52"")"),79.55)</f>
        <v>79.55</v>
      </c>
      <c r="H1131" s="9">
        <f>IFERROR(__xludf.DUMMYFUNCTION("GOOGLEFINANCE(""ASX:IHEB"", ""low52"")"),70.25)</f>
        <v>70.25</v>
      </c>
      <c r="I1131" s="9" t="str">
        <f>IFERROR(__xludf.DUMMYFUNCTION("GOOGLEFINANCE(""ASX:IHEB"", ""marketcap"")"),"#N/A")</f>
        <v>#N/A</v>
      </c>
      <c r="J1131" s="5"/>
      <c r="K1131" s="5"/>
      <c r="L1131" s="5"/>
      <c r="M1131" s="5"/>
      <c r="N1131" s="11" t="s">
        <v>19</v>
      </c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>
      <c r="A1132" s="6" t="s">
        <v>2278</v>
      </c>
      <c r="B1132" s="6" t="s">
        <v>2279</v>
      </c>
      <c r="C1132" s="5" t="s">
        <v>36</v>
      </c>
      <c r="D1132" s="7">
        <f>IFERROR(__xludf.DUMMYFUNCTION("GOOGLEFINANCE(""ASX:IHHY"", ""price"")"),95.08)</f>
        <v>95.08</v>
      </c>
      <c r="E1132" s="8">
        <f>IFERROR(__xludf.DUMMYFUNCTION("GOOGLEFINANCE(""ASX:IHHY"", ""closeyest"")"),95.02)</f>
        <v>95.02</v>
      </c>
      <c r="F1132" s="5" t="str">
        <f>IFERROR(__xludf.DUMMYFUNCTION("GOOGLEFINANCE(""ASX:IHHY"", ""pe"")"),"#N/A")</f>
        <v>#N/A</v>
      </c>
      <c r="G1132" s="9">
        <f>IFERROR(__xludf.DUMMYFUNCTION("GOOGLEFINANCE(""ASX:IHHY"", ""high52"")"),96.39)</f>
        <v>96.39</v>
      </c>
      <c r="H1132" s="9">
        <f>IFERROR(__xludf.DUMMYFUNCTION("GOOGLEFINANCE(""ASX:IHHY"", ""low52"")"),88.3)</f>
        <v>88.3</v>
      </c>
      <c r="I1132" s="9" t="str">
        <f>IFERROR(__xludf.DUMMYFUNCTION("GOOGLEFINANCE(""ASX:IHHY"", ""marketcap"")"),"#N/A")</f>
        <v>#N/A</v>
      </c>
      <c r="J1132" s="5"/>
      <c r="K1132" s="5"/>
      <c r="L1132" s="5"/>
      <c r="M1132" s="5"/>
      <c r="N1132" s="11" t="s">
        <v>19</v>
      </c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>
      <c r="A1133" s="6" t="s">
        <v>2280</v>
      </c>
      <c r="B1133" s="6" t="s">
        <v>2281</v>
      </c>
      <c r="C1133" s="5" t="s">
        <v>36</v>
      </c>
      <c r="D1133" s="7">
        <f>IFERROR(__xludf.DUMMYFUNCTION("GOOGLEFINANCE(""ASX:IHOO"", ""price"")"),230.41)</f>
        <v>230.41</v>
      </c>
      <c r="E1133" s="8">
        <f>IFERROR(__xludf.DUMMYFUNCTION("GOOGLEFINANCE(""ASX:IHOO"", ""closeyest"")"),230.45)</f>
        <v>230.45</v>
      </c>
      <c r="F1133" s="5" t="str">
        <f>IFERROR(__xludf.DUMMYFUNCTION("GOOGLEFINANCE(""ASX:IHOO"", ""pe"")"),"#N/A")</f>
        <v>#N/A</v>
      </c>
      <c r="G1133" s="9">
        <f>IFERROR(__xludf.DUMMYFUNCTION("GOOGLEFINANCE(""ASX:IHOO"", ""high52"")"),230.84)</f>
        <v>230.84</v>
      </c>
      <c r="H1133" s="9">
        <f>IFERROR(__xludf.DUMMYFUNCTION("GOOGLEFINANCE(""ASX:IHOO"", ""low52"")"),150.0)</f>
        <v>150</v>
      </c>
      <c r="I1133" s="9" t="str">
        <f>IFERROR(__xludf.DUMMYFUNCTION("GOOGLEFINANCE(""ASX:IHOO"", ""marketcap"")"),"#N/A")</f>
        <v>#N/A</v>
      </c>
      <c r="J1133" s="5"/>
      <c r="K1133" s="5"/>
      <c r="L1133" s="5"/>
      <c r="M1133" s="5"/>
      <c r="N1133" s="11" t="s">
        <v>19</v>
      </c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>
      <c r="A1134" s="6" t="s">
        <v>2282</v>
      </c>
      <c r="B1134" s="6" t="s">
        <v>2283</v>
      </c>
      <c r="C1134" s="5" t="s">
        <v>36</v>
      </c>
      <c r="D1134" s="7">
        <f>IFERROR(__xludf.DUMMYFUNCTION("GOOGLEFINANCE(""ASX:IHVV"", ""price"")"),63.34)</f>
        <v>63.34</v>
      </c>
      <c r="E1134" s="8">
        <f>IFERROR(__xludf.DUMMYFUNCTION("GOOGLEFINANCE(""ASX:IHVV"", ""closeyest"")"),63.05)</f>
        <v>63.05</v>
      </c>
      <c r="F1134" s="5" t="str">
        <f>IFERROR(__xludf.DUMMYFUNCTION("GOOGLEFINANCE(""ASX:IHVV"", ""pe"")"),"#N/A")</f>
        <v>#N/A</v>
      </c>
      <c r="G1134" s="9">
        <f>IFERROR(__xludf.DUMMYFUNCTION("GOOGLEFINANCE(""ASX:IHVV"", ""high52"")"),63.4)</f>
        <v>63.4</v>
      </c>
      <c r="H1134" s="9">
        <f>IFERROR(__xludf.DUMMYFUNCTION("GOOGLEFINANCE(""ASX:IHVV"", ""low52"")"),44.18)</f>
        <v>44.18</v>
      </c>
      <c r="I1134" s="9" t="str">
        <f>IFERROR(__xludf.DUMMYFUNCTION("GOOGLEFINANCE(""ASX:IHVV"", ""marketcap"")"),"#N/A")</f>
        <v>#N/A</v>
      </c>
      <c r="J1134" s="9">
        <v>0.022</v>
      </c>
      <c r="K1134" s="9">
        <v>0.022</v>
      </c>
      <c r="L1134" s="9">
        <v>0.295</v>
      </c>
      <c r="M1134" s="9">
        <v>0.019</v>
      </c>
      <c r="N1134" s="11" t="s">
        <v>19</v>
      </c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>
      <c r="A1135" s="6" t="s">
        <v>2284</v>
      </c>
      <c r="B1135" s="6" t="s">
        <v>2285</v>
      </c>
      <c r="C1135" s="5" t="s">
        <v>36</v>
      </c>
      <c r="D1135" s="7">
        <f>IFERROR(__xludf.DUMMYFUNCTION("GOOGLEFINANCE(""ASX:IHWL"", ""price"")"),62.33)</f>
        <v>62.33</v>
      </c>
      <c r="E1135" s="8">
        <f>IFERROR(__xludf.DUMMYFUNCTION("GOOGLEFINANCE(""ASX:IHWL"", ""closeyest"")"),62.4)</f>
        <v>62.4</v>
      </c>
      <c r="F1135" s="5" t="str">
        <f>IFERROR(__xludf.DUMMYFUNCTION("GOOGLEFINANCE(""ASX:IHWL"", ""pe"")"),"#N/A")</f>
        <v>#N/A</v>
      </c>
      <c r="G1135" s="9">
        <f>IFERROR(__xludf.DUMMYFUNCTION("GOOGLEFINANCE(""ASX:IHWL"", ""high52"")"),62.6)</f>
        <v>62.6</v>
      </c>
      <c r="H1135" s="9">
        <f>IFERROR(__xludf.DUMMYFUNCTION("GOOGLEFINANCE(""ASX:IHWL"", ""low52"")"),43.2)</f>
        <v>43.2</v>
      </c>
      <c r="I1135" s="9" t="str">
        <f>IFERROR(__xludf.DUMMYFUNCTION("GOOGLEFINANCE(""ASX:IHWL"", ""marketcap"")"),"#N/A")</f>
        <v>#N/A</v>
      </c>
      <c r="J1135" s="5"/>
      <c r="K1135" s="5"/>
      <c r="L1135" s="5"/>
      <c r="M1135" s="5"/>
      <c r="N1135" s="11" t="s">
        <v>19</v>
      </c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>
      <c r="A1136" s="6" t="s">
        <v>2286</v>
      </c>
      <c r="B1136" s="6" t="s">
        <v>2287</v>
      </c>
      <c r="C1136" s="5" t="s">
        <v>36</v>
      </c>
      <c r="D1136" s="7" t="str">
        <f>IFERROR(__xludf.DUMMYFUNCTION("GOOGLEFINANCE(""ASX:IIGF"", ""price"")"),"#N/A")</f>
        <v>#N/A</v>
      </c>
      <c r="E1136" s="8" t="str">
        <f>IFERROR(__xludf.DUMMYFUNCTION("GOOGLEFINANCE(""ASX:IIGF"", ""closeyest"")"),"#N/A")</f>
        <v>#N/A</v>
      </c>
      <c r="F1136" s="5" t="str">
        <f>IFERROR(__xludf.DUMMYFUNCTION("GOOGLEFINANCE(""ASX:IIGF"", ""pe"")"),"#N/A")</f>
        <v>#N/A</v>
      </c>
      <c r="G1136" s="5" t="str">
        <f>IFERROR(__xludf.DUMMYFUNCTION("GOOGLEFINANCE(""ASX:IIGF"", ""high52"")"),"#N/A")</f>
        <v>#N/A</v>
      </c>
      <c r="H1136" s="5" t="str">
        <f>IFERROR(__xludf.DUMMYFUNCTION("GOOGLEFINANCE(""ASX:IIGF"", ""low52"")"),"#N/A")</f>
        <v>#N/A</v>
      </c>
      <c r="I1136" s="9" t="str">
        <f>IFERROR(__xludf.DUMMYFUNCTION("GOOGLEFINANCE(""ASX:IIGF"", ""marketcap"")"),"#N/A")</f>
        <v>#N/A</v>
      </c>
      <c r="J1136" s="12">
        <v>3.14</v>
      </c>
      <c r="K1136" s="12">
        <v>3.14</v>
      </c>
      <c r="L1136" s="12">
        <v>3.25</v>
      </c>
      <c r="M1136" s="12">
        <v>2.54</v>
      </c>
      <c r="N1136" s="11" t="s">
        <v>19</v>
      </c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>
      <c r="A1137" s="6" t="s">
        <v>2288</v>
      </c>
      <c r="B1137" s="6" t="s">
        <v>2289</v>
      </c>
      <c r="C1137" s="5" t="s">
        <v>36</v>
      </c>
      <c r="D1137" s="7">
        <f>IFERROR(__xludf.DUMMYFUNCTION("GOOGLEFINANCE(""ASX:IIND"", ""price"")"),11.4)</f>
        <v>11.4</v>
      </c>
      <c r="E1137" s="8">
        <f>IFERROR(__xludf.DUMMYFUNCTION("GOOGLEFINANCE(""ASX:IIND"", ""closeyest"")"),11.5)</f>
        <v>11.5</v>
      </c>
      <c r="F1137" s="5" t="str">
        <f>IFERROR(__xludf.DUMMYFUNCTION("GOOGLEFINANCE(""ASX:IIND"", ""pe"")"),"#N/A")</f>
        <v>#N/A</v>
      </c>
      <c r="G1137" s="9">
        <f>IFERROR(__xludf.DUMMYFUNCTION("GOOGLEFINANCE(""ASX:IIND"", ""high52"")"),12.35)</f>
        <v>12.35</v>
      </c>
      <c r="H1137" s="9">
        <f>IFERROR(__xludf.DUMMYFUNCTION("GOOGLEFINANCE(""ASX:IIND"", ""low52"")"),10.81)</f>
        <v>10.81</v>
      </c>
      <c r="I1137" s="9" t="str">
        <f>IFERROR(__xludf.DUMMYFUNCTION("GOOGLEFINANCE(""ASX:IIND"", ""marketcap"")"),"#N/A")</f>
        <v>#N/A</v>
      </c>
      <c r="J1137" s="5"/>
      <c r="K1137" s="5"/>
      <c r="L1137" s="5"/>
      <c r="M1137" s="5"/>
      <c r="N1137" s="11" t="s">
        <v>19</v>
      </c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>
      <c r="A1138" s="6" t="s">
        <v>2290</v>
      </c>
      <c r="B1138" s="6" t="s">
        <v>2291</v>
      </c>
      <c r="C1138" s="5" t="s">
        <v>174</v>
      </c>
      <c r="D1138" s="7">
        <f>IFERROR(__xludf.DUMMYFUNCTION("GOOGLEFINANCE(""ASX:IIQ"", ""price"")"),0.39)</f>
        <v>0.39</v>
      </c>
      <c r="E1138" s="8">
        <f>IFERROR(__xludf.DUMMYFUNCTION("GOOGLEFINANCE(""ASX:IIQ"", ""closeyest"")"),0.4)</f>
        <v>0.4</v>
      </c>
      <c r="F1138" s="5" t="str">
        <f>IFERROR(__xludf.DUMMYFUNCTION("GOOGLEFINANCE(""ASX:IIQ"", ""pe"")"),"#N/A")</f>
        <v>#N/A</v>
      </c>
      <c r="G1138" s="9">
        <f>IFERROR(__xludf.DUMMYFUNCTION("GOOGLEFINANCE(""ASX:IIQ"", ""high52"")"),0.69)</f>
        <v>0.69</v>
      </c>
      <c r="H1138" s="9">
        <f>IFERROR(__xludf.DUMMYFUNCTION("GOOGLEFINANCE(""ASX:IIQ"", ""low52"")"),0.32)</f>
        <v>0.32</v>
      </c>
      <c r="I1138" s="9">
        <f>IFERROR(__xludf.DUMMYFUNCTION("GOOGLEFINANCE(""ASX:IIQ"", ""marketcap"")"),5.3521043E7)</f>
        <v>53521043</v>
      </c>
      <c r="J1138" s="5"/>
      <c r="K1138" s="5"/>
      <c r="L1138" s="5"/>
      <c r="M1138" s="5"/>
      <c r="N1138" s="11" t="s">
        <v>19</v>
      </c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>
      <c r="A1139" s="6" t="s">
        <v>2292</v>
      </c>
      <c r="B1139" s="6" t="s">
        <v>2293</v>
      </c>
      <c r="C1139" s="5" t="s">
        <v>36</v>
      </c>
      <c r="D1139" s="7" t="str">
        <f>IFERROR(__xludf.DUMMYFUNCTION("GOOGLEFINANCE(""ASX:IISV"", ""price"")"),"#N/A")</f>
        <v>#N/A</v>
      </c>
      <c r="E1139" s="8" t="str">
        <f>IFERROR(__xludf.DUMMYFUNCTION("GOOGLEFINANCE(""ASX:IISV"", ""closeyest"")"),"#N/A")</f>
        <v>#N/A</v>
      </c>
      <c r="F1139" s="5" t="str">
        <f>IFERROR(__xludf.DUMMYFUNCTION("GOOGLEFINANCE(""ASX:IISV"", ""pe"")"),"#N/A")</f>
        <v>#N/A</v>
      </c>
      <c r="G1139" s="5" t="str">
        <f>IFERROR(__xludf.DUMMYFUNCTION("GOOGLEFINANCE(""ASX:IISV"", ""high52"")"),"#N/A")</f>
        <v>#N/A</v>
      </c>
      <c r="H1139" s="5" t="str">
        <f>IFERROR(__xludf.DUMMYFUNCTION("GOOGLEFINANCE(""ASX:IISV"", ""low52"")"),"#N/A")</f>
        <v>#N/A</v>
      </c>
      <c r="I1139" s="9" t="str">
        <f>IFERROR(__xludf.DUMMYFUNCTION("GOOGLEFINANCE(""ASX:IISV"", ""marketcap"")"),"#N/A")</f>
        <v>#N/A</v>
      </c>
      <c r="J1139" s="12">
        <v>3.64</v>
      </c>
      <c r="K1139" s="12">
        <v>3.66</v>
      </c>
      <c r="L1139" s="12">
        <v>3.84</v>
      </c>
      <c r="M1139" s="12">
        <v>3.12</v>
      </c>
      <c r="N1139" s="11" t="s">
        <v>19</v>
      </c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>
      <c r="A1140" s="6" t="s">
        <v>2294</v>
      </c>
      <c r="B1140" s="6" t="s">
        <v>2295</v>
      </c>
      <c r="C1140" s="5" t="s">
        <v>36</v>
      </c>
      <c r="D1140" s="7">
        <f>IFERROR(__xludf.DUMMYFUNCTION("GOOGLEFINANCE(""ASX:IJH"", ""price"")"),50.88)</f>
        <v>50.88</v>
      </c>
      <c r="E1140" s="8">
        <f>IFERROR(__xludf.DUMMYFUNCTION("GOOGLEFINANCE(""ASX:IJH"", ""closeyest"")"),50.29)</f>
        <v>50.29</v>
      </c>
      <c r="F1140" s="5" t="str">
        <f>IFERROR(__xludf.DUMMYFUNCTION("GOOGLEFINANCE(""ASX:IJH"", ""pe"")"),"#N/A")</f>
        <v>#N/A</v>
      </c>
      <c r="G1140" s="9">
        <f>IFERROR(__xludf.DUMMYFUNCTION("GOOGLEFINANCE(""ASX:IJH"", ""high52"")"),53.24)</f>
        <v>53.24</v>
      </c>
      <c r="H1140" s="9">
        <f>IFERROR(__xludf.DUMMYFUNCTION("GOOGLEFINANCE(""ASX:IJH"", ""low52"")"),41.55)</f>
        <v>41.55</v>
      </c>
      <c r="I1140" s="9">
        <f>IFERROR(__xludf.DUMMYFUNCTION("GOOGLEFINANCE(""ASX:IJH"", ""marketcap"")"),1.7667882548E10)</f>
        <v>17667882548</v>
      </c>
      <c r="J1140" s="5"/>
      <c r="K1140" s="5"/>
      <c r="L1140" s="5"/>
      <c r="M1140" s="5"/>
      <c r="N1140" s="11" t="s">
        <v>19</v>
      </c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>
      <c r="A1141" s="6" t="s">
        <v>2296</v>
      </c>
      <c r="B1141" s="6" t="s">
        <v>2297</v>
      </c>
      <c r="C1141" s="5" t="s">
        <v>36</v>
      </c>
      <c r="D1141" s="7">
        <f>IFERROR(__xludf.DUMMYFUNCTION("GOOGLEFINANCE(""ASX:IJP"", ""price"")"),122.47)</f>
        <v>122.47</v>
      </c>
      <c r="E1141" s="8">
        <f>IFERROR(__xludf.DUMMYFUNCTION("GOOGLEFINANCE(""ASX:IJP"", ""closeyest"")"),124.31)</f>
        <v>124.31</v>
      </c>
      <c r="F1141" s="5" t="str">
        <f>IFERROR(__xludf.DUMMYFUNCTION("GOOGLEFINANCE(""ASX:IJP"", ""pe"")"),"#N/A")</f>
        <v>#N/A</v>
      </c>
      <c r="G1141" s="9">
        <f>IFERROR(__xludf.DUMMYFUNCTION("GOOGLEFINANCE(""ASX:IJP"", ""high52"")"),129.25)</f>
        <v>129.25</v>
      </c>
      <c r="H1141" s="9">
        <f>IFERROR(__xludf.DUMMYFUNCTION("GOOGLEFINANCE(""ASX:IJP"", ""low52"")"),98.0)</f>
        <v>98</v>
      </c>
      <c r="I1141" s="9" t="str">
        <f>IFERROR(__xludf.DUMMYFUNCTION("GOOGLEFINANCE(""ASX:IJP"", ""marketcap"")"),"#N/A")</f>
        <v>#N/A</v>
      </c>
      <c r="J1141" s="5"/>
      <c r="K1141" s="5"/>
      <c r="L1141" s="5"/>
      <c r="M1141" s="5"/>
      <c r="N1141" s="11" t="s">
        <v>19</v>
      </c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>
      <c r="A1142" s="6" t="s">
        <v>2298</v>
      </c>
      <c r="B1142" s="6" t="s">
        <v>2299</v>
      </c>
      <c r="C1142" s="5" t="s">
        <v>36</v>
      </c>
      <c r="D1142" s="7">
        <f>IFERROR(__xludf.DUMMYFUNCTION("GOOGLEFINANCE(""ASX:IJR"", ""price"")"),185.26)</f>
        <v>185.26</v>
      </c>
      <c r="E1142" s="8">
        <f>IFERROR(__xludf.DUMMYFUNCTION("GOOGLEFINANCE(""ASX:IJR"", ""closeyest"")"),183.24)</f>
        <v>183.24</v>
      </c>
      <c r="F1142" s="5" t="str">
        <f>IFERROR(__xludf.DUMMYFUNCTION("GOOGLEFINANCE(""ASX:IJR"", ""pe"")"),"#N/A")</f>
        <v>#N/A</v>
      </c>
      <c r="G1142" s="9">
        <f>IFERROR(__xludf.DUMMYFUNCTION("GOOGLEFINANCE(""ASX:IJR"", ""high52"")"),194.66)</f>
        <v>194.66</v>
      </c>
      <c r="H1142" s="9">
        <f>IFERROR(__xludf.DUMMYFUNCTION("GOOGLEFINANCE(""ASX:IJR"", ""low52"")"),147.06)</f>
        <v>147.06</v>
      </c>
      <c r="I1142" s="9" t="str">
        <f>IFERROR(__xludf.DUMMYFUNCTION("GOOGLEFINANCE(""ASX:IJR"", ""marketcap"")"),"#N/A")</f>
        <v>#N/A</v>
      </c>
      <c r="J1142" s="5"/>
      <c r="K1142" s="5"/>
      <c r="L1142" s="5"/>
      <c r="M1142" s="5"/>
      <c r="N1142" s="11" t="s">
        <v>19</v>
      </c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>
      <c r="A1143" s="6" t="s">
        <v>2300</v>
      </c>
      <c r="B1143" s="6" t="s">
        <v>2301</v>
      </c>
      <c r="C1143" s="5" t="s">
        <v>52</v>
      </c>
      <c r="D1143" s="7">
        <f>IFERROR(__xludf.DUMMYFUNCTION("GOOGLEFINANCE(""ASX:IKE"", ""price"")"),0.97)</f>
        <v>0.97</v>
      </c>
      <c r="E1143" s="8">
        <f>IFERROR(__xludf.DUMMYFUNCTION("GOOGLEFINANCE(""ASX:IKE"", ""closeyest"")"),0.96)</f>
        <v>0.96</v>
      </c>
      <c r="F1143" s="5" t="str">
        <f>IFERROR(__xludf.DUMMYFUNCTION("GOOGLEFINANCE(""ASX:IKE"", ""pe"")"),"#N/A")</f>
        <v>#N/A</v>
      </c>
      <c r="G1143" s="9">
        <f>IFERROR(__xludf.DUMMYFUNCTION("GOOGLEFINANCE(""ASX:IKE"", ""high52"")"),1.15)</f>
        <v>1.15</v>
      </c>
      <c r="H1143" s="9">
        <f>IFERROR(__xludf.DUMMYFUNCTION("GOOGLEFINANCE(""ASX:IKE"", ""low52"")"),0.51)</f>
        <v>0.51</v>
      </c>
      <c r="I1143" s="9">
        <f>IFERROR(__xludf.DUMMYFUNCTION("GOOGLEFINANCE(""ASX:IKE"", ""marketcap"")"),2.123561E8)</f>
        <v>212356100</v>
      </c>
      <c r="J1143" s="5"/>
      <c r="K1143" s="5"/>
      <c r="L1143" s="5"/>
      <c r="M1143" s="5"/>
      <c r="N1143" s="11" t="s">
        <v>19</v>
      </c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>
      <c r="A1144" s="6" t="s">
        <v>2302</v>
      </c>
      <c r="B1144" s="6" t="s">
        <v>2303</v>
      </c>
      <c r="C1144" s="5" t="s">
        <v>36</v>
      </c>
      <c r="D1144" s="7">
        <f>IFERROR(__xludf.DUMMYFUNCTION("GOOGLEFINANCE(""ASX:IKO"", ""price"")"),164.01)</f>
        <v>164.01</v>
      </c>
      <c r="E1144" s="8">
        <f>IFERROR(__xludf.DUMMYFUNCTION("GOOGLEFINANCE(""ASX:IKO"", ""closeyest"")"),164.25)</f>
        <v>164.25</v>
      </c>
      <c r="F1144" s="5" t="str">
        <f>IFERROR(__xludf.DUMMYFUNCTION("GOOGLEFINANCE(""ASX:IKO"", ""pe"")"),"#N/A")</f>
        <v>#N/A</v>
      </c>
      <c r="G1144" s="9">
        <f>IFERROR(__xludf.DUMMYFUNCTION("GOOGLEFINANCE(""ASX:IKO"", ""high52"")"),172.01)</f>
        <v>172.01</v>
      </c>
      <c r="H1144" s="9">
        <f>IFERROR(__xludf.DUMMYFUNCTION("GOOGLEFINANCE(""ASX:IKO"", ""low52"")"),84.51)</f>
        <v>84.51</v>
      </c>
      <c r="I1144" s="9">
        <f>IFERROR(__xludf.DUMMYFUNCTION("GOOGLEFINANCE(""ASX:IKO"", ""marketcap"")"),7.785583544E9)</f>
        <v>7785583544</v>
      </c>
      <c r="J1144" s="5"/>
      <c r="K1144" s="5"/>
      <c r="L1144" s="5"/>
      <c r="M1144" s="5"/>
      <c r="N1144" s="11" t="s">
        <v>19</v>
      </c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>
      <c r="A1145" s="6" t="s">
        <v>2304</v>
      </c>
      <c r="B1145" s="6" t="s">
        <v>2305</v>
      </c>
      <c r="C1145" s="5" t="s">
        <v>25</v>
      </c>
      <c r="D1145" s="7">
        <f>IFERROR(__xludf.DUMMYFUNCTION("GOOGLEFINANCE(""ASX:ILA"", ""price"")"),0.46)</f>
        <v>0.46</v>
      </c>
      <c r="E1145" s="8">
        <f>IFERROR(__xludf.DUMMYFUNCTION("GOOGLEFINANCE(""ASX:ILA"", ""closeyest"")"),0.41)</f>
        <v>0.41</v>
      </c>
      <c r="F1145" s="5" t="str">
        <f>IFERROR(__xludf.DUMMYFUNCTION("GOOGLEFINANCE(""ASX:ILA"", ""pe"")"),"#N/A")</f>
        <v>#N/A</v>
      </c>
      <c r="G1145" s="9">
        <f>IFERROR(__xludf.DUMMYFUNCTION("GOOGLEFINANCE(""ASX:ILA"", ""high52"")"),0.63)</f>
        <v>0.63</v>
      </c>
      <c r="H1145" s="9">
        <f>IFERROR(__xludf.DUMMYFUNCTION("GOOGLEFINANCE(""ASX:ILA"", ""low52"")"),0.12)</f>
        <v>0.12</v>
      </c>
      <c r="I1145" s="9">
        <f>IFERROR(__xludf.DUMMYFUNCTION("GOOGLEFINANCE(""ASX:ILA"", ""marketcap"")"),1.23764014E8)</f>
        <v>123764014</v>
      </c>
      <c r="J1145" s="9">
        <v>9.98</v>
      </c>
      <c r="K1145" s="9">
        <v>9.82</v>
      </c>
      <c r="L1145" s="5"/>
      <c r="M1145" s="5"/>
      <c r="N1145" s="11" t="s">
        <v>19</v>
      </c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>
      <c r="A1146" s="6" t="s">
        <v>2306</v>
      </c>
      <c r="B1146" s="6" t="s">
        <v>2307</v>
      </c>
      <c r="C1146" s="5" t="s">
        <v>36</v>
      </c>
      <c r="D1146" s="7">
        <f>IFERROR(__xludf.DUMMYFUNCTION("GOOGLEFINANCE(""ASX:ILB"", ""price"")"),125.1)</f>
        <v>125.1</v>
      </c>
      <c r="E1146" s="8">
        <f>IFERROR(__xludf.DUMMYFUNCTION("GOOGLEFINANCE(""ASX:ILB"", ""closeyest"")"),125.34)</f>
        <v>125.34</v>
      </c>
      <c r="F1146" s="5" t="str">
        <f>IFERROR(__xludf.DUMMYFUNCTION("GOOGLEFINANCE(""ASX:ILB"", ""pe"")"),"#N/A")</f>
        <v>#N/A</v>
      </c>
      <c r="G1146" s="9">
        <f>IFERROR(__xludf.DUMMYFUNCTION("GOOGLEFINANCE(""ASX:ILB"", ""high52"")"),130.0)</f>
        <v>130</v>
      </c>
      <c r="H1146" s="9">
        <f>IFERROR(__xludf.DUMMYFUNCTION("GOOGLEFINANCE(""ASX:ILB"", ""low52"")"),121.38)</f>
        <v>121.38</v>
      </c>
      <c r="I1146" s="9" t="str">
        <f>IFERROR(__xludf.DUMMYFUNCTION("GOOGLEFINANCE(""ASX:ILB"", ""marketcap"")"),"#N/A")</f>
        <v>#N/A</v>
      </c>
      <c r="J1146" s="9">
        <v>11.34</v>
      </c>
      <c r="K1146" s="9">
        <v>11.42</v>
      </c>
      <c r="L1146" s="9">
        <v>11.61</v>
      </c>
      <c r="M1146" s="9">
        <v>9.83</v>
      </c>
      <c r="N1146" s="11" t="s">
        <v>19</v>
      </c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>
      <c r="A1147" s="6" t="s">
        <v>2308</v>
      </c>
      <c r="B1147" s="6" t="s">
        <v>2309</v>
      </c>
      <c r="C1147" s="5" t="s">
        <v>36</v>
      </c>
      <c r="D1147" s="7">
        <f>IFERROR(__xludf.DUMMYFUNCTION("GOOGLEFINANCE(""ASX:ILC"", ""price"")"),32.08)</f>
        <v>32.08</v>
      </c>
      <c r="E1147" s="8">
        <f>IFERROR(__xludf.DUMMYFUNCTION("GOOGLEFINANCE(""ASX:ILC"", ""closeyest"")"),32.2)</f>
        <v>32.2</v>
      </c>
      <c r="F1147" s="5" t="str">
        <f>IFERROR(__xludf.DUMMYFUNCTION("GOOGLEFINANCE(""ASX:ILC"", ""pe"")"),"#N/A")</f>
        <v>#N/A</v>
      </c>
      <c r="G1147" s="9">
        <f>IFERROR(__xludf.DUMMYFUNCTION("GOOGLEFINANCE(""ASX:ILC"", ""high52"")"),34.22)</f>
        <v>34.22</v>
      </c>
      <c r="H1147" s="9">
        <f>IFERROR(__xludf.DUMMYFUNCTION("GOOGLEFINANCE(""ASX:ILC"", ""low52"")"),27.49)</f>
        <v>27.49</v>
      </c>
      <c r="I1147" s="9" t="str">
        <f>IFERROR(__xludf.DUMMYFUNCTION("GOOGLEFINANCE(""ASX:ILC"", ""marketcap"")"),"#N/A")</f>
        <v>#N/A</v>
      </c>
      <c r="J1147" s="5"/>
      <c r="K1147" s="5"/>
      <c r="L1147" s="5"/>
      <c r="M1147" s="5"/>
      <c r="N1147" s="11" t="s">
        <v>19</v>
      </c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>
      <c r="A1148" s="6" t="s">
        <v>2310</v>
      </c>
      <c r="B1148" s="6" t="s">
        <v>2311</v>
      </c>
      <c r="C1148" s="5" t="s">
        <v>18</v>
      </c>
      <c r="D1148" s="7">
        <f>IFERROR(__xludf.DUMMYFUNCTION("GOOGLEFINANCE(""ASX:ILT"", ""price"")"),0.65)</f>
        <v>0.65</v>
      </c>
      <c r="E1148" s="8">
        <f>IFERROR(__xludf.DUMMYFUNCTION("GOOGLEFINANCE(""ASX:ILT"", ""closeyest"")"),0.65)</f>
        <v>0.65</v>
      </c>
      <c r="F1148" s="5" t="str">
        <f>IFERROR(__xludf.DUMMYFUNCTION("GOOGLEFINANCE(""ASX:ILT"", ""pe"")"),"#N/A")</f>
        <v>#N/A</v>
      </c>
      <c r="G1148" s="9">
        <f>IFERROR(__xludf.DUMMYFUNCTION("GOOGLEFINANCE(""ASX:ILT"", ""high52"")"),0.72)</f>
        <v>0.72</v>
      </c>
      <c r="H1148" s="9">
        <f>IFERROR(__xludf.DUMMYFUNCTION("GOOGLEFINANCE(""ASX:ILT"", ""low52"")"),0.17)</f>
        <v>0.17</v>
      </c>
      <c r="I1148" s="9">
        <f>IFERROR(__xludf.DUMMYFUNCTION("GOOGLEFINANCE(""ASX:ILT"", ""marketcap"")"),4.8211297E7)</f>
        <v>48211297</v>
      </c>
      <c r="J1148" s="5"/>
      <c r="K1148" s="5"/>
      <c r="L1148" s="5"/>
      <c r="M1148" s="5"/>
      <c r="N1148" s="11" t="s">
        <v>19</v>
      </c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>
      <c r="A1149" s="6" t="s">
        <v>2312</v>
      </c>
      <c r="B1149" s="6" t="s">
        <v>2313</v>
      </c>
      <c r="C1149" s="5" t="s">
        <v>39</v>
      </c>
      <c r="D1149" s="7">
        <f>IFERROR(__xludf.DUMMYFUNCTION("GOOGLEFINANCE(""ASX:ILU"", ""price"")"),6.57)</f>
        <v>6.57</v>
      </c>
      <c r="E1149" s="8">
        <f>IFERROR(__xludf.DUMMYFUNCTION("GOOGLEFINANCE(""ASX:ILU"", ""closeyest"")"),6.41)</f>
        <v>6.41</v>
      </c>
      <c r="F1149" s="9">
        <f>IFERROR(__xludf.DUMMYFUNCTION("GOOGLEFINANCE(""ASX:ILU"", ""pe"")"),14.99)</f>
        <v>14.99</v>
      </c>
      <c r="G1149" s="9">
        <f>IFERROR(__xludf.DUMMYFUNCTION("GOOGLEFINANCE(""ASX:ILU"", ""high52"")"),9.48)</f>
        <v>9.48</v>
      </c>
      <c r="H1149" s="9">
        <f>IFERROR(__xludf.DUMMYFUNCTION("GOOGLEFINANCE(""ASX:ILU"", ""low52"")"),3.14)</f>
        <v>3.14</v>
      </c>
      <c r="I1149" s="9">
        <f>IFERROR(__xludf.DUMMYFUNCTION("GOOGLEFINANCE(""ASX:ILU"", ""marketcap"")"),2.823154039E9)</f>
        <v>2823154039</v>
      </c>
      <c r="J1149" s="5"/>
      <c r="K1149" s="5"/>
      <c r="L1149" s="5"/>
      <c r="M1149" s="5"/>
      <c r="N1149" s="10">
        <v>13.39</v>
      </c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>
      <c r="A1150" s="6" t="s">
        <v>2314</v>
      </c>
      <c r="B1150" s="6" t="s">
        <v>2315</v>
      </c>
      <c r="C1150" s="5" t="s">
        <v>18</v>
      </c>
      <c r="D1150" s="7">
        <f>IFERROR(__xludf.DUMMYFUNCTION("GOOGLEFINANCE(""ASX:IMA"", ""price"")"),0.06)</f>
        <v>0.06</v>
      </c>
      <c r="E1150" s="8">
        <f>IFERROR(__xludf.DUMMYFUNCTION("GOOGLEFINANCE(""ASX:IMA"", ""closeyest"")"),0.06)</f>
        <v>0.06</v>
      </c>
      <c r="F1150" s="5" t="str">
        <f>IFERROR(__xludf.DUMMYFUNCTION("GOOGLEFINANCE(""ASX:IMA"", ""pe"")"),"#N/A")</f>
        <v>#N/A</v>
      </c>
      <c r="G1150" s="9">
        <f>IFERROR(__xludf.DUMMYFUNCTION("GOOGLEFINANCE(""ASX:IMA"", ""high52"")"),0.11)</f>
        <v>0.11</v>
      </c>
      <c r="H1150" s="9">
        <f>IFERROR(__xludf.DUMMYFUNCTION("GOOGLEFINANCE(""ASX:IMA"", ""low52"")"),0.05)</f>
        <v>0.05</v>
      </c>
      <c r="I1150" s="9">
        <f>IFERROR(__xludf.DUMMYFUNCTION("GOOGLEFINANCE(""ASX:IMA"", ""marketcap"")"),5.9864173E7)</f>
        <v>59864173</v>
      </c>
      <c r="J1150" s="9">
        <v>2.96</v>
      </c>
      <c r="K1150" s="9">
        <v>3.11</v>
      </c>
      <c r="L1150" s="9">
        <v>3.33</v>
      </c>
      <c r="M1150" s="9">
        <v>2.8</v>
      </c>
      <c r="N1150" s="11" t="s">
        <v>19</v>
      </c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>
      <c r="A1151" s="6" t="s">
        <v>2316</v>
      </c>
      <c r="B1151" s="6" t="s">
        <v>2317</v>
      </c>
      <c r="C1151" s="5" t="s">
        <v>161</v>
      </c>
      <c r="D1151" s="7">
        <f>IFERROR(__xludf.DUMMYFUNCTION("GOOGLEFINANCE(""ASX:IMB"", ""price"")"),0.76)</f>
        <v>0.76</v>
      </c>
      <c r="E1151" s="8">
        <f>IFERROR(__xludf.DUMMYFUNCTION("GOOGLEFINANCE(""ASX:IMB"", ""closeyest"")"),0.76)</f>
        <v>0.76</v>
      </c>
      <c r="F1151" s="5" t="str">
        <f>IFERROR(__xludf.DUMMYFUNCTION("GOOGLEFINANCE(""ASX:IMB"", ""pe"")"),"#N/A")</f>
        <v>#N/A</v>
      </c>
      <c r="G1151" s="9">
        <f>IFERROR(__xludf.DUMMYFUNCTION("GOOGLEFINANCE(""ASX:IMB"", ""high52"")"),0.77)</f>
        <v>0.77</v>
      </c>
      <c r="H1151" s="9">
        <f>IFERROR(__xludf.DUMMYFUNCTION("GOOGLEFINANCE(""ASX:IMB"", ""low52"")"),0.43)</f>
        <v>0.43</v>
      </c>
      <c r="I1151" s="9">
        <f>IFERROR(__xludf.DUMMYFUNCTION("GOOGLEFINANCE(""ASX:IMB"", ""marketcap"")"),3.08876689E8)</f>
        <v>308876689</v>
      </c>
      <c r="J1151" s="5"/>
      <c r="K1151" s="5"/>
      <c r="L1151" s="5"/>
      <c r="M1151" s="5"/>
      <c r="N1151" s="11" t="s">
        <v>19</v>
      </c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>
      <c r="A1152" s="6" t="s">
        <v>2318</v>
      </c>
      <c r="B1152" s="6" t="s">
        <v>2319</v>
      </c>
      <c r="C1152" s="5" t="s">
        <v>174</v>
      </c>
      <c r="D1152" s="7">
        <f>IFERROR(__xludf.DUMMYFUNCTION("GOOGLEFINANCE(""ASX:IMC"", ""price"")"),0.04)</f>
        <v>0.04</v>
      </c>
      <c r="E1152" s="8">
        <f>IFERROR(__xludf.DUMMYFUNCTION("GOOGLEFINANCE(""ASX:IMC"", ""closeyest"")"),0.04)</f>
        <v>0.04</v>
      </c>
      <c r="F1152" s="5" t="str">
        <f>IFERROR(__xludf.DUMMYFUNCTION("GOOGLEFINANCE(""ASX:IMC"", ""pe"")"),"#N/A")</f>
        <v>#N/A</v>
      </c>
      <c r="G1152" s="9">
        <f>IFERROR(__xludf.DUMMYFUNCTION("GOOGLEFINANCE(""ASX:IMC"", ""high52"")"),0.1)</f>
        <v>0.1</v>
      </c>
      <c r="H1152" s="9">
        <f>IFERROR(__xludf.DUMMYFUNCTION("GOOGLEFINANCE(""ASX:IMC"", ""low52"")"),0.03)</f>
        <v>0.03</v>
      </c>
      <c r="I1152" s="9">
        <f>IFERROR(__xludf.DUMMYFUNCTION("GOOGLEFINANCE(""ASX:IMC"", ""marketcap"")"),1.000377E7)</f>
        <v>10003770</v>
      </c>
      <c r="J1152" s="5"/>
      <c r="K1152" s="5"/>
      <c r="L1152" s="5"/>
      <c r="M1152" s="5"/>
      <c r="N1152" s="11" t="s">
        <v>19</v>
      </c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>
      <c r="A1153" s="6" t="s">
        <v>2320</v>
      </c>
      <c r="B1153" s="6" t="s">
        <v>2321</v>
      </c>
      <c r="C1153" s="5" t="s">
        <v>396</v>
      </c>
      <c r="D1153" s="7">
        <f>IFERROR(__xludf.DUMMYFUNCTION("GOOGLEFINANCE(""ASX:IMD"", ""price"")"),3.67)</f>
        <v>3.67</v>
      </c>
      <c r="E1153" s="8">
        <f>IFERROR(__xludf.DUMMYFUNCTION("GOOGLEFINANCE(""ASX:IMD"", ""closeyest"")"),3.61)</f>
        <v>3.61</v>
      </c>
      <c r="F1153" s="9">
        <f>IFERROR(__xludf.DUMMYFUNCTION("GOOGLEFINANCE(""ASX:IMD"", ""pe"")"),35.89)</f>
        <v>35.89</v>
      </c>
      <c r="G1153" s="9">
        <f>IFERROR(__xludf.DUMMYFUNCTION("GOOGLEFINANCE(""ASX:IMD"", ""high52"")"),3.85)</f>
        <v>3.85</v>
      </c>
      <c r="H1153" s="9">
        <f>IFERROR(__xludf.DUMMYFUNCTION("GOOGLEFINANCE(""ASX:IMD"", ""low52"")"),2.3)</f>
        <v>2.3</v>
      </c>
      <c r="I1153" s="9">
        <f>IFERROR(__xludf.DUMMYFUNCTION("GOOGLEFINANCE(""ASX:IMD"", ""marketcap"")"),1.878459812E9)</f>
        <v>1878459812</v>
      </c>
      <c r="J1153" s="5"/>
      <c r="K1153" s="5"/>
      <c r="L1153" s="5"/>
      <c r="M1153" s="5"/>
      <c r="N1153" s="10">
        <v>33.84</v>
      </c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>
      <c r="A1154" s="6" t="s">
        <v>2322</v>
      </c>
      <c r="B1154" s="6" t="s">
        <v>2323</v>
      </c>
      <c r="C1154" s="5" t="s">
        <v>62</v>
      </c>
      <c r="D1154" s="7">
        <f>IFERROR(__xludf.DUMMYFUNCTION("GOOGLEFINANCE(""ASX:IME"", ""price"")"),0.4)</f>
        <v>0.4</v>
      </c>
      <c r="E1154" s="8">
        <f>IFERROR(__xludf.DUMMYFUNCTION("GOOGLEFINANCE(""ASX:IME"", ""closeyest"")"),0.4)</f>
        <v>0.4</v>
      </c>
      <c r="F1154" s="5" t="str">
        <f>IFERROR(__xludf.DUMMYFUNCTION("GOOGLEFINANCE(""ASX:IME"", ""pe"")"),"#N/A")</f>
        <v>#N/A</v>
      </c>
      <c r="G1154" s="9">
        <f>IFERROR(__xludf.DUMMYFUNCTION("GOOGLEFINANCE(""ASX:IME"", ""high52"")"),0.45)</f>
        <v>0.45</v>
      </c>
      <c r="H1154" s="9">
        <f>IFERROR(__xludf.DUMMYFUNCTION("GOOGLEFINANCE(""ASX:IME"", ""low52"")"),0.22)</f>
        <v>0.22</v>
      </c>
      <c r="I1154" s="9">
        <f>IFERROR(__xludf.DUMMYFUNCTION("GOOGLEFINANCE(""ASX:IME"", ""marketcap"")"),2.135002E7)</f>
        <v>21350020</v>
      </c>
      <c r="J1154" s="5"/>
      <c r="K1154" s="5"/>
      <c r="L1154" s="5"/>
      <c r="M1154" s="5"/>
      <c r="N1154" s="11" t="s">
        <v>19</v>
      </c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>
      <c r="A1155" s="6" t="s">
        <v>2324</v>
      </c>
      <c r="B1155" s="6" t="s">
        <v>2325</v>
      </c>
      <c r="C1155" s="5" t="s">
        <v>18</v>
      </c>
      <c r="D1155" s="7">
        <f>IFERROR(__xludf.DUMMYFUNCTION("GOOGLEFINANCE(""ASX:IMI"", ""price"")"),0.01)</f>
        <v>0.01</v>
      </c>
      <c r="E1155" s="8">
        <f>IFERROR(__xludf.DUMMYFUNCTION("GOOGLEFINANCE(""ASX:IMI"", ""closeyest"")"),0.01)</f>
        <v>0.01</v>
      </c>
      <c r="F1155" s="5" t="str">
        <f>IFERROR(__xludf.DUMMYFUNCTION("GOOGLEFINANCE(""ASX:IMI"", ""pe"")"),"#N/A")</f>
        <v>#N/A</v>
      </c>
      <c r="G1155" s="9">
        <f>IFERROR(__xludf.DUMMYFUNCTION("GOOGLEFINANCE(""ASX:IMI"", ""high52"")"),0.02)</f>
        <v>0.02</v>
      </c>
      <c r="H1155" s="9">
        <f>IFERROR(__xludf.DUMMYFUNCTION("GOOGLEFINANCE(""ASX:IMI"", ""low52"")"),0.01)</f>
        <v>0.01</v>
      </c>
      <c r="I1155" s="9">
        <f>IFERROR(__xludf.DUMMYFUNCTION("GOOGLEFINANCE(""ASX:IMI"", ""marketcap"")"),4707139.0)</f>
        <v>4707139</v>
      </c>
      <c r="J1155" s="5"/>
      <c r="K1155" s="5"/>
      <c r="L1155" s="5"/>
      <c r="M1155" s="5"/>
      <c r="N1155" s="11" t="s">
        <v>19</v>
      </c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>
      <c r="A1156" s="6" t="s">
        <v>2326</v>
      </c>
      <c r="B1156" s="6" t="s">
        <v>2327</v>
      </c>
      <c r="C1156" s="5" t="s">
        <v>36</v>
      </c>
      <c r="D1156" s="7" t="str">
        <f>IFERROR(__xludf.DUMMYFUNCTION("GOOGLEFINANCE(""ASX:IMLC"", ""price"")"),"#N/A")</f>
        <v>#N/A</v>
      </c>
      <c r="E1156" s="8" t="str">
        <f>IFERROR(__xludf.DUMMYFUNCTION("GOOGLEFINANCE(""ASX:IMLC"", ""closeyest"")"),"#N/A")</f>
        <v>#N/A</v>
      </c>
      <c r="F1156" s="5" t="str">
        <f>IFERROR(__xludf.DUMMYFUNCTION("GOOGLEFINANCE(""ASX:IMLC"", ""pe"")"),"#N/A")</f>
        <v>#N/A</v>
      </c>
      <c r="G1156" s="5" t="str">
        <f>IFERROR(__xludf.DUMMYFUNCTION("GOOGLEFINANCE(""ASX:IMLC"", ""high52"")"),"#N/A")</f>
        <v>#N/A</v>
      </c>
      <c r="H1156" s="5" t="str">
        <f>IFERROR(__xludf.DUMMYFUNCTION("GOOGLEFINANCE(""ASX:IMLC"", ""low52"")"),"#N/A")</f>
        <v>#N/A</v>
      </c>
      <c r="I1156" s="9" t="str">
        <f>IFERROR(__xludf.DUMMYFUNCTION("GOOGLEFINANCE(""ASX:IMLC"", ""marketcap"")"),"#N/A")</f>
        <v>#N/A</v>
      </c>
      <c r="J1156" s="12">
        <v>4.1</v>
      </c>
      <c r="K1156" s="12">
        <v>4.14</v>
      </c>
      <c r="L1156" s="12">
        <v>4.54</v>
      </c>
      <c r="M1156" s="12">
        <v>3.92</v>
      </c>
      <c r="N1156" s="11" t="s">
        <v>19</v>
      </c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>
      <c r="A1157" s="6" t="s">
        <v>2328</v>
      </c>
      <c r="B1157" s="6" t="s">
        <v>2329</v>
      </c>
      <c r="C1157" s="5" t="s">
        <v>25</v>
      </c>
      <c r="D1157" s="7">
        <f>IFERROR(__xludf.DUMMYFUNCTION("GOOGLEFINANCE(""ASX:IMM"", ""price"")"),0.43)</f>
        <v>0.43</v>
      </c>
      <c r="E1157" s="8">
        <f>IFERROR(__xludf.DUMMYFUNCTION("GOOGLEFINANCE(""ASX:IMM"", ""closeyest"")"),0.43)</f>
        <v>0.43</v>
      </c>
      <c r="F1157" s="5" t="str">
        <f>IFERROR(__xludf.DUMMYFUNCTION("GOOGLEFINANCE(""ASX:IMM"", ""pe"")"),"#N/A")</f>
        <v>#N/A</v>
      </c>
      <c r="G1157" s="9">
        <f>IFERROR(__xludf.DUMMYFUNCTION("GOOGLEFINANCE(""ASX:IMM"", ""high52"")"),0.46)</f>
        <v>0.46</v>
      </c>
      <c r="H1157" s="9">
        <f>IFERROR(__xludf.DUMMYFUNCTION("GOOGLEFINANCE(""ASX:IMM"", ""low52"")"),0.22)</f>
        <v>0.22</v>
      </c>
      <c r="I1157" s="9">
        <f>IFERROR(__xludf.DUMMYFUNCTION("GOOGLEFINANCE(""ASX:IMM"", ""marketcap"")"),6.2633113E8)</f>
        <v>626331130</v>
      </c>
      <c r="J1157" s="5"/>
      <c r="K1157" s="5"/>
      <c r="L1157" s="5"/>
      <c r="M1157" s="5"/>
      <c r="N1157" s="11" t="s">
        <v>19</v>
      </c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>
      <c r="A1158" s="6" t="s">
        <v>2330</v>
      </c>
      <c r="B1158" s="6" t="s">
        <v>2331</v>
      </c>
      <c r="C1158" s="5" t="s">
        <v>36</v>
      </c>
      <c r="D1158" s="7" t="str">
        <f>IFERROR(__xludf.DUMMYFUNCTION("GOOGLEFINANCE(""ASX:IMPQ"", ""price"")"),"#N/A")</f>
        <v>#N/A</v>
      </c>
      <c r="E1158" s="8" t="str">
        <f>IFERROR(__xludf.DUMMYFUNCTION("GOOGLEFINANCE(""ASX:IMPQ"", ""closeyest"")"),"#N/A")</f>
        <v>#N/A</v>
      </c>
      <c r="F1158" s="5" t="str">
        <f>IFERROR(__xludf.DUMMYFUNCTION("GOOGLEFINANCE(""ASX:IMPQ"", ""pe"")"),"#N/A")</f>
        <v>#N/A</v>
      </c>
      <c r="G1158" s="5" t="str">
        <f>IFERROR(__xludf.DUMMYFUNCTION("GOOGLEFINANCE(""ASX:IMPQ"", ""high52"")"),"#N/A")</f>
        <v>#N/A</v>
      </c>
      <c r="H1158" s="5" t="str">
        <f>IFERROR(__xludf.DUMMYFUNCTION("GOOGLEFINANCE(""ASX:IMPQ"", ""low52"")"),"#N/A")</f>
        <v>#N/A</v>
      </c>
      <c r="I1158" s="9" t="str">
        <f>IFERROR(__xludf.DUMMYFUNCTION("GOOGLEFINANCE(""ASX:IMPQ"", ""marketcap"")"),"#N/A")</f>
        <v>#N/A</v>
      </c>
      <c r="J1158" s="12">
        <v>4.95</v>
      </c>
      <c r="K1158" s="12">
        <v>4.95</v>
      </c>
      <c r="L1158" s="12">
        <v>5.16</v>
      </c>
      <c r="M1158" s="12">
        <v>4.29</v>
      </c>
      <c r="N1158" s="11" t="s">
        <v>19</v>
      </c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>
      <c r="A1159" s="6" t="s">
        <v>2332</v>
      </c>
      <c r="B1159" s="6" t="s">
        <v>2333</v>
      </c>
      <c r="C1159" s="5" t="s">
        <v>62</v>
      </c>
      <c r="D1159" s="7">
        <f>IFERROR(__xludf.DUMMYFUNCTION("GOOGLEFINANCE(""ASX:IMR"", ""price"")"),1.53)</f>
        <v>1.53</v>
      </c>
      <c r="E1159" s="8">
        <f>IFERROR(__xludf.DUMMYFUNCTION("GOOGLEFINANCE(""ASX:IMR"", ""closeyest"")"),1.52)</f>
        <v>1.52</v>
      </c>
      <c r="F1159" s="5" t="str">
        <f>IFERROR(__xludf.DUMMYFUNCTION("GOOGLEFINANCE(""ASX:IMR"", ""pe"")"),"#N/A")</f>
        <v>#N/A</v>
      </c>
      <c r="G1159" s="9">
        <f>IFERROR(__xludf.DUMMYFUNCTION("GOOGLEFINANCE(""ASX:IMR"", ""high52"")"),1.86)</f>
        <v>1.86</v>
      </c>
      <c r="H1159" s="9">
        <f>IFERROR(__xludf.DUMMYFUNCTION("GOOGLEFINANCE(""ASX:IMR"", ""low52"")"),1.12)</f>
        <v>1.12</v>
      </c>
      <c r="I1159" s="9">
        <f>IFERROR(__xludf.DUMMYFUNCTION("GOOGLEFINANCE(""ASX:IMR"", ""marketcap"")"),4.89485087E8)</f>
        <v>489485087</v>
      </c>
      <c r="J1159" s="5"/>
      <c r="K1159" s="5"/>
      <c r="L1159" s="5"/>
      <c r="M1159" s="5"/>
      <c r="N1159" s="11" t="s">
        <v>19</v>
      </c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>
      <c r="A1160" s="6" t="s">
        <v>2334</v>
      </c>
      <c r="B1160" s="6" t="s">
        <v>2335</v>
      </c>
      <c r="C1160" s="5" t="s">
        <v>25</v>
      </c>
      <c r="D1160" s="7">
        <f>IFERROR(__xludf.DUMMYFUNCTION("GOOGLEFINANCE(""ASX:IMU"", ""price"")"),0.35)</f>
        <v>0.35</v>
      </c>
      <c r="E1160" s="8">
        <f>IFERROR(__xludf.DUMMYFUNCTION("GOOGLEFINANCE(""ASX:IMU"", ""closeyest"")"),0.36)</f>
        <v>0.36</v>
      </c>
      <c r="F1160" s="5" t="str">
        <f>IFERROR(__xludf.DUMMYFUNCTION("GOOGLEFINANCE(""ASX:IMU"", ""pe"")"),"#N/A")</f>
        <v>#N/A</v>
      </c>
      <c r="G1160" s="9">
        <f>IFERROR(__xludf.DUMMYFUNCTION("GOOGLEFINANCE(""ASX:IMU"", ""high52"")"),1.6)</f>
        <v>1.6</v>
      </c>
      <c r="H1160" s="9">
        <f>IFERROR(__xludf.DUMMYFUNCTION("GOOGLEFINANCE(""ASX:IMU"", ""low52"")"),0.25)</f>
        <v>0.25</v>
      </c>
      <c r="I1160" s="9">
        <f>IFERROR(__xludf.DUMMYFUNCTION("GOOGLEFINANCE(""ASX:IMU"", ""marketcap"")"),1.10989828E8)</f>
        <v>110989828</v>
      </c>
      <c r="J1160" s="5"/>
      <c r="K1160" s="5"/>
      <c r="L1160" s="5"/>
      <c r="M1160" s="5"/>
      <c r="N1160" s="11" t="s">
        <v>19</v>
      </c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>
      <c r="A1161" s="6" t="s">
        <v>2336</v>
      </c>
      <c r="B1161" s="6" t="s">
        <v>2337</v>
      </c>
      <c r="C1161" s="5" t="s">
        <v>143</v>
      </c>
      <c r="D1161" s="7">
        <f>IFERROR(__xludf.DUMMYFUNCTION("GOOGLEFINANCE(""ASX:INA"", ""price"")"),5.06)</f>
        <v>5.06</v>
      </c>
      <c r="E1161" s="8">
        <f>IFERROR(__xludf.DUMMYFUNCTION("GOOGLEFINANCE(""ASX:INA"", ""closeyest"")"),5.06)</f>
        <v>5.06</v>
      </c>
      <c r="F1161" s="9">
        <f>IFERROR(__xludf.DUMMYFUNCTION("GOOGLEFINANCE(""ASX:INA"", ""pe"")"),16.25)</f>
        <v>16.25</v>
      </c>
      <c r="G1161" s="9">
        <f>IFERROR(__xludf.DUMMYFUNCTION("GOOGLEFINANCE(""ASX:INA"", ""high52"")"),6.24)</f>
        <v>6.24</v>
      </c>
      <c r="H1161" s="9">
        <f>IFERROR(__xludf.DUMMYFUNCTION("GOOGLEFINANCE(""ASX:INA"", ""low52"")"),4.5)</f>
        <v>4.5</v>
      </c>
      <c r="I1161" s="9">
        <f>IFERROR(__xludf.DUMMYFUNCTION("GOOGLEFINANCE(""ASX:INA"", ""marketcap"")"),2.062371474E9)</f>
        <v>2062371474</v>
      </c>
      <c r="J1161" s="9">
        <v>3.15</v>
      </c>
      <c r="K1161" s="9">
        <v>3.22</v>
      </c>
      <c r="L1161" s="9">
        <v>3.27</v>
      </c>
      <c r="M1161" s="9">
        <v>2.7</v>
      </c>
      <c r="N1161" s="10">
        <v>16.7</v>
      </c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>
      <c r="A1162" s="6" t="s">
        <v>2338</v>
      </c>
      <c r="B1162" s="6" t="s">
        <v>2339</v>
      </c>
      <c r="C1162" s="5" t="s">
        <v>36</v>
      </c>
      <c r="D1162" s="7">
        <f>IFERROR(__xludf.DUMMYFUNCTION("GOOGLEFINANCE(""ASX:INCM"", ""price"")"),19.43)</f>
        <v>19.43</v>
      </c>
      <c r="E1162" s="8">
        <f>IFERROR(__xludf.DUMMYFUNCTION("GOOGLEFINANCE(""ASX:INCM"", ""closeyest"")"),19.56)</f>
        <v>19.56</v>
      </c>
      <c r="F1162" s="5" t="str">
        <f>IFERROR(__xludf.DUMMYFUNCTION("GOOGLEFINANCE(""ASX:INCM"", ""pe"")"),"#N/A")</f>
        <v>#N/A</v>
      </c>
      <c r="G1162" s="9">
        <f>IFERROR(__xludf.DUMMYFUNCTION("GOOGLEFINANCE(""ASX:INCM"", ""high52"")"),20.16)</f>
        <v>20.16</v>
      </c>
      <c r="H1162" s="9">
        <f>IFERROR(__xludf.DUMMYFUNCTION("GOOGLEFINANCE(""ASX:INCM"", ""low52"")"),18.02)</f>
        <v>18.02</v>
      </c>
      <c r="I1162" s="9" t="str">
        <f>IFERROR(__xludf.DUMMYFUNCTION("GOOGLEFINANCE(""ASX:INCM"", ""marketcap"")"),"#N/A")</f>
        <v>#N/A</v>
      </c>
      <c r="J1162" s="5"/>
      <c r="K1162" s="5"/>
      <c r="L1162" s="5"/>
      <c r="M1162" s="5"/>
      <c r="N1162" s="11" t="s">
        <v>19</v>
      </c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>
      <c r="A1163" s="6" t="s">
        <v>2340</v>
      </c>
      <c r="B1163" s="6" t="s">
        <v>2341</v>
      </c>
      <c r="C1163" s="5" t="s">
        <v>18</v>
      </c>
      <c r="D1163" s="7">
        <f>IFERROR(__xludf.DUMMYFUNCTION("GOOGLEFINANCE(""ASX:IND"", ""price"")"),0.12)</f>
        <v>0.12</v>
      </c>
      <c r="E1163" s="8">
        <f>IFERROR(__xludf.DUMMYFUNCTION("GOOGLEFINANCE(""ASX:IND"", ""closeyest"")"),0.12)</f>
        <v>0.12</v>
      </c>
      <c r="F1163" s="5" t="str">
        <f>IFERROR(__xludf.DUMMYFUNCTION("GOOGLEFINANCE(""ASX:IND"", ""pe"")"),"#N/A")</f>
        <v>#N/A</v>
      </c>
      <c r="G1163" s="9">
        <f>IFERROR(__xludf.DUMMYFUNCTION("GOOGLEFINANCE(""ASX:IND"", ""high52"")"),0.23)</f>
        <v>0.23</v>
      </c>
      <c r="H1163" s="9">
        <f>IFERROR(__xludf.DUMMYFUNCTION("GOOGLEFINANCE(""ASX:IND"", ""low52"")"),0.09)</f>
        <v>0.09</v>
      </c>
      <c r="I1163" s="9">
        <f>IFERROR(__xludf.DUMMYFUNCTION("GOOGLEFINANCE(""ASX:IND"", ""marketcap"")"),9638704.0)</f>
        <v>9638704</v>
      </c>
      <c r="J1163" s="5"/>
      <c r="K1163" s="5"/>
      <c r="L1163" s="5"/>
      <c r="M1163" s="5"/>
      <c r="N1163" s="11" t="s">
        <v>19</v>
      </c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>
      <c r="A1164" s="6" t="s">
        <v>2342</v>
      </c>
      <c r="B1164" s="6" t="s">
        <v>2343</v>
      </c>
      <c r="C1164" s="5" t="s">
        <v>36</v>
      </c>
      <c r="D1164" s="7" t="str">
        <f>IFERROR(__xludf.DUMMYFUNCTION("GOOGLEFINANCE(""ASX:INES"", ""price"")"),"#N/A")</f>
        <v>#N/A</v>
      </c>
      <c r="E1164" s="8" t="str">
        <f>IFERROR(__xludf.DUMMYFUNCTION("GOOGLEFINANCE(""ASX:INES"", ""closeyest"")"),"#N/A")</f>
        <v>#N/A</v>
      </c>
      <c r="F1164" s="5" t="str">
        <f>IFERROR(__xludf.DUMMYFUNCTION("GOOGLEFINANCE(""ASX:INES"", ""pe"")"),"#N/A")</f>
        <v>#N/A</v>
      </c>
      <c r="G1164" s="5" t="str">
        <f>IFERROR(__xludf.DUMMYFUNCTION("GOOGLEFINANCE(""ASX:INES"", ""high52"")"),"#N/A")</f>
        <v>#N/A</v>
      </c>
      <c r="H1164" s="5" t="str">
        <f>IFERROR(__xludf.DUMMYFUNCTION("GOOGLEFINANCE(""ASX:INES"", ""low52"")"),"#N/A")</f>
        <v>#N/A</v>
      </c>
      <c r="I1164" s="9" t="str">
        <f>IFERROR(__xludf.DUMMYFUNCTION("GOOGLEFINANCE(""ASX:INES"", ""marketcap"")"),"#N/A")</f>
        <v>#N/A</v>
      </c>
      <c r="J1164" s="10">
        <v>3.74</v>
      </c>
      <c r="K1164" s="10">
        <v>3.73</v>
      </c>
      <c r="L1164" s="10">
        <v>4.0</v>
      </c>
      <c r="M1164" s="10">
        <v>3.18</v>
      </c>
      <c r="N1164" s="11" t="s">
        <v>19</v>
      </c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>
      <c r="A1165" s="6" t="s">
        <v>2344</v>
      </c>
      <c r="B1165" s="6" t="s">
        <v>2345</v>
      </c>
      <c r="C1165" s="5" t="s">
        <v>39</v>
      </c>
      <c r="D1165" s="7">
        <f>IFERROR(__xludf.DUMMYFUNCTION("GOOGLEFINANCE(""ASX:INF"", ""price"")"),0.02)</f>
        <v>0.02</v>
      </c>
      <c r="E1165" s="8">
        <f>IFERROR(__xludf.DUMMYFUNCTION("GOOGLEFINANCE(""ASX:INF"", ""closeyest"")"),0.02)</f>
        <v>0.02</v>
      </c>
      <c r="F1165" s="5" t="str">
        <f>IFERROR(__xludf.DUMMYFUNCTION("GOOGLEFINANCE(""ASX:INF"", ""pe"")"),"#N/A")</f>
        <v>#N/A</v>
      </c>
      <c r="G1165" s="9">
        <f>IFERROR(__xludf.DUMMYFUNCTION("GOOGLEFINANCE(""ASX:INF"", ""high52"")"),0.03)</f>
        <v>0.03</v>
      </c>
      <c r="H1165" s="9">
        <f>IFERROR(__xludf.DUMMYFUNCTION("GOOGLEFINANCE(""ASX:INF"", ""low52"")"),0.01)</f>
        <v>0.01</v>
      </c>
      <c r="I1165" s="9">
        <f>IFERROR(__xludf.DUMMYFUNCTION("GOOGLEFINANCE(""ASX:INF"", ""marketcap"")"),6928256.0)</f>
        <v>6928256</v>
      </c>
      <c r="J1165" s="5"/>
      <c r="K1165" s="5"/>
      <c r="L1165" s="5"/>
      <c r="M1165" s="5"/>
      <c r="N1165" s="11" t="s">
        <v>19</v>
      </c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>
      <c r="A1166" s="6" t="s">
        <v>2346</v>
      </c>
      <c r="B1166" s="6" t="s">
        <v>2347</v>
      </c>
      <c r="C1166" s="5" t="s">
        <v>128</v>
      </c>
      <c r="D1166" s="7">
        <f>IFERROR(__xludf.DUMMYFUNCTION("GOOGLEFINANCE(""ASX:ING"", ""price"")"),2.53)</f>
        <v>2.53</v>
      </c>
      <c r="E1166" s="8">
        <f>IFERROR(__xludf.DUMMYFUNCTION("GOOGLEFINANCE(""ASX:ING"", ""closeyest"")"),2.51)</f>
        <v>2.51</v>
      </c>
      <c r="F1166" s="9">
        <f>IFERROR(__xludf.DUMMYFUNCTION("GOOGLEFINANCE(""ASX:ING"", ""pe"")"),10.56)</f>
        <v>10.56</v>
      </c>
      <c r="G1166" s="9">
        <f>IFERROR(__xludf.DUMMYFUNCTION("GOOGLEFINANCE(""ASX:ING"", ""high52"")"),3.9)</f>
        <v>3.9</v>
      </c>
      <c r="H1166" s="9">
        <f>IFERROR(__xludf.DUMMYFUNCTION("GOOGLEFINANCE(""ASX:ING"", ""low52"")"),2.27)</f>
        <v>2.27</v>
      </c>
      <c r="I1166" s="9">
        <f>IFERROR(__xludf.DUMMYFUNCTION("GOOGLEFINANCE(""ASX:ING"", ""marketcap"")"),9.40349377E8)</f>
        <v>940349377</v>
      </c>
      <c r="J1166" s="5"/>
      <c r="K1166" s="5"/>
      <c r="L1166" s="5"/>
      <c r="M1166" s="5"/>
      <c r="N1166" s="10">
        <v>10.52</v>
      </c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>
      <c r="A1167" s="6" t="s">
        <v>2348</v>
      </c>
      <c r="B1167" s="6" t="s">
        <v>2349</v>
      </c>
      <c r="C1167" s="5" t="s">
        <v>36</v>
      </c>
      <c r="D1167" s="7" t="str">
        <f>IFERROR(__xludf.DUMMYFUNCTION("GOOGLEFINANCE(""ASX:INIF"", ""price"")"),"#N/A")</f>
        <v>#N/A</v>
      </c>
      <c r="E1167" s="8" t="str">
        <f>IFERROR(__xludf.DUMMYFUNCTION("GOOGLEFINANCE(""ASX:INIF"", ""closeyest"")"),"#N/A")</f>
        <v>#N/A</v>
      </c>
      <c r="F1167" s="5" t="str">
        <f>IFERROR(__xludf.DUMMYFUNCTION("GOOGLEFINANCE(""ASX:INIF"", ""pe"")"),"#N/A")</f>
        <v>#N/A</v>
      </c>
      <c r="G1167" s="5" t="str">
        <f>IFERROR(__xludf.DUMMYFUNCTION("GOOGLEFINANCE(""ASX:INIF"", ""high52"")"),"#N/A")</f>
        <v>#N/A</v>
      </c>
      <c r="H1167" s="5" t="str">
        <f>IFERROR(__xludf.DUMMYFUNCTION("GOOGLEFINANCE(""ASX:INIF"", ""low52"")"),"#N/A")</f>
        <v>#N/A</v>
      </c>
      <c r="I1167" s="9" t="str">
        <f>IFERROR(__xludf.DUMMYFUNCTION("GOOGLEFINANCE(""ASX:INIF"", ""marketcap"")"),"#N/A")</f>
        <v>#N/A</v>
      </c>
      <c r="J1167" s="12">
        <v>2.99</v>
      </c>
      <c r="K1167" s="12">
        <v>2.98</v>
      </c>
      <c r="L1167" s="12">
        <v>3.06</v>
      </c>
      <c r="M1167" s="12">
        <v>2.37</v>
      </c>
      <c r="N1167" s="11" t="s">
        <v>19</v>
      </c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>
      <c r="A1168" s="6" t="s">
        <v>2350</v>
      </c>
      <c r="B1168" s="6" t="s">
        <v>2351</v>
      </c>
      <c r="C1168" s="5" t="s">
        <v>39</v>
      </c>
      <c r="D1168" s="7">
        <f>IFERROR(__xludf.DUMMYFUNCTION("GOOGLEFINANCE(""ASX:INR"", ""price"")"),0.22)</f>
        <v>0.22</v>
      </c>
      <c r="E1168" s="8">
        <f>IFERROR(__xludf.DUMMYFUNCTION("GOOGLEFINANCE(""ASX:INR"", ""closeyest"")"),0.22)</f>
        <v>0.22</v>
      </c>
      <c r="F1168" s="5" t="str">
        <f>IFERROR(__xludf.DUMMYFUNCTION("GOOGLEFINANCE(""ASX:INR"", ""pe"")"),"#N/A")</f>
        <v>#N/A</v>
      </c>
      <c r="G1168" s="9">
        <f>IFERROR(__xludf.DUMMYFUNCTION("GOOGLEFINANCE(""ASX:INR"", ""high52"")"),0.28)</f>
        <v>0.28</v>
      </c>
      <c r="H1168" s="9">
        <f>IFERROR(__xludf.DUMMYFUNCTION("GOOGLEFINANCE(""ASX:INR"", ""low52"")"),0.09)</f>
        <v>0.09</v>
      </c>
      <c r="I1168" s="9">
        <f>IFERROR(__xludf.DUMMYFUNCTION("GOOGLEFINANCE(""ASX:INR"", ""marketcap"")"),5.62545359E8)</f>
        <v>562545359</v>
      </c>
      <c r="J1168" s="12">
        <v>0.212</v>
      </c>
      <c r="K1168" s="12">
        <v>0.225</v>
      </c>
      <c r="L1168" s="12">
        <v>0.285</v>
      </c>
      <c r="M1168" s="12">
        <v>0.092</v>
      </c>
      <c r="N1168" s="11" t="s">
        <v>19</v>
      </c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>
      <c r="A1169" s="6" t="s">
        <v>2352</v>
      </c>
      <c r="B1169" s="6" t="s">
        <v>2353</v>
      </c>
      <c r="C1169" s="5" t="s">
        <v>171</v>
      </c>
      <c r="D1169" s="7">
        <f>IFERROR(__xludf.DUMMYFUNCTION("GOOGLEFINANCE(""ASX:INV"", ""price"")"),0.12)</f>
        <v>0.12</v>
      </c>
      <c r="E1169" s="8">
        <f>IFERROR(__xludf.DUMMYFUNCTION("GOOGLEFINANCE(""ASX:INV"", ""closeyest"")"),0.12)</f>
        <v>0.12</v>
      </c>
      <c r="F1169" s="9">
        <f>IFERROR(__xludf.DUMMYFUNCTION("GOOGLEFINANCE(""ASX:INV"", ""pe"")"),85.11)</f>
        <v>85.11</v>
      </c>
      <c r="G1169" s="9">
        <f>IFERROR(__xludf.DUMMYFUNCTION("GOOGLEFINANCE(""ASX:INV"", ""high52"")"),0.16)</f>
        <v>0.16</v>
      </c>
      <c r="H1169" s="9">
        <f>IFERROR(__xludf.DUMMYFUNCTION("GOOGLEFINANCE(""ASX:INV"", ""low52"")"),0.1)</f>
        <v>0.1</v>
      </c>
      <c r="I1169" s="9">
        <f>IFERROR(__xludf.DUMMYFUNCTION("GOOGLEFINANCE(""ASX:INV"", ""marketcap"")"),1.70663E7)</f>
        <v>17066300</v>
      </c>
      <c r="J1169" s="5"/>
      <c r="K1169" s="5"/>
      <c r="L1169" s="5"/>
      <c r="M1169" s="5"/>
      <c r="N1169" s="10">
        <v>85.11</v>
      </c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>
      <c r="A1170" s="6" t="s">
        <v>2354</v>
      </c>
      <c r="B1170" s="6" t="s">
        <v>2355</v>
      </c>
      <c r="C1170" s="5" t="s">
        <v>15</v>
      </c>
      <c r="D1170" s="7">
        <f>IFERROR(__xludf.DUMMYFUNCTION("GOOGLEFINANCE(""ASX:IOD"", ""price"")"),0.13)</f>
        <v>0.13</v>
      </c>
      <c r="E1170" s="8">
        <f>IFERROR(__xludf.DUMMYFUNCTION("GOOGLEFINANCE(""ASX:IOD"", ""closeyest"")"),0.13)</f>
        <v>0.13</v>
      </c>
      <c r="F1170" s="5" t="str">
        <f>IFERROR(__xludf.DUMMYFUNCTION("GOOGLEFINANCE(""ASX:IOD"", ""pe"")"),"#N/A")</f>
        <v>#N/A</v>
      </c>
      <c r="G1170" s="9">
        <f>IFERROR(__xludf.DUMMYFUNCTION("GOOGLEFINANCE(""ASX:IOD"", ""high52"")"),0.2)</f>
        <v>0.2</v>
      </c>
      <c r="H1170" s="9">
        <f>IFERROR(__xludf.DUMMYFUNCTION("GOOGLEFINANCE(""ASX:IOD"", ""low52"")"),0.09)</f>
        <v>0.09</v>
      </c>
      <c r="I1170" s="9">
        <f>IFERROR(__xludf.DUMMYFUNCTION("GOOGLEFINANCE(""ASX:IOD"", ""marketcap"")"),7.9332406E7)</f>
        <v>79332406</v>
      </c>
      <c r="J1170" s="5"/>
      <c r="K1170" s="5"/>
      <c r="L1170" s="5"/>
      <c r="M1170" s="5"/>
      <c r="N1170" s="11" t="s">
        <v>19</v>
      </c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>
      <c r="A1171" s="6" t="s">
        <v>2356</v>
      </c>
      <c r="B1171" s="6" t="s">
        <v>2357</v>
      </c>
      <c r="C1171" s="5" t="s">
        <v>88</v>
      </c>
      <c r="D1171" s="7">
        <f>IFERROR(__xludf.DUMMYFUNCTION("GOOGLEFINANCE(""ASX:ION"", ""price"")"),0.04)</f>
        <v>0.04</v>
      </c>
      <c r="E1171" s="8">
        <f>IFERROR(__xludf.DUMMYFUNCTION("GOOGLEFINANCE(""ASX:ION"", ""closeyest"")"),0.04)</f>
        <v>0.04</v>
      </c>
      <c r="F1171" s="5" t="str">
        <f>IFERROR(__xludf.DUMMYFUNCTION("GOOGLEFINANCE(""ASX:ION"", ""pe"")"),"#N/A")</f>
        <v>#N/A</v>
      </c>
      <c r="G1171" s="9">
        <f>IFERROR(__xludf.DUMMYFUNCTION("GOOGLEFINANCE(""ASX:ION"", ""high52"")"),0.07)</f>
        <v>0.07</v>
      </c>
      <c r="H1171" s="9">
        <f>IFERROR(__xludf.DUMMYFUNCTION("GOOGLEFINANCE(""ASX:ION"", ""low52"")"),0.01)</f>
        <v>0.01</v>
      </c>
      <c r="I1171" s="9">
        <f>IFERROR(__xludf.DUMMYFUNCTION("GOOGLEFINANCE(""ASX:ION"", ""marketcap"")"),5.5929173E7)</f>
        <v>55929173</v>
      </c>
      <c r="J1171" s="5"/>
      <c r="K1171" s="5"/>
      <c r="L1171" s="5"/>
      <c r="M1171" s="5"/>
      <c r="N1171" s="11" t="s">
        <v>19</v>
      </c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>
      <c r="A1172" s="6" t="s">
        <v>2358</v>
      </c>
      <c r="B1172" s="6" t="s">
        <v>2359</v>
      </c>
      <c r="C1172" s="5" t="s">
        <v>36</v>
      </c>
      <c r="D1172" s="7">
        <f>IFERROR(__xludf.DUMMYFUNCTION("GOOGLEFINANCE(""ASX:IOO"", ""price"")"),186.9)</f>
        <v>186.9</v>
      </c>
      <c r="E1172" s="8">
        <f>IFERROR(__xludf.DUMMYFUNCTION("GOOGLEFINANCE(""ASX:IOO"", ""closeyest"")"),187.85)</f>
        <v>187.85</v>
      </c>
      <c r="F1172" s="5" t="str">
        <f>IFERROR(__xludf.DUMMYFUNCTION("GOOGLEFINANCE(""ASX:IOO"", ""pe"")"),"#N/A")</f>
        <v>#N/A</v>
      </c>
      <c r="G1172" s="9">
        <f>IFERROR(__xludf.DUMMYFUNCTION("GOOGLEFINANCE(""ASX:IOO"", ""high52"")"),192.48)</f>
        <v>192.48</v>
      </c>
      <c r="H1172" s="9">
        <f>IFERROR(__xludf.DUMMYFUNCTION("GOOGLEFINANCE(""ASX:IOO"", ""low52"")"),137.3)</f>
        <v>137.3</v>
      </c>
      <c r="I1172" s="9">
        <f>IFERROR(__xludf.DUMMYFUNCTION("GOOGLEFINANCE(""ASX:IOO"", ""marketcap"")"),5.174768512E9)</f>
        <v>5174768512</v>
      </c>
      <c r="J1172" s="5"/>
      <c r="K1172" s="5"/>
      <c r="L1172" s="5"/>
      <c r="M1172" s="5"/>
      <c r="N1172" s="11" t="s">
        <v>19</v>
      </c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>
      <c r="A1173" s="6" t="s">
        <v>2360</v>
      </c>
      <c r="B1173" s="6" t="s">
        <v>2361</v>
      </c>
      <c r="C1173" s="5" t="s">
        <v>15</v>
      </c>
      <c r="D1173" s="7">
        <f>IFERROR(__xludf.DUMMYFUNCTION("GOOGLEFINANCE(""ASX:IOV"", ""price"")"),0.0)</f>
        <v>0</v>
      </c>
      <c r="E1173" s="8">
        <f>IFERROR(__xludf.DUMMYFUNCTION("GOOGLEFINANCE(""ASX:IOV"", ""closeyest"")"),0.0)</f>
        <v>0</v>
      </c>
      <c r="F1173" s="5" t="str">
        <f>IFERROR(__xludf.DUMMYFUNCTION("GOOGLEFINANCE(""ASX:IOV"", ""pe"")"),"#N/A")</f>
        <v>#N/A</v>
      </c>
      <c r="G1173" s="9">
        <f>IFERROR(__xludf.DUMMYFUNCTION("GOOGLEFINANCE(""ASX:IOV"", ""high52"")"),0.0)</f>
        <v>0</v>
      </c>
      <c r="H1173" s="9">
        <f>IFERROR(__xludf.DUMMYFUNCTION("GOOGLEFINANCE(""ASX:IOV"", ""low52"")"),0.0)</f>
        <v>0</v>
      </c>
      <c r="I1173" s="9">
        <f>IFERROR(__xludf.DUMMYFUNCTION("GOOGLEFINANCE(""ASX:IOV"", ""marketcap"")"),1.814972E7)</f>
        <v>18149720</v>
      </c>
      <c r="J1173" s="12">
        <v>0.002</v>
      </c>
      <c r="K1173" s="12">
        <v>0.002</v>
      </c>
      <c r="L1173" s="12">
        <v>0.003</v>
      </c>
      <c r="M1173" s="12">
        <v>0.001</v>
      </c>
      <c r="N1173" s="11" t="s">
        <v>19</v>
      </c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>
      <c r="A1174" s="6" t="s">
        <v>2362</v>
      </c>
      <c r="B1174" s="6" t="s">
        <v>2363</v>
      </c>
      <c r="C1174" s="5" t="s">
        <v>36</v>
      </c>
      <c r="D1174" s="7">
        <f>IFERROR(__xludf.DUMMYFUNCTION("GOOGLEFINANCE(""ASX:IOZ"", ""price"")"),34.86)</f>
        <v>34.86</v>
      </c>
      <c r="E1174" s="8">
        <f>IFERROR(__xludf.DUMMYFUNCTION("GOOGLEFINANCE(""ASX:IOZ"", ""closeyest"")"),35.0)</f>
        <v>35</v>
      </c>
      <c r="F1174" s="5" t="str">
        <f>IFERROR(__xludf.DUMMYFUNCTION("GOOGLEFINANCE(""ASX:IOZ"", ""pe"")"),"#N/A")</f>
        <v>#N/A</v>
      </c>
      <c r="G1174" s="9">
        <f>IFERROR(__xludf.DUMMYFUNCTION("GOOGLEFINANCE(""ASX:IOZ"", ""high52"")"),36.63)</f>
        <v>36.63</v>
      </c>
      <c r="H1174" s="9">
        <f>IFERROR(__xludf.DUMMYFUNCTION("GOOGLEFINANCE(""ASX:IOZ"", ""low52"")"),28.85)</f>
        <v>28.85</v>
      </c>
      <c r="I1174" s="9" t="str">
        <f>IFERROR(__xludf.DUMMYFUNCTION("GOOGLEFINANCE(""ASX:IOZ"", ""marketcap"")"),"#N/A")</f>
        <v>#N/A</v>
      </c>
      <c r="J1174" s="5"/>
      <c r="K1174" s="5"/>
      <c r="L1174" s="5"/>
      <c r="M1174" s="5"/>
      <c r="N1174" s="11" t="s">
        <v>19</v>
      </c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>
      <c r="A1175" s="6" t="s">
        <v>2364</v>
      </c>
      <c r="B1175" s="6" t="s">
        <v>2365</v>
      </c>
      <c r="C1175" s="5" t="s">
        <v>78</v>
      </c>
      <c r="D1175" s="7">
        <f>IFERROR(__xludf.DUMMYFUNCTION("GOOGLEFINANCE(""ASX:IPB"", ""price"")"),0.01)</f>
        <v>0.01</v>
      </c>
      <c r="E1175" s="8">
        <f>IFERROR(__xludf.DUMMYFUNCTION("GOOGLEFINANCE(""ASX:IPB"", ""closeyest"")"),0.01)</f>
        <v>0.01</v>
      </c>
      <c r="F1175" s="5" t="str">
        <f>IFERROR(__xludf.DUMMYFUNCTION("GOOGLEFINANCE(""ASX:IPB"", ""pe"")"),"#N/A")</f>
        <v>#N/A</v>
      </c>
      <c r="G1175" s="9">
        <f>IFERROR(__xludf.DUMMYFUNCTION("GOOGLEFINANCE(""ASX:IPB"", ""high52"")"),0.01)</f>
        <v>0.01</v>
      </c>
      <c r="H1175" s="9">
        <f>IFERROR(__xludf.DUMMYFUNCTION("GOOGLEFINANCE(""ASX:IPB"", ""low52"")"),0.0)</f>
        <v>0</v>
      </c>
      <c r="I1175" s="9">
        <f>IFERROR(__xludf.DUMMYFUNCTION("GOOGLEFINANCE(""ASX:IPB"", ""marketcap"")"),4179721.0)</f>
        <v>4179721</v>
      </c>
      <c r="J1175" s="9">
        <v>50.04</v>
      </c>
      <c r="K1175" s="9">
        <v>50.2</v>
      </c>
      <c r="L1175" s="9">
        <v>50.23</v>
      </c>
      <c r="M1175" s="9">
        <v>49.99</v>
      </c>
      <c r="N1175" s="11" t="s">
        <v>19</v>
      </c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>
      <c r="A1176" s="6" t="s">
        <v>2366</v>
      </c>
      <c r="B1176" s="6" t="s">
        <v>2367</v>
      </c>
      <c r="C1176" s="5" t="s">
        <v>171</v>
      </c>
      <c r="D1176" s="7">
        <f>IFERROR(__xludf.DUMMYFUNCTION("GOOGLEFINANCE(""ASX:IPC"", ""price"")"),2.0)</f>
        <v>2</v>
      </c>
      <c r="E1176" s="8">
        <f>IFERROR(__xludf.DUMMYFUNCTION("GOOGLEFINANCE(""ASX:IPC"", ""closeyest"")"),2.0)</f>
        <v>2</v>
      </c>
      <c r="F1176" s="9">
        <f>IFERROR(__xludf.DUMMYFUNCTION("GOOGLEFINANCE(""ASX:IPC"", ""pe"")"),57.6)</f>
        <v>57.6</v>
      </c>
      <c r="G1176" s="9">
        <f>IFERROR(__xludf.DUMMYFUNCTION("GOOGLEFINANCE(""ASX:IPC"", ""high52"")"),2.0)</f>
        <v>2</v>
      </c>
      <c r="H1176" s="9">
        <f>IFERROR(__xludf.DUMMYFUNCTION("GOOGLEFINANCE(""ASX:IPC"", ""low52"")"),1.68)</f>
        <v>1.68</v>
      </c>
      <c r="I1176" s="9">
        <f>IFERROR(__xludf.DUMMYFUNCTION("GOOGLEFINANCE(""ASX:IPC"", ""marketcap"")"),1.087351E7)</f>
        <v>10873510</v>
      </c>
      <c r="J1176" s="5"/>
      <c r="K1176" s="5"/>
      <c r="L1176" s="5"/>
      <c r="M1176" s="5"/>
      <c r="N1176" s="10">
        <v>57.6</v>
      </c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>
      <c r="A1177" s="6" t="s">
        <v>2368</v>
      </c>
      <c r="B1177" s="6" t="s">
        <v>2369</v>
      </c>
      <c r="C1177" s="5" t="s">
        <v>62</v>
      </c>
      <c r="D1177" s="7">
        <f>IFERROR(__xludf.DUMMYFUNCTION("GOOGLEFINANCE(""ASX:IPD"", ""price"")"),0.03)</f>
        <v>0.03</v>
      </c>
      <c r="E1177" s="8">
        <f>IFERROR(__xludf.DUMMYFUNCTION("GOOGLEFINANCE(""ASX:IPD"", ""closeyest"")"),0.04)</f>
        <v>0.04</v>
      </c>
      <c r="F1177" s="5" t="str">
        <f>IFERROR(__xludf.DUMMYFUNCTION("GOOGLEFINANCE(""ASX:IPD"", ""pe"")"),"#N/A")</f>
        <v>#N/A</v>
      </c>
      <c r="G1177" s="9">
        <f>IFERROR(__xludf.DUMMYFUNCTION("GOOGLEFINANCE(""ASX:IPD"", ""high52"")"),0.06)</f>
        <v>0.06</v>
      </c>
      <c r="H1177" s="9">
        <f>IFERROR(__xludf.DUMMYFUNCTION("GOOGLEFINANCE(""ASX:IPD"", ""low52"")"),0.03)</f>
        <v>0.03</v>
      </c>
      <c r="I1177" s="9">
        <f>IFERROR(__xludf.DUMMYFUNCTION("GOOGLEFINANCE(""ASX:IPD"", ""marketcap"")"),6.2371949E7)</f>
        <v>62371949</v>
      </c>
      <c r="J1177" s="5"/>
      <c r="K1177" s="5"/>
      <c r="L1177" s="5"/>
      <c r="M1177" s="5"/>
      <c r="N1177" s="11" t="s">
        <v>19</v>
      </c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>
      <c r="A1178" s="6" t="s">
        <v>2370</v>
      </c>
      <c r="B1178" s="6" t="s">
        <v>2371</v>
      </c>
      <c r="C1178" s="5" t="s">
        <v>22</v>
      </c>
      <c r="D1178" s="7">
        <f>IFERROR(__xludf.DUMMYFUNCTION("GOOGLEFINANCE(""ASX:IPG"", ""price"")"),4.44)</f>
        <v>4.44</v>
      </c>
      <c r="E1178" s="8">
        <f>IFERROR(__xludf.DUMMYFUNCTION("GOOGLEFINANCE(""ASX:IPG"", ""closeyest"")"),4.46)</f>
        <v>4.46</v>
      </c>
      <c r="F1178" s="9">
        <f>IFERROR(__xludf.DUMMYFUNCTION("GOOGLEFINANCE(""ASX:IPG"", ""pe"")"),17.65)</f>
        <v>17.65</v>
      </c>
      <c r="G1178" s="9">
        <f>IFERROR(__xludf.DUMMYFUNCTION("GOOGLEFINANCE(""ASX:IPG"", ""high52"")"),4.62)</f>
        <v>4.62</v>
      </c>
      <c r="H1178" s="9">
        <f>IFERROR(__xludf.DUMMYFUNCTION("GOOGLEFINANCE(""ASX:IPG"", ""low52"")"),2.75)</f>
        <v>2.75</v>
      </c>
      <c r="I1178" s="9">
        <f>IFERROR(__xludf.DUMMYFUNCTION("GOOGLEFINANCE(""ASX:IPG"", ""marketcap"")"),4.61096669E8)</f>
        <v>461096669</v>
      </c>
      <c r="J1178" s="5"/>
      <c r="K1178" s="5"/>
      <c r="L1178" s="5"/>
      <c r="M1178" s="5"/>
      <c r="N1178" s="10">
        <v>17.41</v>
      </c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>
      <c r="A1179" s="6" t="s">
        <v>2372</v>
      </c>
      <c r="B1179" s="6" t="s">
        <v>2373</v>
      </c>
      <c r="C1179" s="5" t="s">
        <v>161</v>
      </c>
      <c r="D1179" s="7">
        <f>IFERROR(__xludf.DUMMYFUNCTION("GOOGLEFINANCE(""ASX:IPH"", ""price"")"),3.6)</f>
        <v>3.6</v>
      </c>
      <c r="E1179" s="8">
        <f>IFERROR(__xludf.DUMMYFUNCTION("GOOGLEFINANCE(""ASX:IPH"", ""closeyest"")"),3.53)</f>
        <v>3.53</v>
      </c>
      <c r="F1179" s="9">
        <f>IFERROR(__xludf.DUMMYFUNCTION("GOOGLEFINANCE(""ASX:IPH"", ""pe"")"),13.99)</f>
        <v>13.99</v>
      </c>
      <c r="G1179" s="9">
        <f>IFERROR(__xludf.DUMMYFUNCTION("GOOGLEFINANCE(""ASX:IPH"", ""high52"")"),5.66)</f>
        <v>5.66</v>
      </c>
      <c r="H1179" s="9">
        <f>IFERROR(__xludf.DUMMYFUNCTION("GOOGLEFINANCE(""ASX:IPH"", ""low52"")"),3.23)</f>
        <v>3.23</v>
      </c>
      <c r="I1179" s="9">
        <f>IFERROR(__xludf.DUMMYFUNCTION("GOOGLEFINANCE(""ASX:IPH"", ""marketcap"")"),9.41330135E8)</f>
        <v>941330135</v>
      </c>
      <c r="J1179" s="5"/>
      <c r="K1179" s="5"/>
      <c r="L1179" s="5"/>
      <c r="M1179" s="5"/>
      <c r="N1179" s="10">
        <v>13.95</v>
      </c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>
      <c r="A1180" s="6" t="s">
        <v>2374</v>
      </c>
      <c r="B1180" s="6" t="s">
        <v>2375</v>
      </c>
      <c r="C1180" s="5" t="s">
        <v>18</v>
      </c>
      <c r="D1180" s="7">
        <f>IFERROR(__xludf.DUMMYFUNCTION("GOOGLEFINANCE(""ASX:IPT"", ""price"")"),0.05)</f>
        <v>0.05</v>
      </c>
      <c r="E1180" s="8">
        <f>IFERROR(__xludf.DUMMYFUNCTION("GOOGLEFINANCE(""ASX:IPT"", ""closeyest"")"),0.05)</f>
        <v>0.05</v>
      </c>
      <c r="F1180" s="5" t="str">
        <f>IFERROR(__xludf.DUMMYFUNCTION("GOOGLEFINANCE(""ASX:IPT"", ""pe"")"),"#N/A")</f>
        <v>#N/A</v>
      </c>
      <c r="G1180" s="9">
        <f>IFERROR(__xludf.DUMMYFUNCTION("GOOGLEFINANCE(""ASX:IPT"", ""high52"")"),0.11)</f>
        <v>0.11</v>
      </c>
      <c r="H1180" s="9">
        <f>IFERROR(__xludf.DUMMYFUNCTION("GOOGLEFINANCE(""ASX:IPT"", ""low52"")"),0.03)</f>
        <v>0.03</v>
      </c>
      <c r="I1180" s="9">
        <f>IFERROR(__xludf.DUMMYFUNCTION("GOOGLEFINANCE(""ASX:IPT"", ""marketcap"")"),2.7155175E7)</f>
        <v>27155175</v>
      </c>
      <c r="J1180" s="12">
        <v>0.054</v>
      </c>
      <c r="K1180" s="12">
        <v>0.053</v>
      </c>
      <c r="L1180" s="12">
        <v>0.113</v>
      </c>
      <c r="M1180" s="12">
        <v>0.035</v>
      </c>
      <c r="N1180" s="11" t="s">
        <v>19</v>
      </c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>
      <c r="A1181" s="6" t="s">
        <v>2376</v>
      </c>
      <c r="B1181" s="6" t="s">
        <v>2377</v>
      </c>
      <c r="C1181" s="5" t="s">
        <v>39</v>
      </c>
      <c r="D1181" s="7">
        <f>IFERROR(__xludf.DUMMYFUNCTION("GOOGLEFINANCE(""ASX:IPX"", ""price"")"),6.62)</f>
        <v>6.62</v>
      </c>
      <c r="E1181" s="8">
        <f>IFERROR(__xludf.DUMMYFUNCTION("GOOGLEFINANCE(""ASX:IPX"", ""closeyest"")"),6.15)</f>
        <v>6.15</v>
      </c>
      <c r="F1181" s="5" t="str">
        <f>IFERROR(__xludf.DUMMYFUNCTION("GOOGLEFINANCE(""ASX:IPX"", ""pe"")"),"#N/A")</f>
        <v>#N/A</v>
      </c>
      <c r="G1181" s="9">
        <f>IFERROR(__xludf.DUMMYFUNCTION("GOOGLEFINANCE(""ASX:IPX"", ""high52"")"),9.21)</f>
        <v>9.21</v>
      </c>
      <c r="H1181" s="9">
        <f>IFERROR(__xludf.DUMMYFUNCTION("GOOGLEFINANCE(""ASX:IPX"", ""low52"")"),2.07)</f>
        <v>2.07</v>
      </c>
      <c r="I1181" s="9">
        <f>IFERROR(__xludf.DUMMYFUNCTION("GOOGLEFINANCE(""ASX:IPX"", ""marketcap"")"),2.226455573E9)</f>
        <v>2226455573</v>
      </c>
      <c r="J1181" s="5"/>
      <c r="K1181" s="5"/>
      <c r="L1181" s="5"/>
      <c r="M1181" s="5"/>
      <c r="N1181" s="11" t="s">
        <v>19</v>
      </c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>
      <c r="A1182" s="6" t="s">
        <v>2378</v>
      </c>
      <c r="B1182" s="6" t="s">
        <v>2379</v>
      </c>
      <c r="C1182" s="5" t="s">
        <v>18</v>
      </c>
      <c r="D1182" s="7">
        <f>IFERROR(__xludf.DUMMYFUNCTION("GOOGLEFINANCE(""ASX:IR1"", ""price"")"),0.2)</f>
        <v>0.2</v>
      </c>
      <c r="E1182" s="8">
        <f>IFERROR(__xludf.DUMMYFUNCTION("GOOGLEFINANCE(""ASX:IR1"", ""closeyest"")"),0.21)</f>
        <v>0.21</v>
      </c>
      <c r="F1182" s="5" t="str">
        <f>IFERROR(__xludf.DUMMYFUNCTION("GOOGLEFINANCE(""ASX:IR1"", ""pe"")"),"#N/A")</f>
        <v>#N/A</v>
      </c>
      <c r="G1182" s="9">
        <f>IFERROR(__xludf.DUMMYFUNCTION("GOOGLEFINANCE(""ASX:IR1"", ""high52"")"),0.35)</f>
        <v>0.35</v>
      </c>
      <c r="H1182" s="9">
        <f>IFERROR(__xludf.DUMMYFUNCTION("GOOGLEFINANCE(""ASX:IR1"", ""low52"")"),0.08)</f>
        <v>0.08</v>
      </c>
      <c r="I1182" s="9">
        <f>IFERROR(__xludf.DUMMYFUNCTION("GOOGLEFINANCE(""ASX:IR1"", ""marketcap"")"),4.850526E7)</f>
        <v>48505260</v>
      </c>
      <c r="J1182" s="9">
        <v>0.042</v>
      </c>
      <c r="K1182" s="9">
        <v>0.042</v>
      </c>
      <c r="L1182" s="9">
        <v>0.045</v>
      </c>
      <c r="M1182" s="9">
        <v>0.042</v>
      </c>
      <c r="N1182" s="11" t="s">
        <v>19</v>
      </c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>
      <c r="A1183" s="6" t="s">
        <v>2380</v>
      </c>
      <c r="B1183" s="6" t="s">
        <v>2381</v>
      </c>
      <c r="C1183" s="5" t="s">
        <v>212</v>
      </c>
      <c r="D1183" s="7">
        <f>IFERROR(__xludf.DUMMYFUNCTION("GOOGLEFINANCE(""ASX:IRD"", ""price"")"),0.02)</f>
        <v>0.02</v>
      </c>
      <c r="E1183" s="8">
        <f>IFERROR(__xludf.DUMMYFUNCTION("GOOGLEFINANCE(""ASX:IRD"", ""closeyest"")"),0.03)</f>
        <v>0.03</v>
      </c>
      <c r="F1183" s="9">
        <f>IFERROR(__xludf.DUMMYFUNCTION("GOOGLEFINANCE(""ASX:IRD"", ""pe"")"),3.84)</f>
        <v>3.84</v>
      </c>
      <c r="G1183" s="9">
        <f>IFERROR(__xludf.DUMMYFUNCTION("GOOGLEFINANCE(""ASX:IRD"", ""high52"")"),0.06)</f>
        <v>0.06</v>
      </c>
      <c r="H1183" s="9">
        <f>IFERROR(__xludf.DUMMYFUNCTION("GOOGLEFINANCE(""ASX:IRD"", ""low52"")"),0.02)</f>
        <v>0.02</v>
      </c>
      <c r="I1183" s="9">
        <f>IFERROR(__xludf.DUMMYFUNCTION("GOOGLEFINANCE(""ASX:IRD"", ""marketcap"")"),1.5256867E7)</f>
        <v>15256867</v>
      </c>
      <c r="J1183" s="5"/>
      <c r="K1183" s="5"/>
      <c r="L1183" s="5"/>
      <c r="M1183" s="5"/>
      <c r="N1183" s="10">
        <v>4.01</v>
      </c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>
      <c r="A1184" s="6" t="s">
        <v>2380</v>
      </c>
      <c r="B1184" s="6" t="s">
        <v>2381</v>
      </c>
      <c r="C1184" s="5" t="s">
        <v>212</v>
      </c>
      <c r="D1184" s="7">
        <f>IFERROR(__xludf.DUMMYFUNCTION("GOOGLEFINANCE(""ASX:IRD"", ""price"")"),0.02)</f>
        <v>0.02</v>
      </c>
      <c r="E1184" s="8">
        <f>IFERROR(__xludf.DUMMYFUNCTION("GOOGLEFINANCE(""ASX:IRD"", ""closeyest"")"),0.03)</f>
        <v>0.03</v>
      </c>
      <c r="F1184" s="9">
        <f>IFERROR(__xludf.DUMMYFUNCTION("GOOGLEFINANCE(""ASX:IRD"", ""pe"")"),3.84)</f>
        <v>3.84</v>
      </c>
      <c r="G1184" s="9">
        <f>IFERROR(__xludf.DUMMYFUNCTION("GOOGLEFINANCE(""ASX:IRD"", ""high52"")"),0.06)</f>
        <v>0.06</v>
      </c>
      <c r="H1184" s="9">
        <f>IFERROR(__xludf.DUMMYFUNCTION("GOOGLEFINANCE(""ASX:IRD"", ""low52"")"),0.02)</f>
        <v>0.02</v>
      </c>
      <c r="I1184" s="9">
        <f>IFERROR(__xludf.DUMMYFUNCTION("GOOGLEFINANCE(""ASX:IRD"", ""marketcap"")"),1.5256867E7)</f>
        <v>15256867</v>
      </c>
      <c r="J1184" s="5"/>
      <c r="K1184" s="5"/>
      <c r="L1184" s="5"/>
      <c r="M1184" s="5"/>
      <c r="N1184" s="10">
        <v>4.01</v>
      </c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>
      <c r="A1185" s="6" t="s">
        <v>2382</v>
      </c>
      <c r="B1185" s="6" t="s">
        <v>2383</v>
      </c>
      <c r="C1185" s="5" t="s">
        <v>33</v>
      </c>
      <c r="D1185" s="7">
        <f>IFERROR(__xludf.DUMMYFUNCTION("GOOGLEFINANCE(""ASX:IRE"", ""price"")"),8.37)</f>
        <v>8.37</v>
      </c>
      <c r="E1185" s="8">
        <f>IFERROR(__xludf.DUMMYFUNCTION("GOOGLEFINANCE(""ASX:IRE"", ""closeyest"")"),8.25)</f>
        <v>8.25</v>
      </c>
      <c r="F1185" s="9">
        <f>IFERROR(__xludf.DUMMYFUNCTION("GOOGLEFINANCE(""ASX:IRE"", ""pe"")"),17.83)</f>
        <v>17.83</v>
      </c>
      <c r="G1185" s="9">
        <f>IFERROR(__xludf.DUMMYFUNCTION("GOOGLEFINANCE(""ASX:IRE"", ""high52"")"),10.38)</f>
        <v>10.38</v>
      </c>
      <c r="H1185" s="9">
        <f>IFERROR(__xludf.DUMMYFUNCTION("GOOGLEFINANCE(""ASX:IRE"", ""low52"")"),6.95)</f>
        <v>6.95</v>
      </c>
      <c r="I1185" s="9">
        <f>IFERROR(__xludf.DUMMYFUNCTION("GOOGLEFINANCE(""ASX:IRE"", ""marketcap"")"),1.563427256E9)</f>
        <v>1563427256</v>
      </c>
      <c r="J1185" s="9">
        <v>4.73</v>
      </c>
      <c r="K1185" s="9">
        <v>4.88</v>
      </c>
      <c r="L1185" s="9">
        <v>5.39</v>
      </c>
      <c r="M1185" s="9">
        <v>3.91</v>
      </c>
      <c r="N1185" s="10">
        <v>18.09</v>
      </c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>
      <c r="A1186" s="6" t="s">
        <v>2384</v>
      </c>
      <c r="B1186" s="6" t="s">
        <v>2385</v>
      </c>
      <c r="C1186" s="5" t="s">
        <v>15</v>
      </c>
      <c r="D1186" s="7">
        <f>IFERROR(__xludf.DUMMYFUNCTION("GOOGLEFINANCE(""ASX:IRI"", ""price"")"),0.32)</f>
        <v>0.32</v>
      </c>
      <c r="E1186" s="8">
        <f>IFERROR(__xludf.DUMMYFUNCTION("GOOGLEFINANCE(""ASX:IRI"", ""closeyest"")"),0.33)</f>
        <v>0.33</v>
      </c>
      <c r="F1186" s="9">
        <f>IFERROR(__xludf.DUMMYFUNCTION("GOOGLEFINANCE(""ASX:IRI"", ""pe"")"),4.23)</f>
        <v>4.23</v>
      </c>
      <c r="G1186" s="9">
        <f>IFERROR(__xludf.DUMMYFUNCTION("GOOGLEFINANCE(""ASX:IRI"", ""high52"")"),0.51)</f>
        <v>0.51</v>
      </c>
      <c r="H1186" s="9">
        <f>IFERROR(__xludf.DUMMYFUNCTION("GOOGLEFINANCE(""ASX:IRI"", ""low52"")"),0.27)</f>
        <v>0.27</v>
      </c>
      <c r="I1186" s="9">
        <f>IFERROR(__xludf.DUMMYFUNCTION("GOOGLEFINANCE(""ASX:IRI"", ""marketcap"")"),5.7789374E7)</f>
        <v>57789374</v>
      </c>
      <c r="J1186" s="5"/>
      <c r="K1186" s="5"/>
      <c r="L1186" s="5"/>
      <c r="M1186" s="5"/>
      <c r="N1186" s="10">
        <v>4.5</v>
      </c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>
      <c r="A1187" s="6" t="s">
        <v>2386</v>
      </c>
      <c r="B1187" s="6" t="s">
        <v>2387</v>
      </c>
      <c r="C1187" s="5" t="s">
        <v>15</v>
      </c>
      <c r="D1187" s="7">
        <f>IFERROR(__xludf.DUMMYFUNCTION("GOOGLEFINANCE(""ASX:IRX"", ""price"")"),0.02)</f>
        <v>0.02</v>
      </c>
      <c r="E1187" s="8">
        <f>IFERROR(__xludf.DUMMYFUNCTION("GOOGLEFINANCE(""ASX:IRX"", ""closeyest"")"),0.02)</f>
        <v>0.02</v>
      </c>
      <c r="F1187" s="5" t="str">
        <f>IFERROR(__xludf.DUMMYFUNCTION("GOOGLEFINANCE(""ASX:IRX"", ""pe"")"),"#N/A")</f>
        <v>#N/A</v>
      </c>
      <c r="G1187" s="9">
        <f>IFERROR(__xludf.DUMMYFUNCTION("GOOGLEFINANCE(""ASX:IRX"", ""high52"")"),0.05)</f>
        <v>0.05</v>
      </c>
      <c r="H1187" s="9">
        <f>IFERROR(__xludf.DUMMYFUNCTION("GOOGLEFINANCE(""ASX:IRX"", ""low52"")"),0.02)</f>
        <v>0.02</v>
      </c>
      <c r="I1187" s="9">
        <f>IFERROR(__xludf.DUMMYFUNCTION("GOOGLEFINANCE(""ASX:IRX"", ""marketcap"")"),6606267.0)</f>
        <v>6606267</v>
      </c>
      <c r="J1187" s="9">
        <v>0.003</v>
      </c>
      <c r="K1187" s="9">
        <v>0.003</v>
      </c>
      <c r="L1187" s="9">
        <v>0.003</v>
      </c>
      <c r="M1187" s="9">
        <v>0.001</v>
      </c>
      <c r="N1187" s="11" t="s">
        <v>19</v>
      </c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>
      <c r="A1188" s="6" t="s">
        <v>2388</v>
      </c>
      <c r="B1188" s="6" t="s">
        <v>2389</v>
      </c>
      <c r="C1188" s="5" t="s">
        <v>1470</v>
      </c>
      <c r="D1188" s="7">
        <f>IFERROR(__xludf.DUMMYFUNCTION("GOOGLEFINANCE(""ASX:IS3"", ""price"")"),0.02)</f>
        <v>0.02</v>
      </c>
      <c r="E1188" s="8">
        <f>IFERROR(__xludf.DUMMYFUNCTION("GOOGLEFINANCE(""ASX:IS3"", ""closeyest"")"),0.02)</f>
        <v>0.02</v>
      </c>
      <c r="F1188" s="5" t="str">
        <f>IFERROR(__xludf.DUMMYFUNCTION("GOOGLEFINANCE(""ASX:IS3"", ""pe"")"),"#N/A")</f>
        <v>#N/A</v>
      </c>
      <c r="G1188" s="9">
        <f>IFERROR(__xludf.DUMMYFUNCTION("GOOGLEFINANCE(""ASX:IS3"", ""high52"")"),0.03)</f>
        <v>0.03</v>
      </c>
      <c r="H1188" s="9">
        <f>IFERROR(__xludf.DUMMYFUNCTION("GOOGLEFINANCE(""ASX:IS3"", ""low52"")"),0.0)</f>
        <v>0</v>
      </c>
      <c r="I1188" s="9">
        <f>IFERROR(__xludf.DUMMYFUNCTION("GOOGLEFINANCE(""ASX:IS3"", ""marketcap"")"),2.3431469E7)</f>
        <v>23431469</v>
      </c>
      <c r="J1188" s="5"/>
      <c r="K1188" s="5"/>
      <c r="L1188" s="5"/>
      <c r="M1188" s="5"/>
      <c r="N1188" s="11" t="s">
        <v>19</v>
      </c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>
      <c r="A1189" s="6" t="s">
        <v>2390</v>
      </c>
      <c r="B1189" s="6" t="s">
        <v>2391</v>
      </c>
      <c r="C1189" s="5" t="s">
        <v>36</v>
      </c>
      <c r="D1189" s="7">
        <f>IFERROR(__xludf.DUMMYFUNCTION("GOOGLEFINANCE(""ASX:ISEC"", ""price"")"),100.54)</f>
        <v>100.54</v>
      </c>
      <c r="E1189" s="8">
        <f>IFERROR(__xludf.DUMMYFUNCTION("GOOGLEFINANCE(""ASX:ISEC"", ""closeyest"")"),100.9)</f>
        <v>100.9</v>
      </c>
      <c r="F1189" s="5" t="str">
        <f>IFERROR(__xludf.DUMMYFUNCTION("GOOGLEFINANCE(""ASX:ISEC"", ""pe"")"),"#N/A")</f>
        <v>#N/A</v>
      </c>
      <c r="G1189" s="9">
        <f>IFERROR(__xludf.DUMMYFUNCTION("GOOGLEFINANCE(""ASX:ISEC"", ""high52"")"),100.96)</f>
        <v>100.96</v>
      </c>
      <c r="H1189" s="9">
        <f>IFERROR(__xludf.DUMMYFUNCTION("GOOGLEFINANCE(""ASX:ISEC"", ""low52"")"),100.48)</f>
        <v>100.48</v>
      </c>
      <c r="I1189" s="9" t="str">
        <f>IFERROR(__xludf.DUMMYFUNCTION("GOOGLEFINANCE(""ASX:ISEC"", ""marketcap"")"),"#N/A")</f>
        <v>#N/A</v>
      </c>
      <c r="J1189" s="5"/>
      <c r="K1189" s="5"/>
      <c r="L1189" s="5"/>
      <c r="M1189" s="5"/>
      <c r="N1189" s="11" t="s">
        <v>19</v>
      </c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>
      <c r="A1190" s="6" t="s">
        <v>2392</v>
      </c>
      <c r="B1190" s="6" t="s">
        <v>2393</v>
      </c>
      <c r="C1190" s="5" t="s">
        <v>36</v>
      </c>
      <c r="D1190" s="7" t="str">
        <f>IFERROR(__xludf.DUMMYFUNCTION("GOOGLEFINANCE(""ASX:ISLM"", ""price"")"),"#N/A")</f>
        <v>#N/A</v>
      </c>
      <c r="E1190" s="8" t="str">
        <f>IFERROR(__xludf.DUMMYFUNCTION("GOOGLEFINANCE(""ASX:ISLM"", ""closeyest"")"),"#N/A")</f>
        <v>#N/A</v>
      </c>
      <c r="F1190" s="5" t="str">
        <f>IFERROR(__xludf.DUMMYFUNCTION("GOOGLEFINANCE(""ASX:ISLM"", ""pe"")"),"#N/A")</f>
        <v>#N/A</v>
      </c>
      <c r="G1190" s="5" t="str">
        <f>IFERROR(__xludf.DUMMYFUNCTION("GOOGLEFINANCE(""ASX:ISLM"", ""high52"")"),"#N/A")</f>
        <v>#N/A</v>
      </c>
      <c r="H1190" s="5" t="str">
        <f>IFERROR(__xludf.DUMMYFUNCTION("GOOGLEFINANCE(""ASX:ISLM"", ""low52"")"),"#N/A")</f>
        <v>#N/A</v>
      </c>
      <c r="I1190" s="9" t="str">
        <f>IFERROR(__xludf.DUMMYFUNCTION("GOOGLEFINANCE(""ASX:ISLM"", ""marketcap"")"),"#N/A")</f>
        <v>#N/A</v>
      </c>
      <c r="J1190" s="12">
        <v>1.15</v>
      </c>
      <c r="K1190" s="12">
        <v>1.15</v>
      </c>
      <c r="L1190" s="12">
        <v>1.2</v>
      </c>
      <c r="M1190" s="12">
        <v>1.06</v>
      </c>
      <c r="N1190" s="11" t="s">
        <v>19</v>
      </c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>
      <c r="A1191" s="6" t="s">
        <v>2394</v>
      </c>
      <c r="B1191" s="6" t="s">
        <v>2395</v>
      </c>
      <c r="C1191" s="5" t="s">
        <v>36</v>
      </c>
      <c r="D1191" s="7">
        <f>IFERROR(__xludf.DUMMYFUNCTION("GOOGLEFINANCE(""ASX:ISO"", ""price"")"),5.85)</f>
        <v>5.85</v>
      </c>
      <c r="E1191" s="8">
        <f>IFERROR(__xludf.DUMMYFUNCTION("GOOGLEFINANCE(""ASX:ISO"", ""closeyest"")"),5.86)</f>
        <v>5.86</v>
      </c>
      <c r="F1191" s="5" t="str">
        <f>IFERROR(__xludf.DUMMYFUNCTION("GOOGLEFINANCE(""ASX:ISO"", ""pe"")"),"#N/A")</f>
        <v>#N/A</v>
      </c>
      <c r="G1191" s="9">
        <f>IFERROR(__xludf.DUMMYFUNCTION("GOOGLEFINANCE(""ASX:ISO"", ""high52"")"),5.91)</f>
        <v>5.91</v>
      </c>
      <c r="H1191" s="9">
        <f>IFERROR(__xludf.DUMMYFUNCTION("GOOGLEFINANCE(""ASX:ISO"", ""low52"")"),4.13)</f>
        <v>4.13</v>
      </c>
      <c r="I1191" s="9" t="str">
        <f>IFERROR(__xludf.DUMMYFUNCTION("GOOGLEFINANCE(""ASX:ISO"", ""marketcap"")"),"#N/A")</f>
        <v>#N/A</v>
      </c>
      <c r="J1191" s="5"/>
      <c r="K1191" s="5"/>
      <c r="L1191" s="5"/>
      <c r="M1191" s="5"/>
      <c r="N1191" s="11" t="s">
        <v>19</v>
      </c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>
      <c r="A1192" s="6" t="s">
        <v>2396</v>
      </c>
      <c r="B1192" s="6" t="s">
        <v>2397</v>
      </c>
      <c r="C1192" s="5" t="s">
        <v>36</v>
      </c>
      <c r="D1192" s="7">
        <f>IFERROR(__xludf.DUMMYFUNCTION("GOOGLEFINANCE(""ASX:ITEK"", ""price"")"),32.9)</f>
        <v>32.9</v>
      </c>
      <c r="E1192" s="8">
        <f>IFERROR(__xludf.DUMMYFUNCTION("GOOGLEFINANCE(""ASX:ITEK"", ""closeyest"")"),32.96)</f>
        <v>32.96</v>
      </c>
      <c r="F1192" s="5" t="str">
        <f>IFERROR(__xludf.DUMMYFUNCTION("GOOGLEFINANCE(""ASX:ITEK"", ""pe"")"),"#N/A")</f>
        <v>#N/A</v>
      </c>
      <c r="G1192" s="9">
        <f>IFERROR(__xludf.DUMMYFUNCTION("GOOGLEFINANCE(""ASX:ITEK"", ""high52"")"),35.15)</f>
        <v>35.15</v>
      </c>
      <c r="H1192" s="9">
        <f>IFERROR(__xludf.DUMMYFUNCTION("GOOGLEFINANCE(""ASX:ITEK"", ""low52"")"),25.74)</f>
        <v>25.74</v>
      </c>
      <c r="I1192" s="9" t="str">
        <f>IFERROR(__xludf.DUMMYFUNCTION("GOOGLEFINANCE(""ASX:ITEK"", ""marketcap"")"),"#N/A")</f>
        <v>#N/A</v>
      </c>
      <c r="J1192" s="9">
        <v>0.14</v>
      </c>
      <c r="K1192" s="9">
        <v>0.14</v>
      </c>
      <c r="L1192" s="9">
        <v>0.14</v>
      </c>
      <c r="M1192" s="9">
        <v>0.053</v>
      </c>
      <c r="N1192" s="11" t="s">
        <v>19</v>
      </c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>
      <c r="A1193" s="6" t="s">
        <v>2398</v>
      </c>
      <c r="B1193" s="6" t="s">
        <v>2399</v>
      </c>
      <c r="C1193" s="5" t="s">
        <v>18</v>
      </c>
      <c r="D1193" s="7">
        <f>IFERROR(__xludf.DUMMYFUNCTION("GOOGLEFINANCE(""ASX:ITM"", ""price"")"),0.05)</f>
        <v>0.05</v>
      </c>
      <c r="E1193" s="8">
        <f>IFERROR(__xludf.DUMMYFUNCTION("GOOGLEFINANCE(""ASX:ITM"", ""closeyest"")"),0.05)</f>
        <v>0.05</v>
      </c>
      <c r="F1193" s="5" t="str">
        <f>IFERROR(__xludf.DUMMYFUNCTION("GOOGLEFINANCE(""ASX:ITM"", ""pe"")"),"#N/A")</f>
        <v>#N/A</v>
      </c>
      <c r="G1193" s="9">
        <f>IFERROR(__xludf.DUMMYFUNCTION("GOOGLEFINANCE(""ASX:ITM"", ""high52"")"),0.09)</f>
        <v>0.09</v>
      </c>
      <c r="H1193" s="9">
        <f>IFERROR(__xludf.DUMMYFUNCTION("GOOGLEFINANCE(""ASX:ITM"", ""low52"")"),0.03)</f>
        <v>0.03</v>
      </c>
      <c r="I1193" s="9">
        <f>IFERROR(__xludf.DUMMYFUNCTION("GOOGLEFINANCE(""ASX:ITM"", ""marketcap"")"),1.218315E7)</f>
        <v>12183150</v>
      </c>
      <c r="J1193" s="5"/>
      <c r="K1193" s="5"/>
      <c r="L1193" s="5"/>
      <c r="M1193" s="5"/>
      <c r="N1193" s="11" t="s">
        <v>19</v>
      </c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>
      <c r="A1194" s="6" t="s">
        <v>2400</v>
      </c>
      <c r="B1194" s="6" t="s">
        <v>2401</v>
      </c>
      <c r="C1194" s="5" t="s">
        <v>184</v>
      </c>
      <c r="D1194" s="7">
        <f>IFERROR(__xludf.DUMMYFUNCTION("GOOGLEFINANCE(""ASX:ITS"", ""price"")"),0.56)</f>
        <v>0.56</v>
      </c>
      <c r="E1194" s="8">
        <f>IFERROR(__xludf.DUMMYFUNCTION("GOOGLEFINANCE(""ASX:ITS"", ""closeyest"")"),0.6)</f>
        <v>0.6</v>
      </c>
      <c r="F1194" s="5" t="str">
        <f>IFERROR(__xludf.DUMMYFUNCTION("GOOGLEFINANCE(""ASX:ITS"", ""pe"")"),"#N/A")</f>
        <v>#N/A</v>
      </c>
      <c r="G1194" s="9">
        <f>IFERROR(__xludf.DUMMYFUNCTION("GOOGLEFINANCE(""ASX:ITS"", ""high52"")"),0.63)</f>
        <v>0.63</v>
      </c>
      <c r="H1194" s="9">
        <f>IFERROR(__xludf.DUMMYFUNCTION("GOOGLEFINANCE(""ASX:ITS"", ""low52"")"),0.49)</f>
        <v>0.49</v>
      </c>
      <c r="I1194" s="9">
        <f>IFERROR(__xludf.DUMMYFUNCTION("GOOGLEFINANCE(""ASX:ITS"", ""marketcap"")"),1.06498672E8)</f>
        <v>106498672</v>
      </c>
      <c r="J1194" s="5"/>
      <c r="K1194" s="5"/>
      <c r="L1194" s="5"/>
      <c r="M1194" s="5"/>
      <c r="N1194" s="11" t="s">
        <v>19</v>
      </c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>
      <c r="A1195" s="6" t="s">
        <v>2402</v>
      </c>
      <c r="B1195" s="6" t="s">
        <v>2403</v>
      </c>
      <c r="C1195" s="5" t="s">
        <v>36</v>
      </c>
      <c r="D1195" s="7">
        <f>IFERROR(__xludf.DUMMYFUNCTION("GOOGLEFINANCE(""ASX:IVE"", ""price"")"),143.98)</f>
        <v>143.98</v>
      </c>
      <c r="E1195" s="8">
        <f>IFERROR(__xludf.DUMMYFUNCTION("GOOGLEFINANCE(""ASX:IVE"", ""closeyest"")"),144.81)</f>
        <v>144.81</v>
      </c>
      <c r="F1195" s="5" t="str">
        <f>IFERROR(__xludf.DUMMYFUNCTION("GOOGLEFINANCE(""ASX:IVE"", ""pe"")"),"#N/A")</f>
        <v>#N/A</v>
      </c>
      <c r="G1195" s="9">
        <f>IFERROR(__xludf.DUMMYFUNCTION("GOOGLEFINANCE(""ASX:IVE"", ""high52"")"),146.18)</f>
        <v>146.18</v>
      </c>
      <c r="H1195" s="9">
        <f>IFERROR(__xludf.DUMMYFUNCTION("GOOGLEFINANCE(""ASX:IVE"", ""low52"")"),120.55)</f>
        <v>120.55</v>
      </c>
      <c r="I1195" s="9" t="str">
        <f>IFERROR(__xludf.DUMMYFUNCTION("GOOGLEFINANCE(""ASX:IVE"", ""marketcap"")"),"#N/A")</f>
        <v>#N/A</v>
      </c>
      <c r="J1195" s="5"/>
      <c r="K1195" s="5"/>
      <c r="L1195" s="5"/>
      <c r="M1195" s="5"/>
      <c r="N1195" s="11" t="s">
        <v>19</v>
      </c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>
      <c r="A1196" s="6" t="s">
        <v>2404</v>
      </c>
      <c r="B1196" s="6" t="s">
        <v>2405</v>
      </c>
      <c r="C1196" s="5" t="s">
        <v>39</v>
      </c>
      <c r="D1196" s="7">
        <f>IFERROR(__xludf.DUMMYFUNCTION("GOOGLEFINANCE(""ASX:IVG"", ""price"")"),0.03)</f>
        <v>0.03</v>
      </c>
      <c r="E1196" s="8">
        <f>IFERROR(__xludf.DUMMYFUNCTION("GOOGLEFINANCE(""ASX:IVG"", ""closeyest"")"),0.03)</f>
        <v>0.03</v>
      </c>
      <c r="F1196" s="5" t="str">
        <f>IFERROR(__xludf.DUMMYFUNCTION("GOOGLEFINANCE(""ASX:IVG"", ""pe"")"),"#N/A")</f>
        <v>#N/A</v>
      </c>
      <c r="G1196" s="9">
        <f>IFERROR(__xludf.DUMMYFUNCTION("GOOGLEFINANCE(""ASX:IVG"", ""high52"")"),0.05)</f>
        <v>0.05</v>
      </c>
      <c r="H1196" s="9">
        <f>IFERROR(__xludf.DUMMYFUNCTION("GOOGLEFINANCE(""ASX:IVG"", ""low52"")"),0.03)</f>
        <v>0.03</v>
      </c>
      <c r="I1196" s="9">
        <f>IFERROR(__xludf.DUMMYFUNCTION("GOOGLEFINANCE(""ASX:IVG"", ""marketcap"")"),9590489.0)</f>
        <v>9590489</v>
      </c>
      <c r="J1196" s="5"/>
      <c r="K1196" s="5"/>
      <c r="L1196" s="5"/>
      <c r="M1196" s="5"/>
      <c r="N1196" s="11" t="s">
        <v>19</v>
      </c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>
      <c r="A1197" s="6" t="s">
        <v>2406</v>
      </c>
      <c r="B1197" s="6" t="s">
        <v>2407</v>
      </c>
      <c r="C1197" s="5" t="s">
        <v>18</v>
      </c>
      <c r="D1197" s="7">
        <f>IFERROR(__xludf.DUMMYFUNCTION("GOOGLEFINANCE(""ASX:IVR"", ""price"")"),0.14)</f>
        <v>0.14</v>
      </c>
      <c r="E1197" s="8">
        <f>IFERROR(__xludf.DUMMYFUNCTION("GOOGLEFINANCE(""ASX:IVR"", ""closeyest"")"),0.14)</f>
        <v>0.14</v>
      </c>
      <c r="F1197" s="9">
        <f>IFERROR(__xludf.DUMMYFUNCTION("GOOGLEFINANCE(""ASX:IVR"", ""pe"")"),1035.71)</f>
        <v>1035.71</v>
      </c>
      <c r="G1197" s="9">
        <f>IFERROR(__xludf.DUMMYFUNCTION("GOOGLEFINANCE(""ASX:IVR"", ""high52"")"),0.17)</f>
        <v>0.17</v>
      </c>
      <c r="H1197" s="9">
        <f>IFERROR(__xludf.DUMMYFUNCTION("GOOGLEFINANCE(""ASX:IVR"", ""low52"")"),0.02)</f>
        <v>0.02</v>
      </c>
      <c r="I1197" s="9">
        <f>IFERROR(__xludf.DUMMYFUNCTION("GOOGLEFINANCE(""ASX:IVR"", ""marketcap"")"),2.87159586E8)</f>
        <v>287159586</v>
      </c>
      <c r="J1197" s="5"/>
      <c r="K1197" s="5"/>
      <c r="L1197" s="5"/>
      <c r="M1197" s="5"/>
      <c r="N1197" s="10">
        <v>1107.14</v>
      </c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>
      <c r="A1198" s="6" t="s">
        <v>2408</v>
      </c>
      <c r="B1198" s="6" t="s">
        <v>2409</v>
      </c>
      <c r="C1198" s="5" t="s">
        <v>36</v>
      </c>
      <c r="D1198" s="7">
        <f>IFERROR(__xludf.DUMMYFUNCTION("GOOGLEFINANCE(""ASX:IVV"", ""price"")"),68.32)</f>
        <v>68.32</v>
      </c>
      <c r="E1198" s="8">
        <f>IFERROR(__xludf.DUMMYFUNCTION("GOOGLEFINANCE(""ASX:IVV"", ""closeyest"")"),68.34)</f>
        <v>68.34</v>
      </c>
      <c r="F1198" s="5" t="str">
        <f>IFERROR(__xludf.DUMMYFUNCTION("GOOGLEFINANCE(""ASX:IVV"", ""pe"")"),"#N/A")</f>
        <v>#N/A</v>
      </c>
      <c r="G1198" s="9">
        <f>IFERROR(__xludf.DUMMYFUNCTION("GOOGLEFINANCE(""ASX:IVV"", ""high52"")"),70.08)</f>
        <v>70.08</v>
      </c>
      <c r="H1198" s="9">
        <f>IFERROR(__xludf.DUMMYFUNCTION("GOOGLEFINANCE(""ASX:IVV"", ""low52"")"),53.52)</f>
        <v>53.52</v>
      </c>
      <c r="I1198" s="9" t="str">
        <f>IFERROR(__xludf.DUMMYFUNCTION("GOOGLEFINANCE(""ASX:IVV"", ""marketcap"")"),"#N/A")</f>
        <v>#N/A</v>
      </c>
      <c r="J1198" s="5"/>
      <c r="K1198" s="5"/>
      <c r="L1198" s="5"/>
      <c r="M1198" s="5"/>
      <c r="N1198" s="11" t="s">
        <v>19</v>
      </c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>
      <c r="A1199" s="6" t="s">
        <v>2410</v>
      </c>
      <c r="B1199" s="6" t="s">
        <v>2411</v>
      </c>
      <c r="C1199" s="5" t="s">
        <v>25</v>
      </c>
      <c r="D1199" s="7">
        <f>IFERROR(__xludf.DUMMYFUNCTION("GOOGLEFINANCE(""ASX:IVX"", ""price"")"),0.09)</f>
        <v>0.09</v>
      </c>
      <c r="E1199" s="8">
        <f>IFERROR(__xludf.DUMMYFUNCTION("GOOGLEFINANCE(""ASX:IVX"", ""closeyest"")"),0.09)</f>
        <v>0.09</v>
      </c>
      <c r="F1199" s="5" t="str">
        <f>IFERROR(__xludf.DUMMYFUNCTION("GOOGLEFINANCE(""ASX:IVX"", ""pe"")"),"#N/A")</f>
        <v>#N/A</v>
      </c>
      <c r="G1199" s="9">
        <f>IFERROR(__xludf.DUMMYFUNCTION("GOOGLEFINANCE(""ASX:IVX"", ""high52"")"),0.28)</f>
        <v>0.28</v>
      </c>
      <c r="H1199" s="9">
        <f>IFERROR(__xludf.DUMMYFUNCTION("GOOGLEFINANCE(""ASX:IVX"", ""low52"")"),0.08)</f>
        <v>0.08</v>
      </c>
      <c r="I1199" s="9">
        <f>IFERROR(__xludf.DUMMYFUNCTION("GOOGLEFINANCE(""ASX:IVX"", ""marketcap"")"),7404205.0)</f>
        <v>7404205</v>
      </c>
      <c r="J1199" s="5"/>
      <c r="K1199" s="5"/>
      <c r="L1199" s="5"/>
      <c r="M1199" s="5"/>
      <c r="N1199" s="11" t="s">
        <v>19</v>
      </c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>
      <c r="A1200" s="6" t="s">
        <v>2412</v>
      </c>
      <c r="B1200" s="6" t="s">
        <v>2413</v>
      </c>
      <c r="C1200" s="5" t="s">
        <v>78</v>
      </c>
      <c r="D1200" s="7">
        <f>IFERROR(__xludf.DUMMYFUNCTION("GOOGLEFINANCE(""ASX:IVZ"", ""price"")"),0.17)</f>
        <v>0.17</v>
      </c>
      <c r="E1200" s="8">
        <f>IFERROR(__xludf.DUMMYFUNCTION("GOOGLEFINANCE(""ASX:IVZ"", ""closeyest"")"),0.16)</f>
        <v>0.16</v>
      </c>
      <c r="F1200" s="5" t="str">
        <f>IFERROR(__xludf.DUMMYFUNCTION("GOOGLEFINANCE(""ASX:IVZ"", ""pe"")"),"#N/A")</f>
        <v>#N/A</v>
      </c>
      <c r="G1200" s="9">
        <f>IFERROR(__xludf.DUMMYFUNCTION("GOOGLEFINANCE(""ASX:IVZ"", ""high52"")"),0.26)</f>
        <v>0.26</v>
      </c>
      <c r="H1200" s="9">
        <f>IFERROR(__xludf.DUMMYFUNCTION("GOOGLEFINANCE(""ASX:IVZ"", ""low52"")"),0.05)</f>
        <v>0.05</v>
      </c>
      <c r="I1200" s="9">
        <f>IFERROR(__xludf.DUMMYFUNCTION("GOOGLEFINANCE(""ASX:IVZ"", ""marketcap"")"),2.64575035E8)</f>
        <v>264575035</v>
      </c>
      <c r="J1200" s="5"/>
      <c r="K1200" s="5"/>
      <c r="L1200" s="5"/>
      <c r="M1200" s="5"/>
      <c r="N1200" s="11" t="s">
        <v>19</v>
      </c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>
      <c r="A1201" s="6" t="s">
        <v>2414</v>
      </c>
      <c r="B1201" s="6" t="s">
        <v>2415</v>
      </c>
      <c r="C1201" s="5" t="s">
        <v>36</v>
      </c>
      <c r="D1201" s="7">
        <f>IFERROR(__xludf.DUMMYFUNCTION("GOOGLEFINANCE(""ASX:IWLD"", ""price"")"),68.13)</f>
        <v>68.13</v>
      </c>
      <c r="E1201" s="8">
        <f>IFERROR(__xludf.DUMMYFUNCTION("GOOGLEFINANCE(""ASX:IWLD"", ""closeyest"")"),68.55)</f>
        <v>68.55</v>
      </c>
      <c r="F1201" s="5" t="str">
        <f>IFERROR(__xludf.DUMMYFUNCTION("GOOGLEFINANCE(""ASX:IWLD"", ""pe"")"),"#N/A")</f>
        <v>#N/A</v>
      </c>
      <c r="G1201" s="9">
        <f>IFERROR(__xludf.DUMMYFUNCTION("GOOGLEFINANCE(""ASX:IWLD"", ""high52"")"),69.74)</f>
        <v>69.74</v>
      </c>
      <c r="H1201" s="9">
        <f>IFERROR(__xludf.DUMMYFUNCTION("GOOGLEFINANCE(""ASX:IWLD"", ""low52"")"),52.79)</f>
        <v>52.79</v>
      </c>
      <c r="I1201" s="9" t="str">
        <f>IFERROR(__xludf.DUMMYFUNCTION("GOOGLEFINANCE(""ASX:IWLD"", ""marketcap"")"),"#N/A")</f>
        <v>#N/A</v>
      </c>
      <c r="J1201" s="9">
        <v>9.15</v>
      </c>
      <c r="K1201" s="9">
        <v>9.18</v>
      </c>
      <c r="L1201" s="9">
        <v>11.46</v>
      </c>
      <c r="M1201" s="9">
        <v>8.93</v>
      </c>
      <c r="N1201" s="11" t="s">
        <v>19</v>
      </c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>
      <c r="A1202" s="6" t="s">
        <v>2416</v>
      </c>
      <c r="B1202" s="6" t="s">
        <v>2417</v>
      </c>
      <c r="C1202" s="5" t="s">
        <v>25</v>
      </c>
      <c r="D1202" s="7">
        <f>IFERROR(__xludf.DUMMYFUNCTION("GOOGLEFINANCE(""ASX:IXC"", ""price"")"),0.12)</f>
        <v>0.12</v>
      </c>
      <c r="E1202" s="8">
        <f>IFERROR(__xludf.DUMMYFUNCTION("GOOGLEFINANCE(""ASX:IXC"", ""closeyest"")"),0.12)</f>
        <v>0.12</v>
      </c>
      <c r="F1202" s="5" t="str">
        <f>IFERROR(__xludf.DUMMYFUNCTION("GOOGLEFINANCE(""ASX:IXC"", ""pe"")"),"#N/A")</f>
        <v>#N/A</v>
      </c>
      <c r="G1202" s="9">
        <f>IFERROR(__xludf.DUMMYFUNCTION("GOOGLEFINANCE(""ASX:IXC"", ""high52"")"),0.18)</f>
        <v>0.18</v>
      </c>
      <c r="H1202" s="9">
        <f>IFERROR(__xludf.DUMMYFUNCTION("GOOGLEFINANCE(""ASX:IXC"", ""low52"")"),0.06)</f>
        <v>0.06</v>
      </c>
      <c r="I1202" s="9">
        <f>IFERROR(__xludf.DUMMYFUNCTION("GOOGLEFINANCE(""ASX:IXC"", ""marketcap"")"),8671595.0)</f>
        <v>8671595</v>
      </c>
      <c r="J1202" s="5"/>
      <c r="K1202" s="5"/>
      <c r="L1202" s="5"/>
      <c r="M1202" s="5"/>
      <c r="N1202" s="11" t="s">
        <v>19</v>
      </c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>
      <c r="A1203" s="6" t="s">
        <v>2418</v>
      </c>
      <c r="B1203" s="6" t="s">
        <v>2419</v>
      </c>
      <c r="C1203" s="5" t="s">
        <v>36</v>
      </c>
      <c r="D1203" s="7">
        <f>IFERROR(__xludf.DUMMYFUNCTION("GOOGLEFINANCE(""ASX:IXI"", ""price"")"),94.87)</f>
        <v>94.87</v>
      </c>
      <c r="E1203" s="8">
        <f>IFERROR(__xludf.DUMMYFUNCTION("GOOGLEFINANCE(""ASX:IXI"", ""closeyest"")"),95.27)</f>
        <v>95.27</v>
      </c>
      <c r="F1203" s="5" t="str">
        <f>IFERROR(__xludf.DUMMYFUNCTION("GOOGLEFINANCE(""ASX:IXI"", ""pe"")"),"#N/A")</f>
        <v>#N/A</v>
      </c>
      <c r="G1203" s="9">
        <f>IFERROR(__xludf.DUMMYFUNCTION("GOOGLEFINANCE(""ASX:IXI"", ""high52"")"),104.23)</f>
        <v>104.23</v>
      </c>
      <c r="H1203" s="9">
        <f>IFERROR(__xludf.DUMMYFUNCTION("GOOGLEFINANCE(""ASX:IXI"", ""low52"")"),91.3)</f>
        <v>91.3</v>
      </c>
      <c r="I1203" s="9" t="str">
        <f>IFERROR(__xludf.DUMMYFUNCTION("GOOGLEFINANCE(""ASX:IXI"", ""marketcap"")"),"#N/A")</f>
        <v>#N/A</v>
      </c>
      <c r="J1203" s="5"/>
      <c r="K1203" s="5"/>
      <c r="L1203" s="5"/>
      <c r="M1203" s="5"/>
      <c r="N1203" s="11" t="s">
        <v>19</v>
      </c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>
      <c r="A1204" s="6" t="s">
        <v>2420</v>
      </c>
      <c r="B1204" s="6" t="s">
        <v>2421</v>
      </c>
      <c r="C1204" s="5" t="s">
        <v>36</v>
      </c>
      <c r="D1204" s="7">
        <f>IFERROR(__xludf.DUMMYFUNCTION("GOOGLEFINANCE(""ASX:IXJ"", ""price"")"),146.51)</f>
        <v>146.51</v>
      </c>
      <c r="E1204" s="8">
        <f>IFERROR(__xludf.DUMMYFUNCTION("GOOGLEFINANCE(""ASX:IXJ"", ""closeyest"")"),143.57)</f>
        <v>143.57</v>
      </c>
      <c r="F1204" s="5" t="str">
        <f>IFERROR(__xludf.DUMMYFUNCTION("GOOGLEFINANCE(""ASX:IXJ"", ""pe"")"),"#N/A")</f>
        <v>#N/A</v>
      </c>
      <c r="G1204" s="9">
        <f>IFERROR(__xludf.DUMMYFUNCTION("GOOGLEFINANCE(""ASX:IXJ"", ""high52"")"),153.2)</f>
        <v>153.2</v>
      </c>
      <c r="H1204" s="9">
        <f>IFERROR(__xludf.DUMMYFUNCTION("GOOGLEFINANCE(""ASX:IXJ"", ""low52"")"),125.86)</f>
        <v>125.86</v>
      </c>
      <c r="I1204" s="9" t="str">
        <f>IFERROR(__xludf.DUMMYFUNCTION("GOOGLEFINANCE(""ASX:IXJ"", ""marketcap"")"),"#N/A")</f>
        <v>#N/A</v>
      </c>
      <c r="J1204" s="5"/>
      <c r="K1204" s="5"/>
      <c r="L1204" s="5"/>
      <c r="M1204" s="5"/>
      <c r="N1204" s="11" t="s">
        <v>19</v>
      </c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>
      <c r="A1205" s="6" t="s">
        <v>2422</v>
      </c>
      <c r="B1205" s="6" t="s">
        <v>2423</v>
      </c>
      <c r="C1205" s="5" t="s">
        <v>450</v>
      </c>
      <c r="D1205" s="7">
        <f>IFERROR(__xludf.DUMMYFUNCTION("GOOGLEFINANCE(""ASX:IXR"", ""price"")"),0.47)</f>
        <v>0.47</v>
      </c>
      <c r="E1205" s="8">
        <f>IFERROR(__xludf.DUMMYFUNCTION("GOOGLEFINANCE(""ASX:IXR"", ""closeyest"")"),0.5)</f>
        <v>0.5</v>
      </c>
      <c r="F1205" s="5" t="str">
        <f>IFERROR(__xludf.DUMMYFUNCTION("GOOGLEFINANCE(""ASX:IXR"", ""pe"")"),"#N/A")</f>
        <v>#N/A</v>
      </c>
      <c r="G1205" s="9">
        <f>IFERROR(__xludf.DUMMYFUNCTION("GOOGLEFINANCE(""ASX:IXR"", ""high52"")"),1.05)</f>
        <v>1.05</v>
      </c>
      <c r="H1205" s="9">
        <f>IFERROR(__xludf.DUMMYFUNCTION("GOOGLEFINANCE(""ASX:IXR"", ""low52"")"),0.15)</f>
        <v>0.15</v>
      </c>
      <c r="I1205" s="9">
        <f>IFERROR(__xludf.DUMMYFUNCTION("GOOGLEFINANCE(""ASX:IXR"", ""marketcap"")"),1.03587585E8)</f>
        <v>103587585</v>
      </c>
      <c r="J1205" s="5"/>
      <c r="K1205" s="5"/>
      <c r="L1205" s="5"/>
      <c r="M1205" s="5"/>
      <c r="N1205" s="11" t="s">
        <v>19</v>
      </c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>
      <c r="A1206" s="6" t="s">
        <v>2424</v>
      </c>
      <c r="B1206" s="6" t="s">
        <v>2425</v>
      </c>
      <c r="C1206" s="5" t="s">
        <v>36</v>
      </c>
      <c r="D1206" s="7">
        <f>IFERROR(__xludf.DUMMYFUNCTION("GOOGLEFINANCE(""ASX:IYLD"", ""price"")"),99.52)</f>
        <v>99.52</v>
      </c>
      <c r="E1206" s="8">
        <f>IFERROR(__xludf.DUMMYFUNCTION("GOOGLEFINANCE(""ASX:IYLD"", ""closeyest"")"),99.9)</f>
        <v>99.9</v>
      </c>
      <c r="F1206" s="5" t="str">
        <f>IFERROR(__xludf.DUMMYFUNCTION("GOOGLEFINANCE(""ASX:IYLD"", ""pe"")"),"#N/A")</f>
        <v>#N/A</v>
      </c>
      <c r="G1206" s="9">
        <f>IFERROR(__xludf.DUMMYFUNCTION("GOOGLEFINANCE(""ASX:IYLD"", ""high52"")"),103.0)</f>
        <v>103</v>
      </c>
      <c r="H1206" s="9">
        <f>IFERROR(__xludf.DUMMYFUNCTION("GOOGLEFINANCE(""ASX:IYLD"", ""low52"")"),99.38)</f>
        <v>99.38</v>
      </c>
      <c r="I1206" s="9" t="str">
        <f>IFERROR(__xludf.DUMMYFUNCTION("GOOGLEFINANCE(""ASX:IYLD"", ""marketcap"")"),"#N/A")</f>
        <v>#N/A</v>
      </c>
      <c r="J1206" s="5"/>
      <c r="K1206" s="5"/>
      <c r="L1206" s="5"/>
      <c r="M1206" s="5"/>
      <c r="N1206" s="11" t="s">
        <v>19</v>
      </c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>
      <c r="A1207" s="6" t="s">
        <v>2426</v>
      </c>
      <c r="B1207" s="6" t="s">
        <v>2427</v>
      </c>
      <c r="C1207" s="5" t="s">
        <v>36</v>
      </c>
      <c r="D1207" s="7">
        <f>IFERROR(__xludf.DUMMYFUNCTION("GOOGLEFINANCE(""ASX:IZZ"", ""price"")"),58.05)</f>
        <v>58.05</v>
      </c>
      <c r="E1207" s="8">
        <f>IFERROR(__xludf.DUMMYFUNCTION("GOOGLEFINANCE(""ASX:IZZ"", ""closeyest"")"),59.34)</f>
        <v>59.34</v>
      </c>
      <c r="F1207" s="5" t="str">
        <f>IFERROR(__xludf.DUMMYFUNCTION("GOOGLEFINANCE(""ASX:IZZ"", ""pe"")"),"#N/A")</f>
        <v>#N/A</v>
      </c>
      <c r="G1207" s="9">
        <f>IFERROR(__xludf.DUMMYFUNCTION("GOOGLEFINANCE(""ASX:IZZ"", ""high52"")"),63.14)</f>
        <v>63.14</v>
      </c>
      <c r="H1207" s="9">
        <f>IFERROR(__xludf.DUMMYFUNCTION("GOOGLEFINANCE(""ASX:IZZ"", ""low52"")"),45.65)</f>
        <v>45.65</v>
      </c>
      <c r="I1207" s="9" t="str">
        <f>IFERROR(__xludf.DUMMYFUNCTION("GOOGLEFINANCE(""ASX:IZZ"", ""marketcap"")"),"#N/A")</f>
        <v>#N/A</v>
      </c>
      <c r="J1207" s="9">
        <v>0.004</v>
      </c>
      <c r="K1207" s="9">
        <v>0.0045</v>
      </c>
      <c r="L1207" s="9">
        <v>0.007</v>
      </c>
      <c r="M1207" s="9">
        <v>0.0025</v>
      </c>
      <c r="N1207" s="11" t="s">
        <v>19</v>
      </c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>
      <c r="A1208" s="6" t="s">
        <v>2428</v>
      </c>
      <c r="B1208" s="6" t="s">
        <v>2429</v>
      </c>
      <c r="C1208" s="5" t="s">
        <v>36</v>
      </c>
      <c r="D1208" s="7">
        <f>IFERROR(__xludf.DUMMYFUNCTION("GOOGLEFINANCE(""ASX:J100"", ""price"")"),50.96)</f>
        <v>50.96</v>
      </c>
      <c r="E1208" s="8">
        <f>IFERROR(__xludf.DUMMYFUNCTION("GOOGLEFINANCE(""ASX:J100"", ""closeyest"")"),51.5)</f>
        <v>51.5</v>
      </c>
      <c r="F1208" s="5" t="str">
        <f>IFERROR(__xludf.DUMMYFUNCTION("GOOGLEFINANCE(""ASX:J100"", ""pe"")"),"#N/A")</f>
        <v>#N/A</v>
      </c>
      <c r="G1208" s="9">
        <f>IFERROR(__xludf.DUMMYFUNCTION("GOOGLEFINANCE(""ASX:J100"", ""high52"")"),53.0)</f>
        <v>53</v>
      </c>
      <c r="H1208" s="9">
        <f>IFERROR(__xludf.DUMMYFUNCTION("GOOGLEFINANCE(""ASX:J100"", ""low52"")"),49.7)</f>
        <v>49.7</v>
      </c>
      <c r="I1208" s="9" t="str">
        <f>IFERROR(__xludf.DUMMYFUNCTION("GOOGLEFINANCE(""ASX:J100"", ""marketcap"")"),"#N/A")</f>
        <v>#N/A</v>
      </c>
      <c r="J1208" s="5"/>
      <c r="K1208" s="5"/>
      <c r="L1208" s="5"/>
      <c r="M1208" s="5"/>
      <c r="N1208" s="11" t="s">
        <v>19</v>
      </c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>
      <c r="A1209" s="6" t="s">
        <v>2430</v>
      </c>
      <c r="B1209" s="6" t="s">
        <v>2431</v>
      </c>
      <c r="C1209" s="5" t="s">
        <v>314</v>
      </c>
      <c r="D1209" s="7">
        <f>IFERROR(__xludf.DUMMYFUNCTION("GOOGLEFINANCE(""ASX:JAL"", ""price"")"),0.07)</f>
        <v>0.07</v>
      </c>
      <c r="E1209" s="8">
        <f>IFERROR(__xludf.DUMMYFUNCTION("GOOGLEFINANCE(""ASX:JAL"", ""closeyest"")"),0.07)</f>
        <v>0.07</v>
      </c>
      <c r="F1209" s="5" t="str">
        <f>IFERROR(__xludf.DUMMYFUNCTION("GOOGLEFINANCE(""ASX:JAL"", ""pe"")"),"#N/A")</f>
        <v>#N/A</v>
      </c>
      <c r="G1209" s="9">
        <f>IFERROR(__xludf.DUMMYFUNCTION("GOOGLEFINANCE(""ASX:JAL"", ""high52"")"),0.13)</f>
        <v>0.13</v>
      </c>
      <c r="H1209" s="9">
        <f>IFERROR(__xludf.DUMMYFUNCTION("GOOGLEFINANCE(""ASX:JAL"", ""low52"")"),0.03)</f>
        <v>0.03</v>
      </c>
      <c r="I1209" s="9">
        <f>IFERROR(__xludf.DUMMYFUNCTION("GOOGLEFINANCE(""ASX:JAL"", ""marketcap"")"),5.7848723E7)</f>
        <v>57848723</v>
      </c>
      <c r="J1209" s="5"/>
      <c r="K1209" s="5"/>
      <c r="L1209" s="5"/>
      <c r="M1209" s="5"/>
      <c r="N1209" s="11" t="s">
        <v>19</v>
      </c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>
      <c r="A1210" s="6" t="s">
        <v>2432</v>
      </c>
      <c r="B1210" s="6" t="s">
        <v>2433</v>
      </c>
      <c r="C1210" s="5" t="s">
        <v>70</v>
      </c>
      <c r="D1210" s="7">
        <f>IFERROR(__xludf.DUMMYFUNCTION("GOOGLEFINANCE(""ASX:JAN"", ""price"")"),0.28)</f>
        <v>0.28</v>
      </c>
      <c r="E1210" s="8">
        <f>IFERROR(__xludf.DUMMYFUNCTION("GOOGLEFINANCE(""ASX:JAN"", ""closeyest"")"),0.28)</f>
        <v>0.28</v>
      </c>
      <c r="F1210" s="5" t="str">
        <f>IFERROR(__xludf.DUMMYFUNCTION("GOOGLEFINANCE(""ASX:JAN"", ""pe"")"),"#N/A")</f>
        <v>#N/A</v>
      </c>
      <c r="G1210" s="9">
        <f>IFERROR(__xludf.DUMMYFUNCTION("GOOGLEFINANCE(""ASX:JAN"", ""high52"")"),0.3)</f>
        <v>0.3</v>
      </c>
      <c r="H1210" s="9">
        <f>IFERROR(__xludf.DUMMYFUNCTION("GOOGLEFINANCE(""ASX:JAN"", ""low52"")"),0.14)</f>
        <v>0.14</v>
      </c>
      <c r="I1210" s="9">
        <f>IFERROR(__xludf.DUMMYFUNCTION("GOOGLEFINANCE(""ASX:JAN"", ""marketcap"")"),7.2745479E7)</f>
        <v>72745479</v>
      </c>
      <c r="J1210" s="5"/>
      <c r="K1210" s="5"/>
      <c r="L1210" s="5"/>
      <c r="M1210" s="5"/>
      <c r="N1210" s="11" t="s">
        <v>19</v>
      </c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>
      <c r="A1211" s="6" t="s">
        <v>2434</v>
      </c>
      <c r="B1211" s="6" t="s">
        <v>2435</v>
      </c>
      <c r="C1211" s="5" t="s">
        <v>580</v>
      </c>
      <c r="D1211" s="7">
        <f>IFERROR(__xludf.DUMMYFUNCTION("GOOGLEFINANCE(""ASX:JAT"", ""price"")"),0.15)</f>
        <v>0.15</v>
      </c>
      <c r="E1211" s="8">
        <f>IFERROR(__xludf.DUMMYFUNCTION("GOOGLEFINANCE(""ASX:JAT"", ""closeyest"")"),0.14)</f>
        <v>0.14</v>
      </c>
      <c r="F1211" s="5" t="str">
        <f>IFERROR(__xludf.DUMMYFUNCTION("GOOGLEFINANCE(""ASX:JAT"", ""pe"")"),"#N/A")</f>
        <v>#N/A</v>
      </c>
      <c r="G1211" s="9">
        <f>IFERROR(__xludf.DUMMYFUNCTION("GOOGLEFINANCE(""ASX:JAT"", ""high52"")"),0.56)</f>
        <v>0.56</v>
      </c>
      <c r="H1211" s="9">
        <f>IFERROR(__xludf.DUMMYFUNCTION("GOOGLEFINANCE(""ASX:JAT"", ""low52"")"),0.11)</f>
        <v>0.11</v>
      </c>
      <c r="I1211" s="9">
        <f>IFERROR(__xludf.DUMMYFUNCTION("GOOGLEFINANCE(""ASX:JAT"", ""marketcap"")"),1.6853325E7)</f>
        <v>16853325</v>
      </c>
      <c r="J1211" s="5"/>
      <c r="K1211" s="5"/>
      <c r="L1211" s="5"/>
      <c r="M1211" s="5"/>
      <c r="N1211" s="11" t="s">
        <v>19</v>
      </c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>
      <c r="A1212" s="6" t="s">
        <v>2436</v>
      </c>
      <c r="B1212" s="6" t="s">
        <v>2437</v>
      </c>
      <c r="C1212" s="5" t="s">
        <v>18</v>
      </c>
      <c r="D1212" s="7">
        <f>IFERROR(__xludf.DUMMYFUNCTION("GOOGLEFINANCE(""ASX:JAV"", ""price"")"),0.08)</f>
        <v>0.08</v>
      </c>
      <c r="E1212" s="8">
        <f>IFERROR(__xludf.DUMMYFUNCTION("GOOGLEFINANCE(""ASX:JAV"", ""closeyest"")"),0.08)</f>
        <v>0.08</v>
      </c>
      <c r="F1212" s="5" t="str">
        <f>IFERROR(__xludf.DUMMYFUNCTION("GOOGLEFINANCE(""ASX:JAV"", ""pe"")"),"#N/A")</f>
        <v>#N/A</v>
      </c>
      <c r="G1212" s="9">
        <f>IFERROR(__xludf.DUMMYFUNCTION("GOOGLEFINANCE(""ASX:JAV"", ""high52"")"),0.12)</f>
        <v>0.12</v>
      </c>
      <c r="H1212" s="9">
        <f>IFERROR(__xludf.DUMMYFUNCTION("GOOGLEFINANCE(""ASX:JAV"", ""low52"")"),0.03)</f>
        <v>0.03</v>
      </c>
      <c r="I1212" s="9">
        <f>IFERROR(__xludf.DUMMYFUNCTION("GOOGLEFINANCE(""ASX:JAV"", ""marketcap"")"),2.1839126E7)</f>
        <v>21839126</v>
      </c>
      <c r="J1212" s="5"/>
      <c r="K1212" s="5"/>
      <c r="L1212" s="5"/>
      <c r="M1212" s="5"/>
      <c r="N1212" s="11" t="s">
        <v>19</v>
      </c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>
      <c r="A1213" s="6" t="s">
        <v>2438</v>
      </c>
      <c r="B1213" s="6" t="s">
        <v>2439</v>
      </c>
      <c r="C1213" s="5" t="s">
        <v>670</v>
      </c>
      <c r="D1213" s="7">
        <f>IFERROR(__xludf.DUMMYFUNCTION("GOOGLEFINANCE(""ASX:JAY"", ""price"")"),0.01)</f>
        <v>0.01</v>
      </c>
      <c r="E1213" s="8">
        <f>IFERROR(__xludf.DUMMYFUNCTION("GOOGLEFINANCE(""ASX:JAY"", ""closeyest"")"),0.01)</f>
        <v>0.01</v>
      </c>
      <c r="F1213" s="5" t="str">
        <f>IFERROR(__xludf.DUMMYFUNCTION("GOOGLEFINANCE(""ASX:JAY"", ""pe"")"),"#N/A")</f>
        <v>#N/A</v>
      </c>
      <c r="G1213" s="9">
        <f>IFERROR(__xludf.DUMMYFUNCTION("GOOGLEFINANCE(""ASX:JAY"", ""high52"")"),0.02)</f>
        <v>0.02</v>
      </c>
      <c r="H1213" s="9">
        <f>IFERROR(__xludf.DUMMYFUNCTION("GOOGLEFINANCE(""ASX:JAY"", ""low52"")"),0.0)</f>
        <v>0</v>
      </c>
      <c r="I1213" s="9">
        <f>IFERROR(__xludf.DUMMYFUNCTION("GOOGLEFINANCE(""ASX:JAY"", ""marketcap"")"),9327330.0)</f>
        <v>9327330</v>
      </c>
      <c r="J1213" s="5"/>
      <c r="K1213" s="5"/>
      <c r="L1213" s="5"/>
      <c r="M1213" s="5"/>
      <c r="N1213" s="11" t="s">
        <v>19</v>
      </c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>
      <c r="A1214" s="6" t="s">
        <v>2440</v>
      </c>
      <c r="B1214" s="6" t="s">
        <v>2441</v>
      </c>
      <c r="C1214" s="5" t="s">
        <v>2442</v>
      </c>
      <c r="D1214" s="7">
        <f>IFERROR(__xludf.DUMMYFUNCTION("GOOGLEFINANCE(""ASX:JBH"", ""price"")"),92.4)</f>
        <v>92.4</v>
      </c>
      <c r="E1214" s="8">
        <f>IFERROR(__xludf.DUMMYFUNCTION("GOOGLEFINANCE(""ASX:JBH"", ""closeyest"")"),93.99)</f>
        <v>93.99</v>
      </c>
      <c r="F1214" s="9">
        <f>IFERROR(__xludf.DUMMYFUNCTION("GOOGLEFINANCE(""ASX:JBH"", ""pe"")"),21.92)</f>
        <v>21.92</v>
      </c>
      <c r="G1214" s="9">
        <f>IFERROR(__xludf.DUMMYFUNCTION("GOOGLEFINANCE(""ASX:JBH"", ""high52"")"),121.0)</f>
        <v>121</v>
      </c>
      <c r="H1214" s="9">
        <f>IFERROR(__xludf.DUMMYFUNCTION("GOOGLEFINANCE(""ASX:JBH"", ""low52"")"),83.32)</f>
        <v>83.32</v>
      </c>
      <c r="I1214" s="9">
        <f>IFERROR(__xludf.DUMMYFUNCTION("GOOGLEFINANCE(""ASX:JBH"", ""marketcap"")"),1.0102452526E10)</f>
        <v>10102452526</v>
      </c>
      <c r="J1214" s="5"/>
      <c r="K1214" s="5"/>
      <c r="L1214" s="5"/>
      <c r="M1214" s="5"/>
      <c r="N1214" s="10">
        <v>22.83</v>
      </c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>
      <c r="A1215" s="6" t="s">
        <v>2443</v>
      </c>
      <c r="B1215" s="6" t="s">
        <v>2444</v>
      </c>
      <c r="C1215" s="5" t="s">
        <v>184</v>
      </c>
      <c r="D1215" s="7">
        <f>IFERROR(__xludf.DUMMYFUNCTION("GOOGLEFINANCE(""ASX:JCS"", ""price"")"),0.04)</f>
        <v>0.04</v>
      </c>
      <c r="E1215" s="8">
        <f>IFERROR(__xludf.DUMMYFUNCTION("GOOGLEFINANCE(""ASX:JCS"", ""closeyest"")"),0.04)</f>
        <v>0.04</v>
      </c>
      <c r="F1215" s="5" t="str">
        <f>IFERROR(__xludf.DUMMYFUNCTION("GOOGLEFINANCE(""ASX:JCS"", ""pe"")"),"#N/A")</f>
        <v>#N/A</v>
      </c>
      <c r="G1215" s="9">
        <f>IFERROR(__xludf.DUMMYFUNCTION("GOOGLEFINANCE(""ASX:JCS"", ""high52"")"),0.06)</f>
        <v>0.06</v>
      </c>
      <c r="H1215" s="9">
        <f>IFERROR(__xludf.DUMMYFUNCTION("GOOGLEFINANCE(""ASX:JCS"", ""low52"")"),0.02)</f>
        <v>0.02</v>
      </c>
      <c r="I1215" s="9">
        <f>IFERROR(__xludf.DUMMYFUNCTION("GOOGLEFINANCE(""ASX:JCS"", ""marketcap"")"),1.3054322E7)</f>
        <v>13054322</v>
      </c>
      <c r="J1215" s="5"/>
      <c r="K1215" s="5"/>
      <c r="L1215" s="5"/>
      <c r="M1215" s="5"/>
      <c r="N1215" s="11" t="s">
        <v>19</v>
      </c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>
      <c r="A1216" s="6" t="s">
        <v>2445</v>
      </c>
      <c r="B1216" s="6" t="s">
        <v>2446</v>
      </c>
      <c r="C1216" s="5" t="s">
        <v>413</v>
      </c>
      <c r="D1216" s="7">
        <f>IFERROR(__xludf.DUMMYFUNCTION("GOOGLEFINANCE(""ASX:JDO"", ""price"")"),1.75)</f>
        <v>1.75</v>
      </c>
      <c r="E1216" s="8">
        <f>IFERROR(__xludf.DUMMYFUNCTION("GOOGLEFINANCE(""ASX:JDO"", ""closeyest"")"),1.73)</f>
        <v>1.73</v>
      </c>
      <c r="F1216" s="9">
        <f>IFERROR(__xludf.DUMMYFUNCTION("GOOGLEFINANCE(""ASX:JDO"", ""pe"")"),24.65)</f>
        <v>24.65</v>
      </c>
      <c r="G1216" s="9">
        <f>IFERROR(__xludf.DUMMYFUNCTION("GOOGLEFINANCE(""ASX:JDO"", ""high52"")"),2.22)</f>
        <v>2.22</v>
      </c>
      <c r="H1216" s="9">
        <f>IFERROR(__xludf.DUMMYFUNCTION("GOOGLEFINANCE(""ASX:JDO"", ""low52"")"),1.35)</f>
        <v>1.35</v>
      </c>
      <c r="I1216" s="9">
        <f>IFERROR(__xludf.DUMMYFUNCTION("GOOGLEFINANCE(""ASX:JDO"", ""marketcap"")"),1.9563775E9)</f>
        <v>1956377500</v>
      </c>
      <c r="J1216" s="5"/>
      <c r="K1216" s="5"/>
      <c r="L1216" s="5"/>
      <c r="M1216" s="5"/>
      <c r="N1216" s="10">
        <v>25.36</v>
      </c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>
      <c r="A1217" s="6" t="s">
        <v>2447</v>
      </c>
      <c r="B1217" s="6" t="s">
        <v>2448</v>
      </c>
      <c r="C1217" s="5" t="s">
        <v>36</v>
      </c>
      <c r="D1217" s="7">
        <f>IFERROR(__xludf.DUMMYFUNCTION("GOOGLEFINANCE(""ASX:JEGA"", ""price"")"),49.8)</f>
        <v>49.8</v>
      </c>
      <c r="E1217" s="8">
        <f>IFERROR(__xludf.DUMMYFUNCTION("GOOGLEFINANCE(""ASX:JEGA"", ""closeyest"")"),49.39)</f>
        <v>49.39</v>
      </c>
      <c r="F1217" s="5" t="str">
        <f>IFERROR(__xludf.DUMMYFUNCTION("GOOGLEFINANCE(""ASX:JEGA"", ""pe"")"),"#N/A")</f>
        <v>#N/A</v>
      </c>
      <c r="G1217" s="9">
        <f>IFERROR(__xludf.DUMMYFUNCTION("GOOGLEFINANCE(""ASX:JEGA"", ""high52"")"),57.0)</f>
        <v>57</v>
      </c>
      <c r="H1217" s="9">
        <f>IFERROR(__xludf.DUMMYFUNCTION("GOOGLEFINANCE(""ASX:JEGA"", ""low52"")"),49.15)</f>
        <v>49.15</v>
      </c>
      <c r="I1217" s="9" t="str">
        <f>IFERROR(__xludf.DUMMYFUNCTION("GOOGLEFINANCE(""ASX:JEGA"", ""marketcap"")"),"#N/A")</f>
        <v>#N/A</v>
      </c>
      <c r="J1217" s="5"/>
      <c r="K1217" s="5"/>
      <c r="L1217" s="5"/>
      <c r="M1217" s="5"/>
      <c r="N1217" s="11" t="s">
        <v>19</v>
      </c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>
      <c r="A1218" s="6" t="s">
        <v>2449</v>
      </c>
      <c r="B1218" s="6" t="s">
        <v>2450</v>
      </c>
      <c r="C1218" s="5" t="s">
        <v>36</v>
      </c>
      <c r="D1218" s="7">
        <f>IFERROR(__xludf.DUMMYFUNCTION("GOOGLEFINANCE(""ASX:JEME"", ""price"")"),72.27)</f>
        <v>72.27</v>
      </c>
      <c r="E1218" s="8">
        <f>IFERROR(__xludf.DUMMYFUNCTION("GOOGLEFINANCE(""ASX:JEME"", ""closeyest"")"),72.27)</f>
        <v>72.27</v>
      </c>
      <c r="F1218" s="5" t="str">
        <f>IFERROR(__xludf.DUMMYFUNCTION("GOOGLEFINANCE(""ASX:JEME"", ""pe"")"),"#N/A")</f>
        <v>#N/A</v>
      </c>
      <c r="G1218" s="9">
        <f>IFERROR(__xludf.DUMMYFUNCTION("GOOGLEFINANCE(""ASX:JEME"", ""high52"")"),73.34)</f>
        <v>73.34</v>
      </c>
      <c r="H1218" s="9">
        <f>IFERROR(__xludf.DUMMYFUNCTION("GOOGLEFINANCE(""ASX:JEME"", ""low52"")"),68.77)</f>
        <v>68.77</v>
      </c>
      <c r="I1218" s="9" t="str">
        <f>IFERROR(__xludf.DUMMYFUNCTION("GOOGLEFINANCE(""ASX:JEME"", ""marketcap"")"),"#N/A")</f>
        <v>#N/A</v>
      </c>
      <c r="J1218" s="5"/>
      <c r="K1218" s="5"/>
      <c r="L1218" s="5"/>
      <c r="M1218" s="5"/>
      <c r="N1218" s="11" t="s">
        <v>19</v>
      </c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>
      <c r="A1219" s="6" t="s">
        <v>2451</v>
      </c>
      <c r="B1219" s="6" t="s">
        <v>2452</v>
      </c>
      <c r="C1219" s="5" t="s">
        <v>36</v>
      </c>
      <c r="D1219" s="7" t="str">
        <f>IFERROR(__xludf.DUMMYFUNCTION("GOOGLEFINANCE(""ASX:JEPI"", ""price"")"),"#N/A")</f>
        <v>#N/A</v>
      </c>
      <c r="E1219" s="8" t="str">
        <f>IFERROR(__xludf.DUMMYFUNCTION("GOOGLEFINANCE(""ASX:JEPI"", ""closeyest"")"),"#N/A")</f>
        <v>#N/A</v>
      </c>
      <c r="F1219" s="5" t="str">
        <f>IFERROR(__xludf.DUMMYFUNCTION("GOOGLEFINANCE(""ASX:JEPI"", ""pe"")"),"#N/A")</f>
        <v>#N/A</v>
      </c>
      <c r="G1219" s="5" t="str">
        <f>IFERROR(__xludf.DUMMYFUNCTION("GOOGLEFINANCE(""ASX:JEPI"", ""high52"")"),"#N/A")</f>
        <v>#N/A</v>
      </c>
      <c r="H1219" s="5" t="str">
        <f>IFERROR(__xludf.DUMMYFUNCTION("GOOGLEFINANCE(""ASX:JEPI"", ""low52"")"),"#N/A")</f>
        <v>#N/A</v>
      </c>
      <c r="I1219" s="9" t="str">
        <f>IFERROR(__xludf.DUMMYFUNCTION("GOOGLEFINANCE(""ASX:JEPI"", ""marketcap"")"),"#N/A")</f>
        <v>#N/A</v>
      </c>
      <c r="J1219" s="12">
        <v>51.87</v>
      </c>
      <c r="K1219" s="12">
        <v>51.72</v>
      </c>
      <c r="L1219" s="12">
        <v>58.2</v>
      </c>
      <c r="M1219" s="12">
        <v>49.68</v>
      </c>
      <c r="N1219" s="11" t="s">
        <v>19</v>
      </c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>
      <c r="A1220" s="6" t="s">
        <v>2453</v>
      </c>
      <c r="B1220" s="6" t="s">
        <v>2454</v>
      </c>
      <c r="C1220" s="5" t="s">
        <v>78</v>
      </c>
      <c r="D1220" s="7">
        <f>IFERROR(__xludf.DUMMYFUNCTION("GOOGLEFINANCE(""ASX:JGH"", ""price"")"),0.03)</f>
        <v>0.03</v>
      </c>
      <c r="E1220" s="8">
        <f>IFERROR(__xludf.DUMMYFUNCTION("GOOGLEFINANCE(""ASX:JGH"", ""closeyest"")"),0.03)</f>
        <v>0.03</v>
      </c>
      <c r="F1220" s="5" t="str">
        <f>IFERROR(__xludf.DUMMYFUNCTION("GOOGLEFINANCE(""ASX:JGH"", ""pe"")"),"#N/A")</f>
        <v>#N/A</v>
      </c>
      <c r="G1220" s="9">
        <f>IFERROR(__xludf.DUMMYFUNCTION("GOOGLEFINANCE(""ASX:JGH"", ""high52"")"),0.05)</f>
        <v>0.05</v>
      </c>
      <c r="H1220" s="9">
        <f>IFERROR(__xludf.DUMMYFUNCTION("GOOGLEFINANCE(""ASX:JGH"", ""low52"")"),0.03)</f>
        <v>0.03</v>
      </c>
      <c r="I1220" s="9">
        <f>IFERROR(__xludf.DUMMYFUNCTION("GOOGLEFINANCE(""ASX:JGH"", ""marketcap"")"),5.8853638E7)</f>
        <v>58853638</v>
      </c>
      <c r="J1220" s="5"/>
      <c r="K1220" s="5"/>
      <c r="L1220" s="5"/>
      <c r="M1220" s="5"/>
      <c r="N1220" s="11" t="s">
        <v>19</v>
      </c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>
      <c r="A1221" s="6" t="s">
        <v>2455</v>
      </c>
      <c r="B1221" s="6" t="s">
        <v>2456</v>
      </c>
      <c r="C1221" s="5" t="s">
        <v>36</v>
      </c>
      <c r="D1221" s="7">
        <f>IFERROR(__xludf.DUMMYFUNCTION("GOOGLEFINANCE(""ASX:JGLO"", ""price"")"),59.91)</f>
        <v>59.91</v>
      </c>
      <c r="E1221" s="8">
        <f>IFERROR(__xludf.DUMMYFUNCTION("GOOGLEFINANCE(""ASX:JGLO"", ""closeyest"")"),60.05)</f>
        <v>60.05</v>
      </c>
      <c r="F1221" s="5" t="str">
        <f>IFERROR(__xludf.DUMMYFUNCTION("GOOGLEFINANCE(""ASX:JGLO"", ""pe"")"),"#N/A")</f>
        <v>#N/A</v>
      </c>
      <c r="G1221" s="9">
        <f>IFERROR(__xludf.DUMMYFUNCTION("GOOGLEFINANCE(""ASX:JGLO"", ""high52"")"),61.0)</f>
        <v>61</v>
      </c>
      <c r="H1221" s="9">
        <f>IFERROR(__xludf.DUMMYFUNCTION("GOOGLEFINANCE(""ASX:JGLO"", ""low52"")"),50.03)</f>
        <v>50.03</v>
      </c>
      <c r="I1221" s="9" t="str">
        <f>IFERROR(__xludf.DUMMYFUNCTION("GOOGLEFINANCE(""ASX:JGLO"", ""marketcap"")"),"#N/A")</f>
        <v>#N/A</v>
      </c>
      <c r="J1221" s="5"/>
      <c r="K1221" s="5"/>
      <c r="L1221" s="5"/>
      <c r="M1221" s="5"/>
      <c r="N1221" s="11" t="s">
        <v>19</v>
      </c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>
      <c r="A1222" s="6" t="s">
        <v>2457</v>
      </c>
      <c r="B1222" s="6" t="s">
        <v>2458</v>
      </c>
      <c r="C1222" s="5" t="s">
        <v>36</v>
      </c>
      <c r="D1222" s="7">
        <f>IFERROR(__xludf.DUMMYFUNCTION("GOOGLEFINANCE(""ASX:JHGA"", ""price"")"),49.84)</f>
        <v>49.84</v>
      </c>
      <c r="E1222" s="8">
        <f>IFERROR(__xludf.DUMMYFUNCTION("GOOGLEFINANCE(""ASX:JHGA"", ""closeyest"")"),49.84)</f>
        <v>49.84</v>
      </c>
      <c r="F1222" s="5" t="str">
        <f>IFERROR(__xludf.DUMMYFUNCTION("GOOGLEFINANCE(""ASX:JHGA"", ""pe"")"),"#N/A")</f>
        <v>#N/A</v>
      </c>
      <c r="G1222" s="9">
        <f>IFERROR(__xludf.DUMMYFUNCTION("GOOGLEFINANCE(""ASX:JHGA"", ""high52"")"),53.6)</f>
        <v>53.6</v>
      </c>
      <c r="H1222" s="9">
        <f>IFERROR(__xludf.DUMMYFUNCTION("GOOGLEFINANCE(""ASX:JHGA"", ""low52"")"),47.94)</f>
        <v>47.94</v>
      </c>
      <c r="I1222" s="9" t="str">
        <f>IFERROR(__xludf.DUMMYFUNCTION("GOOGLEFINANCE(""ASX:JHGA"", ""marketcap"")"),"#N/A")</f>
        <v>#N/A</v>
      </c>
      <c r="J1222" s="5"/>
      <c r="K1222" s="5"/>
      <c r="L1222" s="5"/>
      <c r="M1222" s="5"/>
      <c r="N1222" s="11" t="s">
        <v>19</v>
      </c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>
      <c r="A1223" s="6" t="s">
        <v>2459</v>
      </c>
      <c r="B1223" s="6" t="s">
        <v>2460</v>
      </c>
      <c r="C1223" s="5" t="s">
        <v>36</v>
      </c>
      <c r="D1223" s="7">
        <f>IFERROR(__xludf.DUMMYFUNCTION("GOOGLEFINANCE(""ASX:JHLO"", ""price"")"),59.96)</f>
        <v>59.96</v>
      </c>
      <c r="E1223" s="8">
        <f>IFERROR(__xludf.DUMMYFUNCTION("GOOGLEFINANCE(""ASX:JHLO"", ""closeyest"")"),59.96)</f>
        <v>59.96</v>
      </c>
      <c r="F1223" s="5" t="str">
        <f>IFERROR(__xludf.DUMMYFUNCTION("GOOGLEFINANCE(""ASX:JHLO"", ""pe"")"),"#N/A")</f>
        <v>#N/A</v>
      </c>
      <c r="G1223" s="9">
        <f>IFERROR(__xludf.DUMMYFUNCTION("GOOGLEFINANCE(""ASX:JHLO"", ""high52"")"),61.0)</f>
        <v>61</v>
      </c>
      <c r="H1223" s="9">
        <f>IFERROR(__xludf.DUMMYFUNCTION("GOOGLEFINANCE(""ASX:JHLO"", ""low52"")"),46.0)</f>
        <v>46</v>
      </c>
      <c r="I1223" s="9" t="str">
        <f>IFERROR(__xludf.DUMMYFUNCTION("GOOGLEFINANCE(""ASX:JHLO"", ""marketcap"")"),"#N/A")</f>
        <v>#N/A</v>
      </c>
      <c r="J1223" s="5"/>
      <c r="K1223" s="5"/>
      <c r="L1223" s="5"/>
      <c r="M1223" s="5"/>
      <c r="N1223" s="11" t="s">
        <v>19</v>
      </c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>
      <c r="A1224" s="6" t="s">
        <v>2461</v>
      </c>
      <c r="B1224" s="6" t="s">
        <v>2462</v>
      </c>
      <c r="C1224" s="5" t="s">
        <v>36</v>
      </c>
      <c r="D1224" s="7" t="str">
        <f>IFERROR(__xludf.DUMMYFUNCTION("GOOGLEFINANCE(""ASX:JHPI"", ""price"")"),"#N/A")</f>
        <v>#N/A</v>
      </c>
      <c r="E1224" s="8" t="str">
        <f>IFERROR(__xludf.DUMMYFUNCTION("GOOGLEFINANCE(""ASX:JHPI"", ""closeyest"")"),"#N/A")</f>
        <v>#N/A</v>
      </c>
      <c r="F1224" s="5" t="str">
        <f>IFERROR(__xludf.DUMMYFUNCTION("GOOGLEFINANCE(""ASX:JHPI"", ""pe"")"),"#N/A")</f>
        <v>#N/A</v>
      </c>
      <c r="G1224" s="5" t="str">
        <f>IFERROR(__xludf.DUMMYFUNCTION("GOOGLEFINANCE(""ASX:JHPI"", ""high52"")"),"#N/A")</f>
        <v>#N/A</v>
      </c>
      <c r="H1224" s="5" t="str">
        <f>IFERROR(__xludf.DUMMYFUNCTION("GOOGLEFINANCE(""ASX:JHPI"", ""low52"")"),"#N/A")</f>
        <v>#N/A</v>
      </c>
      <c r="I1224" s="9" t="str">
        <f>IFERROR(__xludf.DUMMYFUNCTION("GOOGLEFINANCE(""ASX:JHPI"", ""marketcap"")"),"#N/A")</f>
        <v>#N/A</v>
      </c>
      <c r="J1224" s="12">
        <v>52.04</v>
      </c>
      <c r="K1224" s="12">
        <v>51.1</v>
      </c>
      <c r="L1224" s="12">
        <v>54.1</v>
      </c>
      <c r="M1224" s="12">
        <v>45.31</v>
      </c>
      <c r="N1224" s="11" t="s">
        <v>19</v>
      </c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>
      <c r="A1225" s="6" t="s">
        <v>2463</v>
      </c>
      <c r="B1225" s="6" t="s">
        <v>2464</v>
      </c>
      <c r="C1225" s="5" t="s">
        <v>961</v>
      </c>
      <c r="D1225" s="7">
        <f>IFERROR(__xludf.DUMMYFUNCTION("GOOGLEFINANCE(""ASX:JHX"", ""price"")"),31.95)</f>
        <v>31.95</v>
      </c>
      <c r="E1225" s="8">
        <f>IFERROR(__xludf.DUMMYFUNCTION("GOOGLEFINANCE(""ASX:JHX"", ""closeyest"")"),31.35)</f>
        <v>31.35</v>
      </c>
      <c r="F1225" s="9">
        <f>IFERROR(__xludf.DUMMYFUNCTION("GOOGLEFINANCE(""ASX:JHX"", ""pe"")"),44.67)</f>
        <v>44.67</v>
      </c>
      <c r="G1225" s="9">
        <f>IFERROR(__xludf.DUMMYFUNCTION("GOOGLEFINANCE(""ASX:JHX"", ""high52"")"),55.18)</f>
        <v>55.18</v>
      </c>
      <c r="H1225" s="9">
        <f>IFERROR(__xludf.DUMMYFUNCTION("GOOGLEFINANCE(""ASX:JHX"", ""low52"")"),24.41)</f>
        <v>24.41</v>
      </c>
      <c r="I1225" s="9">
        <f>IFERROR(__xludf.DUMMYFUNCTION("GOOGLEFINANCE(""ASX:JHX"", ""marketcap"")"),1.8702201326E10)</f>
        <v>18702201326</v>
      </c>
      <c r="J1225" s="5"/>
      <c r="K1225" s="5"/>
      <c r="L1225" s="5"/>
      <c r="M1225" s="5"/>
      <c r="N1225" s="10">
        <v>43.06</v>
      </c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>
      <c r="A1226" s="6" t="s">
        <v>2465</v>
      </c>
      <c r="B1226" s="6" t="s">
        <v>2466</v>
      </c>
      <c r="C1226" s="5" t="s">
        <v>259</v>
      </c>
      <c r="D1226" s="7">
        <f>IFERROR(__xludf.DUMMYFUNCTION("GOOGLEFINANCE(""ASX:JIN"", ""price"")"),10.93)</f>
        <v>10.93</v>
      </c>
      <c r="E1226" s="8">
        <f>IFERROR(__xludf.DUMMYFUNCTION("GOOGLEFINANCE(""ASX:JIN"", ""closeyest"")"),10.76)</f>
        <v>10.76</v>
      </c>
      <c r="F1226" s="9">
        <f>IFERROR(__xludf.DUMMYFUNCTION("GOOGLEFINANCE(""ASX:JIN"", ""pe"")"),17.1)</f>
        <v>17.1</v>
      </c>
      <c r="G1226" s="9">
        <f>IFERROR(__xludf.DUMMYFUNCTION("GOOGLEFINANCE(""ASX:JIN"", ""high52"")"),14.16)</f>
        <v>14.16</v>
      </c>
      <c r="H1226" s="9">
        <f>IFERROR(__xludf.DUMMYFUNCTION("GOOGLEFINANCE(""ASX:JIN"", ""low52"")"),9.38)</f>
        <v>9.38</v>
      </c>
      <c r="I1226" s="9">
        <f>IFERROR(__xludf.DUMMYFUNCTION("GOOGLEFINANCE(""ASX:JIN"", ""marketcap"")"),6.92605154E8)</f>
        <v>692605154</v>
      </c>
      <c r="J1226" s="5"/>
      <c r="K1226" s="5"/>
      <c r="L1226" s="5"/>
      <c r="M1226" s="5"/>
      <c r="N1226" s="10">
        <v>17.82</v>
      </c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>
      <c r="A1227" s="6" t="s">
        <v>2467</v>
      </c>
      <c r="B1227" s="6" t="s">
        <v>2468</v>
      </c>
      <c r="C1227" s="5" t="s">
        <v>18</v>
      </c>
      <c r="D1227" s="7">
        <f>IFERROR(__xludf.DUMMYFUNCTION("GOOGLEFINANCE(""ASX:JLL"", ""price"")"),0.56)</f>
        <v>0.56</v>
      </c>
      <c r="E1227" s="8">
        <f>IFERROR(__xludf.DUMMYFUNCTION("GOOGLEFINANCE(""ASX:JLL"", ""closeyest"")"),0.58)</f>
        <v>0.58</v>
      </c>
      <c r="F1227" s="5" t="str">
        <f>IFERROR(__xludf.DUMMYFUNCTION("GOOGLEFINANCE(""ASX:JLL"", ""pe"")"),"#N/A")</f>
        <v>#N/A</v>
      </c>
      <c r="G1227" s="9">
        <f>IFERROR(__xludf.DUMMYFUNCTION("GOOGLEFINANCE(""ASX:JLL"", ""high52"")"),1.01)</f>
        <v>1.01</v>
      </c>
      <c r="H1227" s="9">
        <f>IFERROR(__xludf.DUMMYFUNCTION("GOOGLEFINANCE(""ASX:JLL"", ""low52"")"),0.19)</f>
        <v>0.19</v>
      </c>
      <c r="I1227" s="9">
        <f>IFERROR(__xludf.DUMMYFUNCTION("GOOGLEFINANCE(""ASX:JLL"", ""marketcap"")"),5.7870407E7)</f>
        <v>57870407</v>
      </c>
      <c r="J1227" s="5"/>
      <c r="K1227" s="5"/>
      <c r="L1227" s="5"/>
      <c r="M1227" s="5"/>
      <c r="N1227" s="11" t="s">
        <v>19</v>
      </c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>
      <c r="A1228" s="6" t="s">
        <v>2469</v>
      </c>
      <c r="B1228" s="6" t="s">
        <v>2470</v>
      </c>
      <c r="C1228" s="5" t="s">
        <v>39</v>
      </c>
      <c r="D1228" s="7">
        <f>IFERROR(__xludf.DUMMYFUNCTION("GOOGLEFINANCE(""ASX:JMS"", ""price"")"),0.28)</f>
        <v>0.28</v>
      </c>
      <c r="E1228" s="8">
        <f>IFERROR(__xludf.DUMMYFUNCTION("GOOGLEFINANCE(""ASX:JMS"", ""closeyest"")"),0.28)</f>
        <v>0.28</v>
      </c>
      <c r="F1228" s="9">
        <f>IFERROR(__xludf.DUMMYFUNCTION("GOOGLEFINANCE(""ASX:JMS"", ""pe"")"),14.02)</f>
        <v>14.02</v>
      </c>
      <c r="G1228" s="9">
        <f>IFERROR(__xludf.DUMMYFUNCTION("GOOGLEFINANCE(""ASX:JMS"", ""high52"")"),0.28)</f>
        <v>0.28</v>
      </c>
      <c r="H1228" s="9">
        <f>IFERROR(__xludf.DUMMYFUNCTION("GOOGLEFINANCE(""ASX:JMS"", ""low52"")"),0.13)</f>
        <v>0.13</v>
      </c>
      <c r="I1228" s="9">
        <f>IFERROR(__xludf.DUMMYFUNCTION("GOOGLEFINANCE(""ASX:JMS"", ""marketcap"")"),5.50262603E8)</f>
        <v>550262603</v>
      </c>
      <c r="J1228" s="5"/>
      <c r="K1228" s="5"/>
      <c r="L1228" s="5"/>
      <c r="M1228" s="5"/>
      <c r="N1228" s="10">
        <v>13.53</v>
      </c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>
      <c r="A1229" s="6" t="s">
        <v>2471</v>
      </c>
      <c r="B1229" s="6" t="s">
        <v>2472</v>
      </c>
      <c r="C1229" s="5" t="s">
        <v>36</v>
      </c>
      <c r="D1229" s="7">
        <f>IFERROR(__xludf.DUMMYFUNCTION("GOOGLEFINANCE(""ASX:JNDQ"", ""price"")"),19.73)</f>
        <v>19.73</v>
      </c>
      <c r="E1229" s="8">
        <f>IFERROR(__xludf.DUMMYFUNCTION("GOOGLEFINANCE(""ASX:JNDQ"", ""closeyest"")"),19.44)</f>
        <v>19.44</v>
      </c>
      <c r="F1229" s="5" t="str">
        <f>IFERROR(__xludf.DUMMYFUNCTION("GOOGLEFINANCE(""ASX:JNDQ"", ""pe"")"),"#N/A")</f>
        <v>#N/A</v>
      </c>
      <c r="G1229" s="9">
        <f>IFERROR(__xludf.DUMMYFUNCTION("GOOGLEFINANCE(""ASX:JNDQ"", ""high52"")"),19.81)</f>
        <v>19.81</v>
      </c>
      <c r="H1229" s="9">
        <f>IFERROR(__xludf.DUMMYFUNCTION("GOOGLEFINANCE(""ASX:JNDQ"", ""low52"")"),14.7)</f>
        <v>14.7</v>
      </c>
      <c r="I1229" s="9" t="str">
        <f>IFERROR(__xludf.DUMMYFUNCTION("GOOGLEFINANCE(""ASX:JNDQ"", ""marketcap"")"),"#N/A")</f>
        <v>#N/A</v>
      </c>
      <c r="J1229" s="5"/>
      <c r="K1229" s="5"/>
      <c r="L1229" s="5"/>
      <c r="M1229" s="5"/>
      <c r="N1229" s="11" t="s">
        <v>19</v>
      </c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>
      <c r="A1230" s="6" t="s">
        <v>2473</v>
      </c>
      <c r="B1230" s="6" t="s">
        <v>2474</v>
      </c>
      <c r="C1230" s="5" t="s">
        <v>212</v>
      </c>
      <c r="D1230" s="7">
        <f>IFERROR(__xludf.DUMMYFUNCTION("GOOGLEFINANCE(""ASX:JNO"", ""price"")"),0.04)</f>
        <v>0.04</v>
      </c>
      <c r="E1230" s="8">
        <f>IFERROR(__xludf.DUMMYFUNCTION("GOOGLEFINANCE(""ASX:JNO"", ""closeyest"")"),0.04)</f>
        <v>0.04</v>
      </c>
      <c r="F1230" s="5" t="str">
        <f>IFERROR(__xludf.DUMMYFUNCTION("GOOGLEFINANCE(""ASX:JNO"", ""pe"")"),"#N/A")</f>
        <v>#N/A</v>
      </c>
      <c r="G1230" s="9">
        <f>IFERROR(__xludf.DUMMYFUNCTION("GOOGLEFINANCE(""ASX:JNO"", ""high52"")"),0.05)</f>
        <v>0.05</v>
      </c>
      <c r="H1230" s="9">
        <f>IFERROR(__xludf.DUMMYFUNCTION("GOOGLEFINANCE(""ASX:JNO"", ""low52"")"),0.02)</f>
        <v>0.02</v>
      </c>
      <c r="I1230" s="9">
        <f>IFERROR(__xludf.DUMMYFUNCTION("GOOGLEFINANCE(""ASX:JNO"", ""marketcap"")"),8257893.0)</f>
        <v>8257893</v>
      </c>
      <c r="J1230" s="5"/>
      <c r="K1230" s="5"/>
      <c r="L1230" s="5"/>
      <c r="M1230" s="5"/>
      <c r="N1230" s="11" t="s">
        <v>19</v>
      </c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>
      <c r="A1231" s="6" t="s">
        <v>2473</v>
      </c>
      <c r="B1231" s="6" t="s">
        <v>2474</v>
      </c>
      <c r="C1231" s="5" t="s">
        <v>212</v>
      </c>
      <c r="D1231" s="7">
        <f>IFERROR(__xludf.DUMMYFUNCTION("GOOGLEFINANCE(""ASX:JNO"", ""price"")"),0.04)</f>
        <v>0.04</v>
      </c>
      <c r="E1231" s="8">
        <f>IFERROR(__xludf.DUMMYFUNCTION("GOOGLEFINANCE(""ASX:JNO"", ""closeyest"")"),0.04)</f>
        <v>0.04</v>
      </c>
      <c r="F1231" s="5" t="str">
        <f>IFERROR(__xludf.DUMMYFUNCTION("GOOGLEFINANCE(""ASX:JNO"", ""pe"")"),"#N/A")</f>
        <v>#N/A</v>
      </c>
      <c r="G1231" s="9">
        <f>IFERROR(__xludf.DUMMYFUNCTION("GOOGLEFINANCE(""ASX:JNO"", ""high52"")"),0.05)</f>
        <v>0.05</v>
      </c>
      <c r="H1231" s="9">
        <f>IFERROR(__xludf.DUMMYFUNCTION("GOOGLEFINANCE(""ASX:JNO"", ""low52"")"),0.02)</f>
        <v>0.02</v>
      </c>
      <c r="I1231" s="9">
        <f>IFERROR(__xludf.DUMMYFUNCTION("GOOGLEFINANCE(""ASX:JNO"", ""marketcap"")"),8257893.0)</f>
        <v>8257893</v>
      </c>
      <c r="J1231" s="5"/>
      <c r="K1231" s="5"/>
      <c r="L1231" s="5"/>
      <c r="M1231" s="5"/>
      <c r="N1231" s="11" t="s">
        <v>19</v>
      </c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>
      <c r="A1232" s="6" t="s">
        <v>2475</v>
      </c>
      <c r="B1232" s="6" t="s">
        <v>2476</v>
      </c>
      <c r="C1232" s="5" t="s">
        <v>954</v>
      </c>
      <c r="D1232" s="7">
        <f>IFERROR(__xludf.DUMMYFUNCTION("GOOGLEFINANCE(""ASX:JNS"", ""price"")"),0.06)</f>
        <v>0.06</v>
      </c>
      <c r="E1232" s="8">
        <f>IFERROR(__xludf.DUMMYFUNCTION("GOOGLEFINANCE(""ASX:JNS"", ""closeyest"")"),0.06)</f>
        <v>0.06</v>
      </c>
      <c r="F1232" s="5" t="str">
        <f>IFERROR(__xludf.DUMMYFUNCTION("GOOGLEFINANCE(""ASX:JNS"", ""pe"")"),"#N/A")</f>
        <v>#N/A</v>
      </c>
      <c r="G1232" s="9">
        <f>IFERROR(__xludf.DUMMYFUNCTION("GOOGLEFINANCE(""ASX:JNS"", ""high52"")"),0.32)</f>
        <v>0.32</v>
      </c>
      <c r="H1232" s="9">
        <f>IFERROR(__xludf.DUMMYFUNCTION("GOOGLEFINANCE(""ASX:JNS"", ""low52"")"),0.05)</f>
        <v>0.05</v>
      </c>
      <c r="I1232" s="9">
        <f>IFERROR(__xludf.DUMMYFUNCTION("GOOGLEFINANCE(""ASX:JNS"", ""marketcap"")"),6359018.0)</f>
        <v>6359018</v>
      </c>
      <c r="J1232" s="5"/>
      <c r="K1232" s="5"/>
      <c r="L1232" s="5"/>
      <c r="M1232" s="5"/>
      <c r="N1232" s="11" t="s">
        <v>19</v>
      </c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>
      <c r="A1233" s="6" t="s">
        <v>2477</v>
      </c>
      <c r="B1233" s="6" t="s">
        <v>2478</v>
      </c>
      <c r="C1233" s="5" t="s">
        <v>36</v>
      </c>
      <c r="D1233" s="7" t="str">
        <f>IFERROR(__xludf.DUMMYFUNCTION("GOOGLEFINANCE(""ASX:JPEQ"", ""price"")"),"#N/A")</f>
        <v>#N/A</v>
      </c>
      <c r="E1233" s="8" t="str">
        <f>IFERROR(__xludf.DUMMYFUNCTION("GOOGLEFINANCE(""ASX:JPEQ"", ""closeyest"")"),"#N/A")</f>
        <v>#N/A</v>
      </c>
      <c r="F1233" s="5" t="str">
        <f>IFERROR(__xludf.DUMMYFUNCTION("GOOGLEFINANCE(""ASX:JPEQ"", ""pe"")"),"#N/A")</f>
        <v>#N/A</v>
      </c>
      <c r="G1233" s="5" t="str">
        <f>IFERROR(__xludf.DUMMYFUNCTION("GOOGLEFINANCE(""ASX:JPEQ"", ""high52"")"),"#N/A")</f>
        <v>#N/A</v>
      </c>
      <c r="H1233" s="5" t="str">
        <f>IFERROR(__xludf.DUMMYFUNCTION("GOOGLEFINANCE(""ASX:JPEQ"", ""low52"")"),"#N/A")</f>
        <v>#N/A</v>
      </c>
      <c r="I1233" s="9" t="str">
        <f>IFERROR(__xludf.DUMMYFUNCTION("GOOGLEFINANCE(""ASX:JPEQ"", ""marketcap"")"),"#N/A")</f>
        <v>#N/A</v>
      </c>
      <c r="J1233" s="12">
        <v>61.9</v>
      </c>
      <c r="K1233" s="12">
        <v>61.63</v>
      </c>
      <c r="L1233" s="12">
        <v>68.38</v>
      </c>
      <c r="M1233" s="12">
        <v>52.64</v>
      </c>
      <c r="N1233" s="11" t="s">
        <v>19</v>
      </c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>
      <c r="A1234" s="6" t="s">
        <v>2479</v>
      </c>
      <c r="B1234" s="6" t="s">
        <v>2480</v>
      </c>
      <c r="C1234" s="5" t="s">
        <v>36</v>
      </c>
      <c r="D1234" s="7" t="str">
        <f>IFERROR(__xludf.DUMMYFUNCTION("GOOGLEFINANCE(""ASX:JPHQ"", ""price"")"),"#N/A")</f>
        <v>#N/A</v>
      </c>
      <c r="E1234" s="8" t="str">
        <f>IFERROR(__xludf.DUMMYFUNCTION("GOOGLEFINANCE(""ASX:JPHQ"", ""closeyest"")"),"#N/A")</f>
        <v>#N/A</v>
      </c>
      <c r="F1234" s="5" t="str">
        <f>IFERROR(__xludf.DUMMYFUNCTION("GOOGLEFINANCE(""ASX:JPHQ"", ""pe"")"),"#N/A")</f>
        <v>#N/A</v>
      </c>
      <c r="G1234" s="5" t="str">
        <f>IFERROR(__xludf.DUMMYFUNCTION("GOOGLEFINANCE(""ASX:JPHQ"", ""high52"")"),"#N/A")</f>
        <v>#N/A</v>
      </c>
      <c r="H1234" s="5" t="str">
        <f>IFERROR(__xludf.DUMMYFUNCTION("GOOGLEFINANCE(""ASX:JPHQ"", ""low52"")"),"#N/A")</f>
        <v>#N/A</v>
      </c>
      <c r="I1234" s="9" t="str">
        <f>IFERROR(__xludf.DUMMYFUNCTION("GOOGLEFINANCE(""ASX:JPHQ"", ""marketcap"")"),"#N/A")</f>
        <v>#N/A</v>
      </c>
      <c r="J1234" s="12">
        <v>61.57</v>
      </c>
      <c r="K1234" s="12">
        <v>60.87</v>
      </c>
      <c r="L1234" s="12">
        <v>62.01</v>
      </c>
      <c r="M1234" s="12">
        <v>46.59</v>
      </c>
      <c r="N1234" s="11" t="s">
        <v>19</v>
      </c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>
      <c r="A1235" s="6" t="s">
        <v>2481</v>
      </c>
      <c r="B1235" s="6" t="s">
        <v>2482</v>
      </c>
      <c r="C1235" s="5" t="s">
        <v>78</v>
      </c>
      <c r="D1235" s="7">
        <f>IFERROR(__xludf.DUMMYFUNCTION("GOOGLEFINANCE(""ASX:JPR"", ""price"")"),0.03)</f>
        <v>0.03</v>
      </c>
      <c r="E1235" s="8">
        <f>IFERROR(__xludf.DUMMYFUNCTION("GOOGLEFINANCE(""ASX:JPR"", ""closeyest"")"),0.03)</f>
        <v>0.03</v>
      </c>
      <c r="F1235" s="5" t="str">
        <f>IFERROR(__xludf.DUMMYFUNCTION("GOOGLEFINANCE(""ASX:JPR"", ""pe"")"),"#N/A")</f>
        <v>#N/A</v>
      </c>
      <c r="G1235" s="9">
        <f>IFERROR(__xludf.DUMMYFUNCTION("GOOGLEFINANCE(""ASX:JPR"", ""high52"")"),0.04)</f>
        <v>0.04</v>
      </c>
      <c r="H1235" s="9">
        <f>IFERROR(__xludf.DUMMYFUNCTION("GOOGLEFINANCE(""ASX:JPR"", ""low52"")"),0.03)</f>
        <v>0.03</v>
      </c>
      <c r="I1235" s="9">
        <f>IFERROR(__xludf.DUMMYFUNCTION("GOOGLEFINANCE(""ASX:JPR"", ""marketcap"")"),3.201797E7)</f>
        <v>32017970</v>
      </c>
      <c r="J1235" s="5"/>
      <c r="K1235" s="5"/>
      <c r="L1235" s="5"/>
      <c r="M1235" s="5"/>
      <c r="N1235" s="11" t="s">
        <v>19</v>
      </c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>
      <c r="A1236" s="6" t="s">
        <v>2483</v>
      </c>
      <c r="B1236" s="6" t="s">
        <v>2484</v>
      </c>
      <c r="C1236" s="5" t="s">
        <v>36</v>
      </c>
      <c r="D1236" s="7" t="str">
        <f>IFERROR(__xludf.DUMMYFUNCTION("GOOGLEFINANCE(""ASX:JREG"", ""price"")"),"#N/A")</f>
        <v>#N/A</v>
      </c>
      <c r="E1236" s="8" t="str">
        <f>IFERROR(__xludf.DUMMYFUNCTION("GOOGLEFINANCE(""ASX:JREG"", ""closeyest"")"),"#N/A")</f>
        <v>#N/A</v>
      </c>
      <c r="F1236" s="5" t="str">
        <f>IFERROR(__xludf.DUMMYFUNCTION("GOOGLEFINANCE(""ASX:JREG"", ""pe"")"),"#N/A")</f>
        <v>#N/A</v>
      </c>
      <c r="G1236" s="5" t="str">
        <f>IFERROR(__xludf.DUMMYFUNCTION("GOOGLEFINANCE(""ASX:JREG"", ""high52"")"),"#N/A")</f>
        <v>#N/A</v>
      </c>
      <c r="H1236" s="5" t="str">
        <f>IFERROR(__xludf.DUMMYFUNCTION("GOOGLEFINANCE(""ASX:JREG"", ""low52"")"),"#N/A")</f>
        <v>#N/A</v>
      </c>
      <c r="I1236" s="9" t="str">
        <f>IFERROR(__xludf.DUMMYFUNCTION("GOOGLEFINANCE(""ASX:JREG"", ""marketcap"")"),"#N/A")</f>
        <v>#N/A</v>
      </c>
      <c r="J1236" s="12">
        <v>84.76</v>
      </c>
      <c r="K1236" s="12">
        <v>85.06</v>
      </c>
      <c r="L1236" s="12">
        <v>87.06</v>
      </c>
      <c r="M1236" s="12">
        <v>69.13</v>
      </c>
      <c r="N1236" s="11" t="s">
        <v>19</v>
      </c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>
      <c r="A1237" s="6" t="s">
        <v>2485</v>
      </c>
      <c r="B1237" s="6" t="s">
        <v>2486</v>
      </c>
      <c r="C1237" s="5" t="s">
        <v>36</v>
      </c>
      <c r="D1237" s="7" t="str">
        <f>IFERROR(__xludf.DUMMYFUNCTION("GOOGLEFINANCE(""ASX:JRHG"", ""price"")"),"#N/A")</f>
        <v>#N/A</v>
      </c>
      <c r="E1237" s="8" t="str">
        <f>IFERROR(__xludf.DUMMYFUNCTION("GOOGLEFINANCE(""ASX:JRHG"", ""closeyest"")"),"#N/A")</f>
        <v>#N/A</v>
      </c>
      <c r="F1237" s="5" t="str">
        <f>IFERROR(__xludf.DUMMYFUNCTION("GOOGLEFINANCE(""ASX:JRHG"", ""pe"")"),"#N/A")</f>
        <v>#N/A</v>
      </c>
      <c r="G1237" s="5" t="str">
        <f>IFERROR(__xludf.DUMMYFUNCTION("GOOGLEFINANCE(""ASX:JRHG"", ""high52"")"),"#N/A")</f>
        <v>#N/A</v>
      </c>
      <c r="H1237" s="5" t="str">
        <f>IFERROR(__xludf.DUMMYFUNCTION("GOOGLEFINANCE(""ASX:JRHG"", ""low52"")"),"#N/A")</f>
        <v>#N/A</v>
      </c>
      <c r="I1237" s="9" t="str">
        <f>IFERROR(__xludf.DUMMYFUNCTION("GOOGLEFINANCE(""ASX:JRHG"", ""marketcap"")"),"#N/A")</f>
        <v>#N/A</v>
      </c>
      <c r="J1237" s="12">
        <v>73.75</v>
      </c>
      <c r="K1237" s="12">
        <v>73.76</v>
      </c>
      <c r="L1237" s="12">
        <v>74.07</v>
      </c>
      <c r="M1237" s="12">
        <v>53.47</v>
      </c>
      <c r="N1237" s="11" t="s">
        <v>19</v>
      </c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>
      <c r="A1238" s="6" t="s">
        <v>2487</v>
      </c>
      <c r="B1238" s="6" t="s">
        <v>2488</v>
      </c>
      <c r="C1238" s="5" t="s">
        <v>197</v>
      </c>
      <c r="D1238" s="7">
        <f>IFERROR(__xludf.DUMMYFUNCTION("GOOGLEFINANCE(""ASX:JYC"", ""price"")"),5.43)</f>
        <v>5.43</v>
      </c>
      <c r="E1238" s="8">
        <f>IFERROR(__xludf.DUMMYFUNCTION("GOOGLEFINANCE(""ASX:JYC"", ""closeyest"")"),5.45)</f>
        <v>5.45</v>
      </c>
      <c r="F1238" s="9">
        <f>IFERROR(__xludf.DUMMYFUNCTION("GOOGLEFINANCE(""ASX:JYC"", ""pe"")"),22.0)</f>
        <v>22</v>
      </c>
      <c r="G1238" s="9">
        <f>IFERROR(__xludf.DUMMYFUNCTION("GOOGLEFINANCE(""ASX:JYC"", ""high52"")"),5.55)</f>
        <v>5.55</v>
      </c>
      <c r="H1238" s="9">
        <f>IFERROR(__xludf.DUMMYFUNCTION("GOOGLEFINANCE(""ASX:JYC"", ""low52"")"),4.18)</f>
        <v>4.18</v>
      </c>
      <c r="I1238" s="9">
        <f>IFERROR(__xludf.DUMMYFUNCTION("GOOGLEFINANCE(""ASX:JYC"", ""marketcap"")"),1.60561131E8)</f>
        <v>160561131</v>
      </c>
      <c r="J1238" s="5"/>
      <c r="K1238" s="5"/>
      <c r="L1238" s="5"/>
      <c r="M1238" s="5"/>
      <c r="N1238" s="10">
        <v>22.04</v>
      </c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>
      <c r="A1239" s="6" t="s">
        <v>2489</v>
      </c>
      <c r="B1239" s="6" t="s">
        <v>2490</v>
      </c>
      <c r="C1239" s="5" t="s">
        <v>36</v>
      </c>
      <c r="D1239" s="7" t="str">
        <f>IFERROR(__xludf.DUMMYFUNCTION("GOOGLEFINANCE(""ASX:JZRO"", ""price"")"),"#N/A")</f>
        <v>#N/A</v>
      </c>
      <c r="E1239" s="8" t="str">
        <f>IFERROR(__xludf.DUMMYFUNCTION("GOOGLEFINANCE(""ASX:JZRO"", ""closeyest"")"),"#N/A")</f>
        <v>#N/A</v>
      </c>
      <c r="F1239" s="5" t="str">
        <f>IFERROR(__xludf.DUMMYFUNCTION("GOOGLEFINANCE(""ASX:JZRO"", ""pe"")"),"#N/A")</f>
        <v>#N/A</v>
      </c>
      <c r="G1239" s="5" t="str">
        <f>IFERROR(__xludf.DUMMYFUNCTION("GOOGLEFINANCE(""ASX:JZRO"", ""high52"")"),"#N/A")</f>
        <v>#N/A</v>
      </c>
      <c r="H1239" s="5" t="str">
        <f>IFERROR(__xludf.DUMMYFUNCTION("GOOGLEFINANCE(""ASX:JZRO"", ""low52"")"),"#N/A")</f>
        <v>#N/A</v>
      </c>
      <c r="I1239" s="9" t="str">
        <f>IFERROR(__xludf.DUMMYFUNCTION("GOOGLEFINANCE(""ASX:JZRO"", ""marketcap"")"),"#N/A")</f>
        <v>#N/A</v>
      </c>
      <c r="J1239" s="12">
        <v>33.63</v>
      </c>
      <c r="K1239" s="12">
        <v>33.04</v>
      </c>
      <c r="L1239" s="12">
        <v>35.61</v>
      </c>
      <c r="M1239" s="12">
        <v>23.26</v>
      </c>
      <c r="N1239" s="11" t="s">
        <v>19</v>
      </c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>
      <c r="A1240" s="6" t="s">
        <v>2491</v>
      </c>
      <c r="B1240" s="6" t="s">
        <v>2492</v>
      </c>
      <c r="C1240" s="5" t="s">
        <v>88</v>
      </c>
      <c r="D1240" s="7">
        <f>IFERROR(__xludf.DUMMYFUNCTION("GOOGLEFINANCE(""ASX:KAI"", ""price"")"),0.04)</f>
        <v>0.04</v>
      </c>
      <c r="E1240" s="8">
        <f>IFERROR(__xludf.DUMMYFUNCTION("GOOGLEFINANCE(""ASX:KAI"", ""closeyest"")"),0.04)</f>
        <v>0.04</v>
      </c>
      <c r="F1240" s="5" t="str">
        <f>IFERROR(__xludf.DUMMYFUNCTION("GOOGLEFINANCE(""ASX:KAI"", ""pe"")"),"#N/A")</f>
        <v>#N/A</v>
      </c>
      <c r="G1240" s="9">
        <f>IFERROR(__xludf.DUMMYFUNCTION("GOOGLEFINANCE(""ASX:KAI"", ""high52"")"),0.05)</f>
        <v>0.05</v>
      </c>
      <c r="H1240" s="9">
        <f>IFERROR(__xludf.DUMMYFUNCTION("GOOGLEFINANCE(""ASX:KAI"", ""low52"")"),0.01)</f>
        <v>0.01</v>
      </c>
      <c r="I1240" s="9">
        <f>IFERROR(__xludf.DUMMYFUNCTION("GOOGLEFINANCE(""ASX:KAI"", ""marketcap"")"),1.21562756E8)</f>
        <v>121562756</v>
      </c>
      <c r="J1240" s="5"/>
      <c r="K1240" s="5"/>
      <c r="L1240" s="5"/>
      <c r="M1240" s="5"/>
      <c r="N1240" s="11" t="s">
        <v>19</v>
      </c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>
      <c r="A1241" s="6" t="s">
        <v>2493</v>
      </c>
      <c r="B1241" s="6" t="s">
        <v>2494</v>
      </c>
      <c r="C1241" s="5" t="s">
        <v>88</v>
      </c>
      <c r="D1241" s="7">
        <f>IFERROR(__xludf.DUMMYFUNCTION("GOOGLEFINANCE(""ASX:KAL"", ""price"")"),0.05)</f>
        <v>0.05</v>
      </c>
      <c r="E1241" s="8">
        <f>IFERROR(__xludf.DUMMYFUNCTION("GOOGLEFINANCE(""ASX:KAL"", ""closeyest"")"),0.05)</f>
        <v>0.05</v>
      </c>
      <c r="F1241" s="5" t="str">
        <f>IFERROR(__xludf.DUMMYFUNCTION("GOOGLEFINANCE(""ASX:KAL"", ""pe"")"),"#N/A")</f>
        <v>#N/A</v>
      </c>
      <c r="G1241" s="9">
        <f>IFERROR(__xludf.DUMMYFUNCTION("GOOGLEFINANCE(""ASX:KAL"", ""high52"")"),0.1)</f>
        <v>0.1</v>
      </c>
      <c r="H1241" s="9">
        <f>IFERROR(__xludf.DUMMYFUNCTION("GOOGLEFINANCE(""ASX:KAL"", ""low52"")"),0.01)</f>
        <v>0.01</v>
      </c>
      <c r="I1241" s="9">
        <f>IFERROR(__xludf.DUMMYFUNCTION("GOOGLEFINANCE(""ASX:KAL"", ""marketcap"")"),2.3245452E7)</f>
        <v>23245452</v>
      </c>
      <c r="J1241" s="9">
        <v>0.004</v>
      </c>
      <c r="K1241" s="9">
        <v>0.004</v>
      </c>
      <c r="L1241" s="9">
        <v>0.005</v>
      </c>
      <c r="M1241" s="9">
        <v>0.002</v>
      </c>
      <c r="N1241" s="11" t="s">
        <v>19</v>
      </c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>
      <c r="A1242" s="6" t="s">
        <v>2495</v>
      </c>
      <c r="B1242" s="6" t="s">
        <v>2496</v>
      </c>
      <c r="C1242" s="5" t="s">
        <v>171</v>
      </c>
      <c r="D1242" s="7">
        <f>IFERROR(__xludf.DUMMYFUNCTION("GOOGLEFINANCE(""ASX:KAM"", ""price"")"),0.08)</f>
        <v>0.08</v>
      </c>
      <c r="E1242" s="8">
        <f>IFERROR(__xludf.DUMMYFUNCTION("GOOGLEFINANCE(""ASX:KAM"", ""closeyest"")"),0.08)</f>
        <v>0.08</v>
      </c>
      <c r="F1242" s="9">
        <f>IFERROR(__xludf.DUMMYFUNCTION("GOOGLEFINANCE(""ASX:KAM"", ""pe"")"),55.94)</f>
        <v>55.94</v>
      </c>
      <c r="G1242" s="9">
        <f>IFERROR(__xludf.DUMMYFUNCTION("GOOGLEFINANCE(""ASX:KAM"", ""high52"")"),0.1)</f>
        <v>0.1</v>
      </c>
      <c r="H1242" s="9">
        <f>IFERROR(__xludf.DUMMYFUNCTION("GOOGLEFINANCE(""ASX:KAM"", ""low52"")"),0.05)</f>
        <v>0.05</v>
      </c>
      <c r="I1242" s="9">
        <f>IFERROR(__xludf.DUMMYFUNCTION("GOOGLEFINANCE(""ASX:KAM"", ""marketcap"")"),1.928682E7)</f>
        <v>19286820</v>
      </c>
      <c r="J1242" s="5"/>
      <c r="K1242" s="5"/>
      <c r="L1242" s="5"/>
      <c r="M1242" s="5"/>
      <c r="N1242" s="10">
        <v>55.94</v>
      </c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>
      <c r="A1243" s="6" t="s">
        <v>2497</v>
      </c>
      <c r="B1243" s="6" t="s">
        <v>2498</v>
      </c>
      <c r="C1243" s="5" t="s">
        <v>78</v>
      </c>
      <c r="D1243" s="7">
        <f>IFERROR(__xludf.DUMMYFUNCTION("GOOGLEFINANCE(""ASX:KAR"", ""price"")"),1.45)</f>
        <v>1.45</v>
      </c>
      <c r="E1243" s="8">
        <f>IFERROR(__xludf.DUMMYFUNCTION("GOOGLEFINANCE(""ASX:KAR"", ""closeyest"")"),1.51)</f>
        <v>1.51</v>
      </c>
      <c r="F1243" s="9">
        <f>IFERROR(__xludf.DUMMYFUNCTION("GOOGLEFINANCE(""ASX:KAR"", ""pe"")"),5.51)</f>
        <v>5.51</v>
      </c>
      <c r="G1243" s="9">
        <f>IFERROR(__xludf.DUMMYFUNCTION("GOOGLEFINANCE(""ASX:KAR"", ""high52"")"),2.17)</f>
        <v>2.17</v>
      </c>
      <c r="H1243" s="9">
        <f>IFERROR(__xludf.DUMMYFUNCTION("GOOGLEFINANCE(""ASX:KAR"", ""low52"")"),1.2)</f>
        <v>1.2</v>
      </c>
      <c r="I1243" s="9">
        <f>IFERROR(__xludf.DUMMYFUNCTION("GOOGLEFINANCE(""ASX:KAR"", ""marketcap"")"),1.052855474E9)</f>
        <v>1052855474</v>
      </c>
      <c r="J1243" s="5"/>
      <c r="K1243" s="5"/>
      <c r="L1243" s="5"/>
      <c r="M1243" s="5"/>
      <c r="N1243" s="10">
        <v>5.91</v>
      </c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>
      <c r="A1244" s="6" t="s">
        <v>2499</v>
      </c>
      <c r="B1244" s="6" t="s">
        <v>2500</v>
      </c>
      <c r="C1244" s="5" t="s">
        <v>171</v>
      </c>
      <c r="D1244" s="7">
        <f>IFERROR(__xludf.DUMMYFUNCTION("GOOGLEFINANCE(""ASX:KAT"", ""price"")"),1.34)</f>
        <v>1.34</v>
      </c>
      <c r="E1244" s="8">
        <f>IFERROR(__xludf.DUMMYFUNCTION("GOOGLEFINANCE(""ASX:KAT"", ""closeyest"")"),1.34)</f>
        <v>1.34</v>
      </c>
      <c r="F1244" s="9">
        <f>IFERROR(__xludf.DUMMYFUNCTION("GOOGLEFINANCE(""ASX:KAT"", ""pe"")"),15.83)</f>
        <v>15.83</v>
      </c>
      <c r="G1244" s="9">
        <f>IFERROR(__xludf.DUMMYFUNCTION("GOOGLEFINANCE(""ASX:KAT"", ""high52"")"),1.38)</f>
        <v>1.38</v>
      </c>
      <c r="H1244" s="9">
        <f>IFERROR(__xludf.DUMMYFUNCTION("GOOGLEFINANCE(""ASX:KAT"", ""low52"")"),1.18)</f>
        <v>1.18</v>
      </c>
      <c r="I1244" s="9">
        <f>IFERROR(__xludf.DUMMYFUNCTION("GOOGLEFINANCE(""ASX:KAT"", ""marketcap"")"),4.240606E7)</f>
        <v>42406060</v>
      </c>
      <c r="J1244" s="5"/>
      <c r="K1244" s="5"/>
      <c r="L1244" s="5"/>
      <c r="M1244" s="5"/>
      <c r="N1244" s="10">
        <v>15.83</v>
      </c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>
      <c r="A1245" s="6" t="s">
        <v>2501</v>
      </c>
      <c r="B1245" s="6" t="s">
        <v>2502</v>
      </c>
      <c r="C1245" s="5" t="s">
        <v>88</v>
      </c>
      <c r="D1245" s="7">
        <f>IFERROR(__xludf.DUMMYFUNCTION("GOOGLEFINANCE(""ASX:KAU"", ""price"")"),0.31)</f>
        <v>0.31</v>
      </c>
      <c r="E1245" s="8">
        <f>IFERROR(__xludf.DUMMYFUNCTION("GOOGLEFINANCE(""ASX:KAU"", ""closeyest"")"),0.31)</f>
        <v>0.31</v>
      </c>
      <c r="F1245" s="5" t="str">
        <f>IFERROR(__xludf.DUMMYFUNCTION("GOOGLEFINANCE(""ASX:KAU"", ""pe"")"),"#N/A")</f>
        <v>#N/A</v>
      </c>
      <c r="G1245" s="9">
        <f>IFERROR(__xludf.DUMMYFUNCTION("GOOGLEFINANCE(""ASX:KAU"", ""high52"")"),0.37)</f>
        <v>0.37</v>
      </c>
      <c r="H1245" s="9">
        <f>IFERROR(__xludf.DUMMYFUNCTION("GOOGLEFINANCE(""ASX:KAU"", ""low52"")"),0.15)</f>
        <v>0.15</v>
      </c>
      <c r="I1245" s="9">
        <f>IFERROR(__xludf.DUMMYFUNCTION("GOOGLEFINANCE(""ASX:KAU"", ""marketcap"")"),1.81135698E8)</f>
        <v>181135698</v>
      </c>
      <c r="J1245" s="5"/>
      <c r="K1245" s="5"/>
      <c r="L1245" s="5"/>
      <c r="M1245" s="5"/>
      <c r="N1245" s="11" t="s">
        <v>19</v>
      </c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>
      <c r="A1246" s="6" t="s">
        <v>2503</v>
      </c>
      <c r="B1246" s="6" t="s">
        <v>2504</v>
      </c>
      <c r="C1246" s="5" t="s">
        <v>171</v>
      </c>
      <c r="D1246" s="7">
        <f>IFERROR(__xludf.DUMMYFUNCTION("GOOGLEFINANCE(""ASX:KBC"", ""price"")"),0.05)</f>
        <v>0.05</v>
      </c>
      <c r="E1246" s="8">
        <f>IFERROR(__xludf.DUMMYFUNCTION("GOOGLEFINANCE(""ASX:KBC"", ""closeyest"")"),0.05)</f>
        <v>0.05</v>
      </c>
      <c r="F1246" s="5" t="str">
        <f>IFERROR(__xludf.DUMMYFUNCTION("GOOGLEFINANCE(""ASX:KBC"", ""pe"")"),"#N/A")</f>
        <v>#N/A</v>
      </c>
      <c r="G1246" s="9">
        <f>IFERROR(__xludf.DUMMYFUNCTION("GOOGLEFINANCE(""ASX:KBC"", ""high52"")"),0.05)</f>
        <v>0.05</v>
      </c>
      <c r="H1246" s="9">
        <f>IFERROR(__xludf.DUMMYFUNCTION("GOOGLEFINANCE(""ASX:KBC"", ""low52"")"),0.05)</f>
        <v>0.05</v>
      </c>
      <c r="I1246" s="9">
        <f>IFERROR(__xludf.DUMMYFUNCTION("GOOGLEFINANCE(""ASX:KBC"", ""marketcap"")"),9744880.0)</f>
        <v>9744880</v>
      </c>
      <c r="J1246" s="5"/>
      <c r="K1246" s="5"/>
      <c r="L1246" s="5"/>
      <c r="M1246" s="5"/>
      <c r="N1246" s="11" t="s">
        <v>19</v>
      </c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>
      <c r="A1247" s="6" t="s">
        <v>2505</v>
      </c>
      <c r="B1247" s="6" t="s">
        <v>2506</v>
      </c>
      <c r="C1247" s="5" t="s">
        <v>18</v>
      </c>
      <c r="D1247" s="7">
        <f>IFERROR(__xludf.DUMMYFUNCTION("GOOGLEFINANCE(""ASX:KCC"", ""price"")"),1.13)</f>
        <v>1.13</v>
      </c>
      <c r="E1247" s="8">
        <f>IFERROR(__xludf.DUMMYFUNCTION("GOOGLEFINANCE(""ASX:KCC"", ""closeyest"")"),1.16)</f>
        <v>1.16</v>
      </c>
      <c r="F1247" s="5" t="str">
        <f>IFERROR(__xludf.DUMMYFUNCTION("GOOGLEFINANCE(""ASX:KCC"", ""pe"")"),"#N/A")</f>
        <v>#N/A</v>
      </c>
      <c r="G1247" s="9">
        <f>IFERROR(__xludf.DUMMYFUNCTION("GOOGLEFINANCE(""ASX:KCC"", ""high52"")"),1.32)</f>
        <v>1.32</v>
      </c>
      <c r="H1247" s="9">
        <f>IFERROR(__xludf.DUMMYFUNCTION("GOOGLEFINANCE(""ASX:KCC"", ""low52"")"),0.22)</f>
        <v>0.22</v>
      </c>
      <c r="I1247" s="9">
        <f>IFERROR(__xludf.DUMMYFUNCTION("GOOGLEFINANCE(""ASX:KCC"", ""marketcap"")"),4.5141572E7)</f>
        <v>45141572</v>
      </c>
      <c r="J1247" s="5"/>
      <c r="K1247" s="5"/>
      <c r="L1247" s="5"/>
      <c r="M1247" s="5"/>
      <c r="N1247" s="11" t="s">
        <v>19</v>
      </c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>
      <c r="A1248" s="6" t="s">
        <v>2507</v>
      </c>
      <c r="B1248" s="6" t="s">
        <v>2508</v>
      </c>
      <c r="C1248" s="5" t="s">
        <v>88</v>
      </c>
      <c r="D1248" s="7">
        <f>IFERROR(__xludf.DUMMYFUNCTION("GOOGLEFINANCE(""ASX:KCN"", ""price"")"),5.87)</f>
        <v>5.87</v>
      </c>
      <c r="E1248" s="8">
        <f>IFERROR(__xludf.DUMMYFUNCTION("GOOGLEFINANCE(""ASX:KCN"", ""closeyest"")"),5.81)</f>
        <v>5.81</v>
      </c>
      <c r="F1248" s="9">
        <f>IFERROR(__xludf.DUMMYFUNCTION("GOOGLEFINANCE(""ASX:KCN"", ""pe"")"),53.17)</f>
        <v>53.17</v>
      </c>
      <c r="G1248" s="9">
        <f>IFERROR(__xludf.DUMMYFUNCTION("GOOGLEFINANCE(""ASX:KCN"", ""high52"")"),5.94)</f>
        <v>5.94</v>
      </c>
      <c r="H1248" s="9">
        <f>IFERROR(__xludf.DUMMYFUNCTION("GOOGLEFINANCE(""ASX:KCN"", ""low52"")"),1.22)</f>
        <v>1.22</v>
      </c>
      <c r="I1248" s="9">
        <f>IFERROR(__xludf.DUMMYFUNCTION("GOOGLEFINANCE(""ASX:KCN"", ""marketcap"")"),1.55401379E9)</f>
        <v>1554013790</v>
      </c>
      <c r="J1248" s="5"/>
      <c r="K1248" s="5"/>
      <c r="L1248" s="5"/>
      <c r="M1248" s="5"/>
      <c r="N1248" s="10">
        <v>52.26</v>
      </c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>
      <c r="A1249" s="6" t="s">
        <v>2509</v>
      </c>
      <c r="B1249" s="6" t="s">
        <v>2510</v>
      </c>
      <c r="C1249" s="5" t="s">
        <v>78</v>
      </c>
      <c r="D1249" s="7">
        <f>IFERROR(__xludf.DUMMYFUNCTION("GOOGLEFINANCE(""ASX:KEY"", ""price"")"),0.06)</f>
        <v>0.06</v>
      </c>
      <c r="E1249" s="8">
        <f>IFERROR(__xludf.DUMMYFUNCTION("GOOGLEFINANCE(""ASX:KEY"", ""closeyest"")"),0.06)</f>
        <v>0.06</v>
      </c>
      <c r="F1249" s="5" t="str">
        <f>IFERROR(__xludf.DUMMYFUNCTION("GOOGLEFINANCE(""ASX:KEY"", ""pe"")"),"#N/A")</f>
        <v>#N/A</v>
      </c>
      <c r="G1249" s="9">
        <f>IFERROR(__xludf.DUMMYFUNCTION("GOOGLEFINANCE(""ASX:KEY"", ""high52"")"),6.18)</f>
        <v>6.18</v>
      </c>
      <c r="H1249" s="9">
        <f>IFERROR(__xludf.DUMMYFUNCTION("GOOGLEFINANCE(""ASX:KEY"", ""low52"")"),0.03)</f>
        <v>0.03</v>
      </c>
      <c r="I1249" s="9">
        <f>IFERROR(__xludf.DUMMYFUNCTION("GOOGLEFINANCE(""ASX:KEY"", ""marketcap"")"),1897460.0)</f>
        <v>1897460</v>
      </c>
      <c r="J1249" s="5"/>
      <c r="K1249" s="5"/>
      <c r="L1249" s="5"/>
      <c r="M1249" s="5"/>
      <c r="N1249" s="11" t="s">
        <v>19</v>
      </c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>
      <c r="A1250" s="6" t="s">
        <v>2511</v>
      </c>
      <c r="B1250" s="6" t="s">
        <v>2512</v>
      </c>
      <c r="C1250" s="5" t="s">
        <v>18</v>
      </c>
      <c r="D1250" s="7">
        <f>IFERROR(__xludf.DUMMYFUNCTION("GOOGLEFINANCE(""ASX:KFM"", ""price"")"),0.09)</f>
        <v>0.09</v>
      </c>
      <c r="E1250" s="8">
        <f>IFERROR(__xludf.DUMMYFUNCTION("GOOGLEFINANCE(""ASX:KFM"", ""closeyest"")"),0.09)</f>
        <v>0.09</v>
      </c>
      <c r="F1250" s="5" t="str">
        <f>IFERROR(__xludf.DUMMYFUNCTION("GOOGLEFINANCE(""ASX:KFM"", ""pe"")"),"#N/A")</f>
        <v>#N/A</v>
      </c>
      <c r="G1250" s="9">
        <f>IFERROR(__xludf.DUMMYFUNCTION("GOOGLEFINANCE(""ASX:KFM"", ""high52"")"),0.13)</f>
        <v>0.13</v>
      </c>
      <c r="H1250" s="9">
        <f>IFERROR(__xludf.DUMMYFUNCTION("GOOGLEFINANCE(""ASX:KFM"", ""low52"")"),0.03)</f>
        <v>0.03</v>
      </c>
      <c r="I1250" s="9">
        <f>IFERROR(__xludf.DUMMYFUNCTION("GOOGLEFINANCE(""ASX:KFM"", ""marketcap"")"),9158379.0)</f>
        <v>9158379</v>
      </c>
      <c r="J1250" s="5"/>
      <c r="K1250" s="5"/>
      <c r="L1250" s="5"/>
      <c r="M1250" s="5"/>
      <c r="N1250" s="11" t="s">
        <v>19</v>
      </c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>
      <c r="A1251" s="6" t="s">
        <v>2513</v>
      </c>
      <c r="B1251" s="6" t="s">
        <v>2514</v>
      </c>
      <c r="C1251" s="5" t="s">
        <v>18</v>
      </c>
      <c r="D1251" s="7">
        <f>IFERROR(__xludf.DUMMYFUNCTION("GOOGLEFINANCE(""ASX:KGD"", ""price"")"),0.06)</f>
        <v>0.06</v>
      </c>
      <c r="E1251" s="8">
        <f>IFERROR(__xludf.DUMMYFUNCTION("GOOGLEFINANCE(""ASX:KGD"", ""closeyest"")"),0.06)</f>
        <v>0.06</v>
      </c>
      <c r="F1251" s="5" t="str">
        <f>IFERROR(__xludf.DUMMYFUNCTION("GOOGLEFINANCE(""ASX:KGD"", ""pe"")"),"#N/A")</f>
        <v>#N/A</v>
      </c>
      <c r="G1251" s="9">
        <f>IFERROR(__xludf.DUMMYFUNCTION("GOOGLEFINANCE(""ASX:KGD"", ""high52"")"),0.07)</f>
        <v>0.07</v>
      </c>
      <c r="H1251" s="9">
        <f>IFERROR(__xludf.DUMMYFUNCTION("GOOGLEFINANCE(""ASX:KGD"", ""low52"")"),0.0)</f>
        <v>0</v>
      </c>
      <c r="I1251" s="9">
        <f>IFERROR(__xludf.DUMMYFUNCTION("GOOGLEFINANCE(""ASX:KGD"", ""marketcap"")"),6.9074814E7)</f>
        <v>69074814</v>
      </c>
      <c r="J1251" s="5"/>
      <c r="K1251" s="5"/>
      <c r="L1251" s="5"/>
      <c r="M1251" s="5"/>
      <c r="N1251" s="11" t="s">
        <v>19</v>
      </c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>
      <c r="A1252" s="6" t="s">
        <v>2515</v>
      </c>
      <c r="B1252" s="6" t="s">
        <v>2516</v>
      </c>
      <c r="C1252" s="5" t="s">
        <v>18</v>
      </c>
      <c r="D1252" s="7">
        <f>IFERROR(__xludf.DUMMYFUNCTION("GOOGLEFINANCE(""ASX:KGL"", ""price"")"),0.27)</f>
        <v>0.27</v>
      </c>
      <c r="E1252" s="8">
        <f>IFERROR(__xludf.DUMMYFUNCTION("GOOGLEFINANCE(""ASX:KGL"", ""closeyest"")"),0.24)</f>
        <v>0.24</v>
      </c>
      <c r="F1252" s="5" t="str">
        <f>IFERROR(__xludf.DUMMYFUNCTION("GOOGLEFINANCE(""ASX:KGL"", ""pe"")"),"#N/A")</f>
        <v>#N/A</v>
      </c>
      <c r="G1252" s="9">
        <f>IFERROR(__xludf.DUMMYFUNCTION("GOOGLEFINANCE(""ASX:KGL"", ""high52"")"),0.27)</f>
        <v>0.27</v>
      </c>
      <c r="H1252" s="9">
        <f>IFERROR(__xludf.DUMMYFUNCTION("GOOGLEFINANCE(""ASX:KGL"", ""low52"")"),0.08)</f>
        <v>0.08</v>
      </c>
      <c r="I1252" s="9">
        <f>IFERROR(__xludf.DUMMYFUNCTION("GOOGLEFINANCE(""ASX:KGL"", ""marketcap"")"),2.04285706E8)</f>
        <v>204285706</v>
      </c>
      <c r="J1252" s="5"/>
      <c r="K1252" s="5"/>
      <c r="L1252" s="5"/>
      <c r="M1252" s="5"/>
      <c r="N1252" s="11" t="s">
        <v>19</v>
      </c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>
      <c r="A1253" s="6" t="s">
        <v>2517</v>
      </c>
      <c r="B1253" s="6" t="s">
        <v>2518</v>
      </c>
      <c r="C1253" s="5" t="s">
        <v>153</v>
      </c>
      <c r="D1253" s="7">
        <f>IFERROR(__xludf.DUMMYFUNCTION("GOOGLEFINANCE(""ASX:KGN"", ""price"")"),3.91)</f>
        <v>3.91</v>
      </c>
      <c r="E1253" s="8">
        <f>IFERROR(__xludf.DUMMYFUNCTION("GOOGLEFINANCE(""ASX:KGN"", ""closeyest"")"),3.8)</f>
        <v>3.8</v>
      </c>
      <c r="F1253" s="5" t="str">
        <f>IFERROR(__xludf.DUMMYFUNCTION("GOOGLEFINANCE(""ASX:KGN"", ""pe"")"),"#N/A")</f>
        <v>#N/A</v>
      </c>
      <c r="G1253" s="9">
        <f>IFERROR(__xludf.DUMMYFUNCTION("GOOGLEFINANCE(""ASX:KGN"", ""high52"")"),6.1)</f>
        <v>6.1</v>
      </c>
      <c r="H1253" s="9">
        <f>IFERROR(__xludf.DUMMYFUNCTION("GOOGLEFINANCE(""ASX:KGN"", ""low52"")"),2.88)</f>
        <v>2.88</v>
      </c>
      <c r="I1253" s="9">
        <f>IFERROR(__xludf.DUMMYFUNCTION("GOOGLEFINANCE(""ASX:KGN"", ""marketcap"")"),3.86249593E8)</f>
        <v>386249593</v>
      </c>
      <c r="J1253" s="9">
        <v>0.004</v>
      </c>
      <c r="K1253" s="9">
        <v>0.005</v>
      </c>
      <c r="L1253" s="9">
        <v>0.012</v>
      </c>
      <c r="M1253" s="9">
        <v>0.002</v>
      </c>
      <c r="N1253" s="11" t="s">
        <v>19</v>
      </c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>
      <c r="A1254" s="6" t="s">
        <v>2519</v>
      </c>
      <c r="B1254" s="6" t="s">
        <v>2520</v>
      </c>
      <c r="C1254" s="5" t="s">
        <v>1838</v>
      </c>
      <c r="D1254" s="7">
        <f>IFERROR(__xludf.DUMMYFUNCTION("GOOGLEFINANCE(""ASX:KKC"", ""price"")"),2.32)</f>
        <v>2.32</v>
      </c>
      <c r="E1254" s="8">
        <f>IFERROR(__xludf.DUMMYFUNCTION("GOOGLEFINANCE(""ASX:KKC"", ""closeyest"")"),2.32)</f>
        <v>2.32</v>
      </c>
      <c r="F1254" s="9">
        <f>IFERROR(__xludf.DUMMYFUNCTION("GOOGLEFINANCE(""ASX:KKC"", ""pe"")"),12.45)</f>
        <v>12.45</v>
      </c>
      <c r="G1254" s="9">
        <f>IFERROR(__xludf.DUMMYFUNCTION("GOOGLEFINANCE(""ASX:KKC"", ""high52"")"),2.41)</f>
        <v>2.41</v>
      </c>
      <c r="H1254" s="9">
        <f>IFERROR(__xludf.DUMMYFUNCTION("GOOGLEFINANCE(""ASX:KKC"", ""low52"")"),2.0)</f>
        <v>2</v>
      </c>
      <c r="I1254" s="9">
        <f>IFERROR(__xludf.DUMMYFUNCTION("GOOGLEFINANCE(""ASX:KKC"", ""marketcap"")"),7.48278394E8)</f>
        <v>748278394</v>
      </c>
      <c r="J1254" s="9">
        <v>0.003</v>
      </c>
      <c r="K1254" s="9">
        <v>0.003</v>
      </c>
      <c r="L1254" s="9">
        <v>0.15</v>
      </c>
      <c r="M1254" s="9">
        <v>0.003</v>
      </c>
      <c r="N1254" s="10">
        <v>12.29</v>
      </c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>
      <c r="A1255" s="6" t="s">
        <v>2521</v>
      </c>
      <c r="B1255" s="6" t="s">
        <v>2522</v>
      </c>
      <c r="C1255" s="5" t="s">
        <v>78</v>
      </c>
      <c r="D1255" s="7">
        <f>IFERROR(__xludf.DUMMYFUNCTION("GOOGLEFINANCE(""ASX:KKO"", ""price"")"),0.07)</f>
        <v>0.07</v>
      </c>
      <c r="E1255" s="8">
        <f>IFERROR(__xludf.DUMMYFUNCTION("GOOGLEFINANCE(""ASX:KKO"", ""closeyest"")"),0.07)</f>
        <v>0.07</v>
      </c>
      <c r="F1255" s="5" t="str">
        <f>IFERROR(__xludf.DUMMYFUNCTION("GOOGLEFINANCE(""ASX:KKO"", ""pe"")"),"#N/A")</f>
        <v>#N/A</v>
      </c>
      <c r="G1255" s="9">
        <f>IFERROR(__xludf.DUMMYFUNCTION("GOOGLEFINANCE(""ASX:KKO"", ""high52"")"),0.11)</f>
        <v>0.11</v>
      </c>
      <c r="H1255" s="9">
        <f>IFERROR(__xludf.DUMMYFUNCTION("GOOGLEFINANCE(""ASX:KKO"", ""low52"")"),0.04)</f>
        <v>0.04</v>
      </c>
      <c r="I1255" s="9">
        <f>IFERROR(__xludf.DUMMYFUNCTION("GOOGLEFINANCE(""ASX:KKO"", ""marketcap"")"),9.6998001E7)</f>
        <v>96998001</v>
      </c>
      <c r="J1255" s="5"/>
      <c r="K1255" s="5"/>
      <c r="L1255" s="5"/>
      <c r="M1255" s="5"/>
      <c r="N1255" s="11" t="s">
        <v>19</v>
      </c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>
      <c r="A1256" s="6" t="s">
        <v>2523</v>
      </c>
      <c r="B1256" s="6" t="s">
        <v>2524</v>
      </c>
      <c r="C1256" s="5" t="s">
        <v>88</v>
      </c>
      <c r="D1256" s="7">
        <f>IFERROR(__xludf.DUMMYFUNCTION("GOOGLEFINANCE(""ASX:KLI"", ""price"")"),0.04)</f>
        <v>0.04</v>
      </c>
      <c r="E1256" s="8">
        <f>IFERROR(__xludf.DUMMYFUNCTION("GOOGLEFINANCE(""ASX:KLI"", ""closeyest"")"),0.04)</f>
        <v>0.04</v>
      </c>
      <c r="F1256" s="5" t="str">
        <f>IFERROR(__xludf.DUMMYFUNCTION("GOOGLEFINANCE(""ASX:KLI"", ""pe"")"),"#N/A")</f>
        <v>#N/A</v>
      </c>
      <c r="G1256" s="9">
        <f>IFERROR(__xludf.DUMMYFUNCTION("GOOGLEFINANCE(""ASX:KLI"", ""high52"")"),0.08)</f>
        <v>0.08</v>
      </c>
      <c r="H1256" s="9">
        <f>IFERROR(__xludf.DUMMYFUNCTION("GOOGLEFINANCE(""ASX:KLI"", ""low52"")"),0.02)</f>
        <v>0.02</v>
      </c>
      <c r="I1256" s="9">
        <f>IFERROR(__xludf.DUMMYFUNCTION("GOOGLEFINANCE(""ASX:KLI"", ""marketcap"")"),5728137.0)</f>
        <v>5728137</v>
      </c>
      <c r="J1256" s="5"/>
      <c r="K1256" s="5"/>
      <c r="L1256" s="5"/>
      <c r="M1256" s="5"/>
      <c r="N1256" s="11" t="s">
        <v>19</v>
      </c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>
      <c r="A1257" s="6" t="s">
        <v>2525</v>
      </c>
      <c r="B1257" s="6" t="s">
        <v>2526</v>
      </c>
      <c r="C1257" s="5" t="s">
        <v>314</v>
      </c>
      <c r="D1257" s="7">
        <f>IFERROR(__xludf.DUMMYFUNCTION("GOOGLEFINANCE(""ASX:KLR"", ""price"")"),0.17)</f>
        <v>0.17</v>
      </c>
      <c r="E1257" s="8">
        <f>IFERROR(__xludf.DUMMYFUNCTION("GOOGLEFINANCE(""ASX:KLR"", ""closeyest"")"),0.18)</f>
        <v>0.18</v>
      </c>
      <c r="F1257" s="5" t="str">
        <f>IFERROR(__xludf.DUMMYFUNCTION("GOOGLEFINANCE(""ASX:KLR"", ""pe"")"),"#N/A")</f>
        <v>#N/A</v>
      </c>
      <c r="G1257" s="9">
        <f>IFERROR(__xludf.DUMMYFUNCTION("GOOGLEFINANCE(""ASX:KLR"", ""high52"")"),3.18)</f>
        <v>3.18</v>
      </c>
      <c r="H1257" s="9">
        <f>IFERROR(__xludf.DUMMYFUNCTION("GOOGLEFINANCE(""ASX:KLR"", ""low52"")"),0.01)</f>
        <v>0.01</v>
      </c>
      <c r="I1257" s="9">
        <f>IFERROR(__xludf.DUMMYFUNCTION("GOOGLEFINANCE(""ASX:KLR"", ""marketcap"")"),2.4361986E7)</f>
        <v>24361986</v>
      </c>
      <c r="J1257" s="5"/>
      <c r="K1257" s="5"/>
      <c r="L1257" s="5"/>
      <c r="M1257" s="5"/>
      <c r="N1257" s="11" t="s">
        <v>19</v>
      </c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>
      <c r="A1258" s="6" t="s">
        <v>2527</v>
      </c>
      <c r="B1258" s="6" t="s">
        <v>2528</v>
      </c>
      <c r="C1258" s="5" t="s">
        <v>1052</v>
      </c>
      <c r="D1258" s="7">
        <f>IFERROR(__xludf.DUMMYFUNCTION("GOOGLEFINANCE(""ASX:KLS"", ""price"")"),4.36)</f>
        <v>4.36</v>
      </c>
      <c r="E1258" s="8">
        <f>IFERROR(__xludf.DUMMYFUNCTION("GOOGLEFINANCE(""ASX:KLS"", ""closeyest"")"),4.27)</f>
        <v>4.27</v>
      </c>
      <c r="F1258" s="9">
        <f>IFERROR(__xludf.DUMMYFUNCTION("GOOGLEFINANCE(""ASX:KLS"", ""pe"")"),21.81)</f>
        <v>21.81</v>
      </c>
      <c r="G1258" s="9">
        <f>IFERROR(__xludf.DUMMYFUNCTION("GOOGLEFINANCE(""ASX:KLS"", ""high52"")"),5.22)</f>
        <v>5.22</v>
      </c>
      <c r="H1258" s="9">
        <f>IFERROR(__xludf.DUMMYFUNCTION("GOOGLEFINANCE(""ASX:KLS"", ""low52"")"),2.19)</f>
        <v>2.19</v>
      </c>
      <c r="I1258" s="9">
        <f>IFERROR(__xludf.DUMMYFUNCTION("GOOGLEFINANCE(""ASX:KLS"", ""marketcap"")"),1.1841538E9)</f>
        <v>1184153800</v>
      </c>
      <c r="J1258" s="5"/>
      <c r="K1258" s="5"/>
      <c r="L1258" s="5"/>
      <c r="M1258" s="5"/>
      <c r="N1258" s="10">
        <v>21.71</v>
      </c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>
      <c r="A1259" s="6" t="s">
        <v>2529</v>
      </c>
      <c r="B1259" s="6" t="s">
        <v>2530</v>
      </c>
      <c r="C1259" s="5" t="s">
        <v>1470</v>
      </c>
      <c r="D1259" s="7">
        <f>IFERROR(__xludf.DUMMYFUNCTION("GOOGLEFINANCE(""ASX:KLV"", ""price"")"),0.01)</f>
        <v>0.01</v>
      </c>
      <c r="E1259" s="8">
        <f>IFERROR(__xludf.DUMMYFUNCTION("GOOGLEFINANCE(""ASX:KLV"", ""closeyest"")"),0.01)</f>
        <v>0.01</v>
      </c>
      <c r="F1259" s="5" t="str">
        <f>IFERROR(__xludf.DUMMYFUNCTION("GOOGLEFINANCE(""ASX:KLV"", ""pe"")"),"#N/A")</f>
        <v>#N/A</v>
      </c>
      <c r="G1259" s="9">
        <f>IFERROR(__xludf.DUMMYFUNCTION("GOOGLEFINANCE(""ASX:KLV"", ""high52"")"),0.01)</f>
        <v>0.01</v>
      </c>
      <c r="H1259" s="9">
        <f>IFERROR(__xludf.DUMMYFUNCTION("GOOGLEFINANCE(""ASX:KLV"", ""low52"")"),0.0)</f>
        <v>0</v>
      </c>
      <c r="I1259" s="9">
        <f>IFERROR(__xludf.DUMMYFUNCTION("GOOGLEFINANCE(""ASX:KLV"", ""marketcap"")"),6143856.0)</f>
        <v>6143856</v>
      </c>
      <c r="J1259" s="5"/>
      <c r="K1259" s="5"/>
      <c r="L1259" s="5"/>
      <c r="M1259" s="5"/>
      <c r="N1259" s="11" t="s">
        <v>19</v>
      </c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>
      <c r="A1260" s="6" t="s">
        <v>2531</v>
      </c>
      <c r="B1260" s="6" t="s">
        <v>2532</v>
      </c>
      <c r="C1260" s="5" t="s">
        <v>39</v>
      </c>
      <c r="D1260" s="7">
        <f>IFERROR(__xludf.DUMMYFUNCTION("GOOGLEFINANCE(""ASX:KM1"", ""price"")"),0.17)</f>
        <v>0.17</v>
      </c>
      <c r="E1260" s="8">
        <f>IFERROR(__xludf.DUMMYFUNCTION("GOOGLEFINANCE(""ASX:KM1"", ""closeyest"")"),0.17)</f>
        <v>0.17</v>
      </c>
      <c r="F1260" s="5" t="str">
        <f>IFERROR(__xludf.DUMMYFUNCTION("GOOGLEFINANCE(""ASX:KM1"", ""pe"")"),"#N/A")</f>
        <v>#N/A</v>
      </c>
      <c r="G1260" s="9">
        <f>IFERROR(__xludf.DUMMYFUNCTION("GOOGLEFINANCE(""ASX:KM1"", ""high52"")"),0.22)</f>
        <v>0.22</v>
      </c>
      <c r="H1260" s="9">
        <f>IFERROR(__xludf.DUMMYFUNCTION("GOOGLEFINANCE(""ASX:KM1"", ""low52"")"),0.07)</f>
        <v>0.07</v>
      </c>
      <c r="I1260" s="9">
        <f>IFERROR(__xludf.DUMMYFUNCTION("GOOGLEFINANCE(""ASX:KM1"", ""marketcap"")"),1.5098733E7)</f>
        <v>15098733</v>
      </c>
      <c r="J1260" s="5"/>
      <c r="K1260" s="5"/>
      <c r="L1260" s="5"/>
      <c r="M1260" s="5"/>
      <c r="N1260" s="11" t="s">
        <v>19</v>
      </c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>
      <c r="A1261" s="6" t="s">
        <v>2533</v>
      </c>
      <c r="B1261" s="6" t="s">
        <v>2534</v>
      </c>
      <c r="C1261" s="5" t="s">
        <v>399</v>
      </c>
      <c r="D1261" s="7">
        <f>IFERROR(__xludf.DUMMYFUNCTION("GOOGLEFINANCE(""ASX:KMD"", ""price"")"),0.25)</f>
        <v>0.25</v>
      </c>
      <c r="E1261" s="8">
        <f>IFERROR(__xludf.DUMMYFUNCTION("GOOGLEFINANCE(""ASX:KMD"", ""closeyest"")"),0.25)</f>
        <v>0.25</v>
      </c>
      <c r="F1261" s="5" t="str">
        <f>IFERROR(__xludf.DUMMYFUNCTION("GOOGLEFINANCE(""ASX:KMD"", ""pe"")"),"#N/A")</f>
        <v>#N/A</v>
      </c>
      <c r="G1261" s="9">
        <f>IFERROR(__xludf.DUMMYFUNCTION("GOOGLEFINANCE(""ASX:KMD"", ""high52"")"),0.4)</f>
        <v>0.4</v>
      </c>
      <c r="H1261" s="9">
        <f>IFERROR(__xludf.DUMMYFUNCTION("GOOGLEFINANCE(""ASX:KMD"", ""low52"")"),0.21)</f>
        <v>0.21</v>
      </c>
      <c r="I1261" s="9">
        <f>IFERROR(__xludf.DUMMYFUNCTION("GOOGLEFINANCE(""ASX:KMD"", ""marketcap"")"),2.023676E8)</f>
        <v>202367600</v>
      </c>
      <c r="J1261" s="5"/>
      <c r="K1261" s="5"/>
      <c r="L1261" s="5"/>
      <c r="M1261" s="5"/>
      <c r="N1261" s="11" t="s">
        <v>19</v>
      </c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>
      <c r="A1262" s="6" t="s">
        <v>2535</v>
      </c>
      <c r="B1262" s="6" t="s">
        <v>2536</v>
      </c>
      <c r="C1262" s="5" t="s">
        <v>2537</v>
      </c>
      <c r="D1262" s="7">
        <f>IFERROR(__xludf.DUMMYFUNCTION("GOOGLEFINANCE(""ASX:KME"", ""price"")"),0.6)</f>
        <v>0.6</v>
      </c>
      <c r="E1262" s="8">
        <f>IFERROR(__xludf.DUMMYFUNCTION("GOOGLEFINANCE(""ASX:KME"", ""closeyest"")"),0.59)</f>
        <v>0.59</v>
      </c>
      <c r="F1262" s="9">
        <f>IFERROR(__xludf.DUMMYFUNCTION("GOOGLEFINANCE(""ASX:KME"", ""pe"")"),14.79)</f>
        <v>14.79</v>
      </c>
      <c r="G1262" s="9">
        <f>IFERROR(__xludf.DUMMYFUNCTION("GOOGLEFINANCE(""ASX:KME"", ""high52"")"),0.66)</f>
        <v>0.66</v>
      </c>
      <c r="H1262" s="9">
        <f>IFERROR(__xludf.DUMMYFUNCTION("GOOGLEFINANCE(""ASX:KME"", ""low52"")"),0.36)</f>
        <v>0.36</v>
      </c>
      <c r="I1262" s="9">
        <f>IFERROR(__xludf.DUMMYFUNCTION("GOOGLEFINANCE(""ASX:KME"", ""marketcap"")"),3.2895974E7)</f>
        <v>32895974</v>
      </c>
      <c r="J1262" s="5"/>
      <c r="K1262" s="5"/>
      <c r="L1262" s="5"/>
      <c r="M1262" s="5"/>
      <c r="N1262" s="10">
        <v>14.92</v>
      </c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>
      <c r="A1263" s="6" t="s">
        <v>2538</v>
      </c>
      <c r="B1263" s="6" t="s">
        <v>2539</v>
      </c>
      <c r="C1263" s="5" t="s">
        <v>88</v>
      </c>
      <c r="D1263" s="7">
        <f>IFERROR(__xludf.DUMMYFUNCTION("GOOGLEFINANCE(""ASX:KNB"", ""price"")"),0.04)</f>
        <v>0.04</v>
      </c>
      <c r="E1263" s="8">
        <f>IFERROR(__xludf.DUMMYFUNCTION("GOOGLEFINANCE(""ASX:KNB"", ""closeyest"")"),0.04)</f>
        <v>0.04</v>
      </c>
      <c r="F1263" s="5" t="str">
        <f>IFERROR(__xludf.DUMMYFUNCTION("GOOGLEFINANCE(""ASX:KNB"", ""pe"")"),"#N/A")</f>
        <v>#N/A</v>
      </c>
      <c r="G1263" s="9">
        <f>IFERROR(__xludf.DUMMYFUNCTION("GOOGLEFINANCE(""ASX:KNB"", ""high52"")"),0.1)</f>
        <v>0.1</v>
      </c>
      <c r="H1263" s="9">
        <f>IFERROR(__xludf.DUMMYFUNCTION("GOOGLEFINANCE(""ASX:KNB"", ""low52"")"),0.01)</f>
        <v>0.01</v>
      </c>
      <c r="I1263" s="9">
        <f>IFERROR(__xludf.DUMMYFUNCTION("GOOGLEFINANCE(""ASX:KNB"", ""marketcap"")"),4.7494318E7)</f>
        <v>47494318</v>
      </c>
      <c r="J1263" s="5"/>
      <c r="K1263" s="5"/>
      <c r="L1263" s="5"/>
      <c r="M1263" s="5"/>
      <c r="N1263" s="11" t="s">
        <v>19</v>
      </c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>
      <c r="A1264" s="6" t="s">
        <v>2540</v>
      </c>
      <c r="B1264" s="6" t="s">
        <v>2541</v>
      </c>
      <c r="C1264" s="5" t="s">
        <v>88</v>
      </c>
      <c r="D1264" s="7">
        <f>IFERROR(__xludf.DUMMYFUNCTION("GOOGLEFINANCE(""ASX:KNG"", ""price"")"),0.1)</f>
        <v>0.1</v>
      </c>
      <c r="E1264" s="8">
        <f>IFERROR(__xludf.DUMMYFUNCTION("GOOGLEFINANCE(""ASX:KNG"", ""closeyest"")"),0.1)</f>
        <v>0.1</v>
      </c>
      <c r="F1264" s="5" t="str">
        <f>IFERROR(__xludf.DUMMYFUNCTION("GOOGLEFINANCE(""ASX:KNG"", ""pe"")"),"#N/A")</f>
        <v>#N/A</v>
      </c>
      <c r="G1264" s="9">
        <f>IFERROR(__xludf.DUMMYFUNCTION("GOOGLEFINANCE(""ASX:KNG"", ""high52"")"),0.19)</f>
        <v>0.19</v>
      </c>
      <c r="H1264" s="9">
        <f>IFERROR(__xludf.DUMMYFUNCTION("GOOGLEFINANCE(""ASX:KNG"", ""low52"")"),0.07)</f>
        <v>0.07</v>
      </c>
      <c r="I1264" s="9">
        <f>IFERROR(__xludf.DUMMYFUNCTION("GOOGLEFINANCE(""ASX:KNG"", ""marketcap"")"),8699500.0)</f>
        <v>8699500</v>
      </c>
      <c r="J1264" s="5"/>
      <c r="K1264" s="5"/>
      <c r="L1264" s="5"/>
      <c r="M1264" s="5"/>
      <c r="N1264" s="11" t="s">
        <v>19</v>
      </c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>
      <c r="A1265" s="6" t="s">
        <v>2542</v>
      </c>
      <c r="B1265" s="6" t="s">
        <v>2543</v>
      </c>
      <c r="C1265" s="5" t="s">
        <v>39</v>
      </c>
      <c r="D1265" s="7">
        <f>IFERROR(__xludf.DUMMYFUNCTION("GOOGLEFINANCE(""ASX:KNI"", ""price"")"),0.07)</f>
        <v>0.07</v>
      </c>
      <c r="E1265" s="8">
        <f>IFERROR(__xludf.DUMMYFUNCTION("GOOGLEFINANCE(""ASX:KNI"", ""closeyest"")"),0.07)</f>
        <v>0.07</v>
      </c>
      <c r="F1265" s="5" t="str">
        <f>IFERROR(__xludf.DUMMYFUNCTION("GOOGLEFINANCE(""ASX:KNI"", ""pe"")"),"#N/A")</f>
        <v>#N/A</v>
      </c>
      <c r="G1265" s="9">
        <f>IFERROR(__xludf.DUMMYFUNCTION("GOOGLEFINANCE(""ASX:KNI"", ""high52"")"),0.18)</f>
        <v>0.18</v>
      </c>
      <c r="H1265" s="9">
        <f>IFERROR(__xludf.DUMMYFUNCTION("GOOGLEFINANCE(""ASX:KNI"", ""low52"")"),0.06)</f>
        <v>0.06</v>
      </c>
      <c r="I1265" s="9">
        <f>IFERROR(__xludf.DUMMYFUNCTION("GOOGLEFINANCE(""ASX:KNI"", ""marketcap"")"),8796243.0)</f>
        <v>8796243</v>
      </c>
      <c r="J1265" s="5"/>
      <c r="K1265" s="5"/>
      <c r="L1265" s="5"/>
      <c r="M1265" s="5"/>
      <c r="N1265" s="11" t="s">
        <v>19</v>
      </c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>
      <c r="A1266" s="6" t="s">
        <v>2544</v>
      </c>
      <c r="B1266" s="6" t="s">
        <v>2545</v>
      </c>
      <c r="C1266" s="5" t="s">
        <v>15</v>
      </c>
      <c r="D1266" s="7">
        <f>IFERROR(__xludf.DUMMYFUNCTION("GOOGLEFINANCE(""ASX:KNM"", ""price"")"),0.0)</f>
        <v>0</v>
      </c>
      <c r="E1266" s="8">
        <f>IFERROR(__xludf.DUMMYFUNCTION("GOOGLEFINANCE(""ASX:KNM"", ""closeyest"")"),0.0)</f>
        <v>0</v>
      </c>
      <c r="F1266" s="5" t="str">
        <f>IFERROR(__xludf.DUMMYFUNCTION("GOOGLEFINANCE(""ASX:KNM"", ""pe"")"),"#N/A")</f>
        <v>#N/A</v>
      </c>
      <c r="G1266" s="9">
        <f>IFERROR(__xludf.DUMMYFUNCTION("GOOGLEFINANCE(""ASX:KNM"", ""high52"")"),0.0)</f>
        <v>0</v>
      </c>
      <c r="H1266" s="9">
        <f>IFERROR(__xludf.DUMMYFUNCTION("GOOGLEFINANCE(""ASX:KNM"", ""low52"")"),0.0)</f>
        <v>0</v>
      </c>
      <c r="I1266" s="9">
        <f>IFERROR(__xludf.DUMMYFUNCTION("GOOGLEFINANCE(""ASX:KNM"", ""marketcap"")"),1504786.0)</f>
        <v>1504786</v>
      </c>
      <c r="J1266" s="12">
        <v>0.002</v>
      </c>
      <c r="K1266" s="12">
        <v>0.002</v>
      </c>
      <c r="L1266" s="12">
        <v>0.002</v>
      </c>
      <c r="M1266" s="12">
        <v>0.002</v>
      </c>
      <c r="N1266" s="11" t="s">
        <v>19</v>
      </c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>
      <c r="A1267" s="6" t="s">
        <v>2546</v>
      </c>
      <c r="B1267" s="6" t="s">
        <v>2547</v>
      </c>
      <c r="C1267" s="5" t="s">
        <v>15</v>
      </c>
      <c r="D1267" s="7">
        <f>IFERROR(__xludf.DUMMYFUNCTION("GOOGLEFINANCE(""ASX:KNO"", ""price"")"),0.02)</f>
        <v>0.02</v>
      </c>
      <c r="E1267" s="8">
        <f>IFERROR(__xludf.DUMMYFUNCTION("GOOGLEFINANCE(""ASX:KNO"", ""closeyest"")"),0.02)</f>
        <v>0.02</v>
      </c>
      <c r="F1267" s="5" t="str">
        <f>IFERROR(__xludf.DUMMYFUNCTION("GOOGLEFINANCE(""ASX:KNO"", ""pe"")"),"#N/A")</f>
        <v>#N/A</v>
      </c>
      <c r="G1267" s="9">
        <f>IFERROR(__xludf.DUMMYFUNCTION("GOOGLEFINANCE(""ASX:KNO"", ""high52"")"),0.04)</f>
        <v>0.04</v>
      </c>
      <c r="H1267" s="9">
        <f>IFERROR(__xludf.DUMMYFUNCTION("GOOGLEFINANCE(""ASX:KNO"", ""low52"")"),0.02)</f>
        <v>0.02</v>
      </c>
      <c r="I1267" s="9">
        <f>IFERROR(__xludf.DUMMYFUNCTION("GOOGLEFINANCE(""ASX:KNO"", ""marketcap"")"),5230554.0)</f>
        <v>5230554</v>
      </c>
      <c r="J1267" s="5"/>
      <c r="K1267" s="5"/>
      <c r="L1267" s="5"/>
      <c r="M1267" s="5"/>
      <c r="N1267" s="11" t="s">
        <v>19</v>
      </c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>
      <c r="A1268" s="6" t="s">
        <v>2548</v>
      </c>
      <c r="B1268" s="6" t="s">
        <v>2549</v>
      </c>
      <c r="C1268" s="5" t="s">
        <v>39</v>
      </c>
      <c r="D1268" s="7">
        <f>IFERROR(__xludf.DUMMYFUNCTION("GOOGLEFINANCE(""ASX:KOB"", ""price"")"),0.04)</f>
        <v>0.04</v>
      </c>
      <c r="E1268" s="8">
        <f>IFERROR(__xludf.DUMMYFUNCTION("GOOGLEFINANCE(""ASX:KOB"", ""closeyest"")"),0.04)</f>
        <v>0.04</v>
      </c>
      <c r="F1268" s="5" t="str">
        <f>IFERROR(__xludf.DUMMYFUNCTION("GOOGLEFINANCE(""ASX:KOB"", ""pe"")"),"#N/A")</f>
        <v>#N/A</v>
      </c>
      <c r="G1268" s="9">
        <f>IFERROR(__xludf.DUMMYFUNCTION("GOOGLEFINANCE(""ASX:KOB"", ""high52"")"),0.09)</f>
        <v>0.09</v>
      </c>
      <c r="H1268" s="9">
        <f>IFERROR(__xludf.DUMMYFUNCTION("GOOGLEFINANCE(""ASX:KOB"", ""low52"")"),0.03)</f>
        <v>0.03</v>
      </c>
      <c r="I1268" s="9">
        <f>IFERROR(__xludf.DUMMYFUNCTION("GOOGLEFINANCE(""ASX:KOB"", ""marketcap"")"),1.1712527E7)</f>
        <v>11712527</v>
      </c>
      <c r="J1268" s="5"/>
      <c r="K1268" s="5"/>
      <c r="L1268" s="5"/>
      <c r="M1268" s="5"/>
      <c r="N1268" s="11" t="s">
        <v>19</v>
      </c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>
      <c r="A1269" s="6" t="s">
        <v>2550</v>
      </c>
      <c r="B1269" s="6" t="s">
        <v>2551</v>
      </c>
      <c r="C1269" s="5" t="s">
        <v>18</v>
      </c>
      <c r="D1269" s="7">
        <f>IFERROR(__xludf.DUMMYFUNCTION("GOOGLEFINANCE(""ASX:KOR"", ""price"")"),0.01)</f>
        <v>0.01</v>
      </c>
      <c r="E1269" s="8">
        <f>IFERROR(__xludf.DUMMYFUNCTION("GOOGLEFINANCE(""ASX:KOR"", ""closeyest"")"),0.01)</f>
        <v>0.01</v>
      </c>
      <c r="F1269" s="5" t="str">
        <f>IFERROR(__xludf.DUMMYFUNCTION("GOOGLEFINANCE(""ASX:KOR"", ""pe"")"),"#N/A")</f>
        <v>#N/A</v>
      </c>
      <c r="G1269" s="9">
        <f>IFERROR(__xludf.DUMMYFUNCTION("GOOGLEFINANCE(""ASX:KOR"", ""high52"")"),0.01)</f>
        <v>0.01</v>
      </c>
      <c r="H1269" s="9">
        <f>IFERROR(__xludf.DUMMYFUNCTION("GOOGLEFINANCE(""ASX:KOR"", ""low52"")"),0.01)</f>
        <v>0.01</v>
      </c>
      <c r="I1269" s="9">
        <f>IFERROR(__xludf.DUMMYFUNCTION("GOOGLEFINANCE(""ASX:KOR"", ""marketcap"")"),2936400.0)</f>
        <v>2936400</v>
      </c>
      <c r="J1269" s="5"/>
      <c r="K1269" s="5"/>
      <c r="L1269" s="5"/>
      <c r="M1269" s="5"/>
      <c r="N1269" s="11" t="s">
        <v>19</v>
      </c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>
      <c r="A1270" s="6" t="s">
        <v>2552</v>
      </c>
      <c r="B1270" s="6" t="s">
        <v>2553</v>
      </c>
      <c r="C1270" s="5" t="s">
        <v>1666</v>
      </c>
      <c r="D1270" s="7">
        <f>IFERROR(__xludf.DUMMYFUNCTION("GOOGLEFINANCE(""ASX:KOV"", ""price"")"),14.0)</f>
        <v>14</v>
      </c>
      <c r="E1270" s="8">
        <f>IFERROR(__xludf.DUMMYFUNCTION("GOOGLEFINANCE(""ASX:KOV"", ""closeyest"")"),14.02)</f>
        <v>14.02</v>
      </c>
      <c r="F1270" s="9">
        <f>IFERROR(__xludf.DUMMYFUNCTION("GOOGLEFINANCE(""ASX:KOV"", ""pe"")"),12.57)</f>
        <v>12.57</v>
      </c>
      <c r="G1270" s="9">
        <f>IFERROR(__xludf.DUMMYFUNCTION("GOOGLEFINANCE(""ASX:KOV"", ""high52"")"),14.45)</f>
        <v>14.45</v>
      </c>
      <c r="H1270" s="9">
        <f>IFERROR(__xludf.DUMMYFUNCTION("GOOGLEFINANCE(""ASX:KOV"", ""low52"")"),9.05)</f>
        <v>9.05</v>
      </c>
      <c r="I1270" s="9">
        <f>IFERROR(__xludf.DUMMYFUNCTION("GOOGLEFINANCE(""ASX:KOV"", ""marketcap"")"),1.6565612E8)</f>
        <v>165656120</v>
      </c>
      <c r="J1270" s="5"/>
      <c r="K1270" s="5"/>
      <c r="L1270" s="5"/>
      <c r="M1270" s="5"/>
      <c r="N1270" s="10">
        <v>12.63</v>
      </c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>
      <c r="A1271" s="6" t="s">
        <v>2554</v>
      </c>
      <c r="B1271" s="6" t="s">
        <v>2555</v>
      </c>
      <c r="C1271" s="5" t="s">
        <v>267</v>
      </c>
      <c r="D1271" s="7">
        <f>IFERROR(__xludf.DUMMYFUNCTION("GOOGLEFINANCE(""ASX:KP2"", ""price"")"),0.06)</f>
        <v>0.06</v>
      </c>
      <c r="E1271" s="8">
        <f>IFERROR(__xludf.DUMMYFUNCTION("GOOGLEFINANCE(""ASX:KP2"", ""closeyest"")"),0.06)</f>
        <v>0.06</v>
      </c>
      <c r="F1271" s="5" t="str">
        <f>IFERROR(__xludf.DUMMYFUNCTION("GOOGLEFINANCE(""ASX:KP2"", ""pe"")"),"#N/A")</f>
        <v>#N/A</v>
      </c>
      <c r="G1271" s="9">
        <f>IFERROR(__xludf.DUMMYFUNCTION("GOOGLEFINANCE(""ASX:KP2"", ""high52"")"),0.08)</f>
        <v>0.08</v>
      </c>
      <c r="H1271" s="9">
        <f>IFERROR(__xludf.DUMMYFUNCTION("GOOGLEFINANCE(""ASX:KP2"", ""low52"")"),0.03)</f>
        <v>0.03</v>
      </c>
      <c r="I1271" s="9">
        <f>IFERROR(__xludf.DUMMYFUNCTION("GOOGLEFINANCE(""ASX:KP2"", ""marketcap"")"),1.51228634E8)</f>
        <v>151228634</v>
      </c>
      <c r="J1271" s="5"/>
      <c r="K1271" s="5"/>
      <c r="L1271" s="5"/>
      <c r="M1271" s="5"/>
      <c r="N1271" s="11" t="s">
        <v>19</v>
      </c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>
      <c r="A1272" s="6" t="s">
        <v>2556</v>
      </c>
      <c r="B1272" s="6" t="s">
        <v>2557</v>
      </c>
      <c r="C1272" s="5" t="s">
        <v>161</v>
      </c>
      <c r="D1272" s="7">
        <f>IFERROR(__xludf.DUMMYFUNCTION("GOOGLEFINANCE(""ASX:KPG"", ""price"")"),8.48)</f>
        <v>8.48</v>
      </c>
      <c r="E1272" s="8">
        <f>IFERROR(__xludf.DUMMYFUNCTION("GOOGLEFINANCE(""ASX:KPG"", ""closeyest"")"),8.31)</f>
        <v>8.31</v>
      </c>
      <c r="F1272" s="9">
        <f>IFERROR(__xludf.DUMMYFUNCTION("GOOGLEFINANCE(""ASX:KPG"", ""pe"")"),111.61)</f>
        <v>111.61</v>
      </c>
      <c r="G1272" s="9">
        <f>IFERROR(__xludf.DUMMYFUNCTION("GOOGLEFINANCE(""ASX:KPG"", ""high52"")"),13.6)</f>
        <v>13.6</v>
      </c>
      <c r="H1272" s="9">
        <f>IFERROR(__xludf.DUMMYFUNCTION("GOOGLEFINANCE(""ASX:KPG"", ""low52"")"),7.76)</f>
        <v>7.76</v>
      </c>
      <c r="I1272" s="9">
        <f>IFERROR(__xludf.DUMMYFUNCTION("GOOGLEFINANCE(""ASX:KPG"", ""marketcap"")"),3.8393164E8)</f>
        <v>383931640</v>
      </c>
      <c r="J1272" s="5"/>
      <c r="K1272" s="5"/>
      <c r="L1272" s="5"/>
      <c r="M1272" s="5"/>
      <c r="N1272" s="10">
        <v>110.56</v>
      </c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>
      <c r="A1273" s="6" t="s">
        <v>2558</v>
      </c>
      <c r="B1273" s="6" t="s">
        <v>2559</v>
      </c>
      <c r="C1273" s="5" t="s">
        <v>171</v>
      </c>
      <c r="D1273" s="7">
        <f>IFERROR(__xludf.DUMMYFUNCTION("GOOGLEFINANCE(""ASX:KPO"", ""price"")"),0.02)</f>
        <v>0.02</v>
      </c>
      <c r="E1273" s="8">
        <f>IFERROR(__xludf.DUMMYFUNCTION("GOOGLEFINANCE(""ASX:KPO"", ""closeyest"")"),0.02)</f>
        <v>0.02</v>
      </c>
      <c r="F1273" s="5" t="str">
        <f>IFERROR(__xludf.DUMMYFUNCTION("GOOGLEFINANCE(""ASX:KPO"", ""pe"")"),"#N/A")</f>
        <v>#N/A</v>
      </c>
      <c r="G1273" s="9">
        <f>IFERROR(__xludf.DUMMYFUNCTION("GOOGLEFINANCE(""ASX:KPO"", ""high52"")"),0.02)</f>
        <v>0.02</v>
      </c>
      <c r="H1273" s="9">
        <f>IFERROR(__xludf.DUMMYFUNCTION("GOOGLEFINANCE(""ASX:KPO"", ""low52"")"),0.0)</f>
        <v>0</v>
      </c>
      <c r="I1273" s="9">
        <f>IFERROR(__xludf.DUMMYFUNCTION("GOOGLEFINANCE(""ASX:KPO"", ""marketcap"")"),3.2996204E7)</f>
        <v>32996204</v>
      </c>
      <c r="J1273" s="9">
        <v>2.13</v>
      </c>
      <c r="K1273" s="9">
        <v>2.13</v>
      </c>
      <c r="L1273" s="9">
        <v>2.24</v>
      </c>
      <c r="M1273" s="9">
        <v>1.815</v>
      </c>
      <c r="N1273" s="11" t="s">
        <v>19</v>
      </c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>
      <c r="A1274" s="6" t="s">
        <v>2560</v>
      </c>
      <c r="B1274" s="6" t="s">
        <v>2561</v>
      </c>
      <c r="C1274" s="5" t="s">
        <v>18</v>
      </c>
      <c r="D1274" s="7">
        <f>IFERROR(__xludf.DUMMYFUNCTION("GOOGLEFINANCE(""ASX:KRM"", ""price"")"),0.04)</f>
        <v>0.04</v>
      </c>
      <c r="E1274" s="8">
        <f>IFERROR(__xludf.DUMMYFUNCTION("GOOGLEFINANCE(""ASX:KRM"", ""closeyest"")"),0.04)</f>
        <v>0.04</v>
      </c>
      <c r="F1274" s="5" t="str">
        <f>IFERROR(__xludf.DUMMYFUNCTION("GOOGLEFINANCE(""ASX:KRM"", ""pe"")"),"#N/A")</f>
        <v>#N/A</v>
      </c>
      <c r="G1274" s="9">
        <f>IFERROR(__xludf.DUMMYFUNCTION("GOOGLEFINANCE(""ASX:KRM"", ""high52"")"),0.06)</f>
        <v>0.06</v>
      </c>
      <c r="H1274" s="9">
        <f>IFERROR(__xludf.DUMMYFUNCTION("GOOGLEFINANCE(""ASX:KRM"", ""low52"")"),0.03)</f>
        <v>0.03</v>
      </c>
      <c r="I1274" s="9">
        <f>IFERROR(__xludf.DUMMYFUNCTION("GOOGLEFINANCE(""ASX:KRM"", ""marketcap"")"),3.4021717E7)</f>
        <v>34021717</v>
      </c>
      <c r="J1274" s="5"/>
      <c r="K1274" s="5"/>
      <c r="L1274" s="5"/>
      <c r="M1274" s="5"/>
      <c r="N1274" s="11" t="s">
        <v>19</v>
      </c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>
      <c r="A1275" s="6" t="s">
        <v>2562</v>
      </c>
      <c r="B1275" s="6" t="s">
        <v>2563</v>
      </c>
      <c r="C1275" s="5" t="s">
        <v>88</v>
      </c>
      <c r="D1275" s="7">
        <f>IFERROR(__xludf.DUMMYFUNCTION("GOOGLEFINANCE(""ASX:KRR"", ""price"")"),0.01)</f>
        <v>0.01</v>
      </c>
      <c r="E1275" s="8">
        <f>IFERROR(__xludf.DUMMYFUNCTION("GOOGLEFINANCE(""ASX:KRR"", ""closeyest"")"),0.01)</f>
        <v>0.01</v>
      </c>
      <c r="F1275" s="5" t="str">
        <f>IFERROR(__xludf.DUMMYFUNCTION("GOOGLEFINANCE(""ASX:KRR"", ""pe"")"),"#N/A")</f>
        <v>#N/A</v>
      </c>
      <c r="G1275" s="9">
        <f>IFERROR(__xludf.DUMMYFUNCTION("GOOGLEFINANCE(""ASX:KRR"", ""high52"")"),0.02)</f>
        <v>0.02</v>
      </c>
      <c r="H1275" s="9">
        <f>IFERROR(__xludf.DUMMYFUNCTION("GOOGLEFINANCE(""ASX:KRR"", ""low52"")"),0.01)</f>
        <v>0.01</v>
      </c>
      <c r="I1275" s="9">
        <f>IFERROR(__xludf.DUMMYFUNCTION("GOOGLEFINANCE(""ASX:KRR"", ""marketcap"")"),2.4588256E7)</f>
        <v>24588256</v>
      </c>
      <c r="J1275" s="5"/>
      <c r="K1275" s="5"/>
      <c r="L1275" s="5"/>
      <c r="M1275" s="5"/>
      <c r="N1275" s="11" t="s">
        <v>19</v>
      </c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>
      <c r="A1276" s="6" t="s">
        <v>2564</v>
      </c>
      <c r="B1276" s="6" t="s">
        <v>2565</v>
      </c>
      <c r="C1276" s="5" t="s">
        <v>647</v>
      </c>
      <c r="D1276" s="7">
        <f>IFERROR(__xludf.DUMMYFUNCTION("GOOGLEFINANCE(""ASX:KSC"", ""price"")"),3.38)</f>
        <v>3.38</v>
      </c>
      <c r="E1276" s="8">
        <f>IFERROR(__xludf.DUMMYFUNCTION("GOOGLEFINANCE(""ASX:KSC"", ""closeyest"")"),3.38)</f>
        <v>3.38</v>
      </c>
      <c r="F1276" s="9">
        <f>IFERROR(__xludf.DUMMYFUNCTION("GOOGLEFINANCE(""ASX:KSC"", ""pe"")"),15.84)</f>
        <v>15.84</v>
      </c>
      <c r="G1276" s="9">
        <f>IFERROR(__xludf.DUMMYFUNCTION("GOOGLEFINANCE(""ASX:KSC"", ""high52"")"),3.69)</f>
        <v>3.69</v>
      </c>
      <c r="H1276" s="9">
        <f>IFERROR(__xludf.DUMMYFUNCTION("GOOGLEFINANCE(""ASX:KSC"", ""low52"")"),3.01)</f>
        <v>3.01</v>
      </c>
      <c r="I1276" s="9">
        <f>IFERROR(__xludf.DUMMYFUNCTION("GOOGLEFINANCE(""ASX:KSC"", ""marketcap"")"),4.62543889E8)</f>
        <v>462543889</v>
      </c>
      <c r="J1276" s="5"/>
      <c r="K1276" s="5"/>
      <c r="L1276" s="5"/>
      <c r="M1276" s="5"/>
      <c r="N1276" s="9">
        <f>IFERROR(__xludf.DUMMYFUNCTION("IFERROR(GOOGLEFINANCE(""ASX:KSC"", ""pe""), ""N/A"")"),15.84)</f>
        <v>15.84</v>
      </c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>
      <c r="A1277" s="6" t="s">
        <v>2566</v>
      </c>
      <c r="B1277" s="6" t="s">
        <v>2567</v>
      </c>
      <c r="C1277" s="5" t="s">
        <v>413</v>
      </c>
      <c r="D1277" s="7">
        <f>IFERROR(__xludf.DUMMYFUNCTION("GOOGLEFINANCE(""ASX:KSL"", ""price"")"),1.23)</f>
        <v>1.23</v>
      </c>
      <c r="E1277" s="8">
        <f>IFERROR(__xludf.DUMMYFUNCTION("GOOGLEFINANCE(""ASX:KSL"", ""closeyest"")"),1.24)</f>
        <v>1.24</v>
      </c>
      <c r="F1277" s="9">
        <f>IFERROR(__xludf.DUMMYFUNCTION("GOOGLEFINANCE(""ASX:KSL"", ""pe"")"),9.03)</f>
        <v>9.03</v>
      </c>
      <c r="G1277" s="9">
        <f>IFERROR(__xludf.DUMMYFUNCTION("GOOGLEFINANCE(""ASX:KSL"", ""high52"")"),1.39)</f>
        <v>1.39</v>
      </c>
      <c r="H1277" s="9">
        <f>IFERROR(__xludf.DUMMYFUNCTION("GOOGLEFINANCE(""ASX:KSL"", ""low52"")"),1.0)</f>
        <v>1</v>
      </c>
      <c r="I1277" s="9">
        <f>IFERROR(__xludf.DUMMYFUNCTION("GOOGLEFINANCE(""ASX:KSL"", ""marketcap"")"),3.57424136E8)</f>
        <v>357424136</v>
      </c>
      <c r="J1277" s="5"/>
      <c r="K1277" s="5"/>
      <c r="L1277" s="5"/>
      <c r="M1277" s="5"/>
      <c r="N1277" s="9">
        <f>IFERROR(__xludf.DUMMYFUNCTION("IFERROR(GOOGLEFINANCE(""ASX:KSL"", ""pe""), ""N/A"")"),9.03)</f>
        <v>9.03</v>
      </c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>
      <c r="A1278" s="6" t="s">
        <v>2568</v>
      </c>
      <c r="B1278" s="6" t="s">
        <v>2569</v>
      </c>
      <c r="C1278" s="5" t="s">
        <v>36</v>
      </c>
      <c r="D1278" s="7" t="str">
        <f>IFERROR(__xludf.DUMMYFUNCTION("GOOGLEFINANCE(""ASX:KSM"", ""price"")"),"#N/A")</f>
        <v>#N/A</v>
      </c>
      <c r="E1278" s="8" t="str">
        <f>IFERROR(__xludf.DUMMYFUNCTION("GOOGLEFINANCE(""ASX:KSM"", ""closeyest"")"),"#N/A")</f>
        <v>#N/A</v>
      </c>
      <c r="F1278" s="5" t="str">
        <f>IFERROR(__xludf.DUMMYFUNCTION("GOOGLEFINANCE(""ASX:KSM"", ""pe"")"),"#N/A")</f>
        <v>#N/A</v>
      </c>
      <c r="G1278" s="5" t="str">
        <f>IFERROR(__xludf.DUMMYFUNCTION("GOOGLEFINANCE(""ASX:KSM"", ""high52"")"),"#N/A")</f>
        <v>#N/A</v>
      </c>
      <c r="H1278" s="5" t="str">
        <f>IFERROR(__xludf.DUMMYFUNCTION("GOOGLEFINANCE(""ASX:KSM"", ""low52"")"),"#N/A")</f>
        <v>#N/A</v>
      </c>
      <c r="I1278" s="9" t="str">
        <f>IFERROR(__xludf.DUMMYFUNCTION("GOOGLEFINANCE(""ASX:KSM"", ""marketcap"")"),"#N/A")</f>
        <v>#N/A</v>
      </c>
      <c r="J1278" s="12">
        <v>2.66</v>
      </c>
      <c r="K1278" s="12">
        <v>2.66</v>
      </c>
      <c r="L1278" s="12">
        <v>2.69</v>
      </c>
      <c r="M1278" s="12">
        <v>2.0</v>
      </c>
      <c r="N1278" s="11" t="s">
        <v>19</v>
      </c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>
      <c r="A1279" s="6" t="s">
        <v>2570</v>
      </c>
      <c r="B1279" s="6" t="s">
        <v>2571</v>
      </c>
      <c r="C1279" s="5" t="s">
        <v>18</v>
      </c>
      <c r="D1279" s="7">
        <f>IFERROR(__xludf.DUMMYFUNCTION("GOOGLEFINANCE(""ASX:KSN"", ""price"")"),0.14)</f>
        <v>0.14</v>
      </c>
      <c r="E1279" s="8">
        <f>IFERROR(__xludf.DUMMYFUNCTION("GOOGLEFINANCE(""ASX:KSN"", ""closeyest"")"),0.13)</f>
        <v>0.13</v>
      </c>
      <c r="F1279" s="5" t="str">
        <f>IFERROR(__xludf.DUMMYFUNCTION("GOOGLEFINANCE(""ASX:KSN"", ""pe"")"),"#N/A")</f>
        <v>#N/A</v>
      </c>
      <c r="G1279" s="9">
        <f>IFERROR(__xludf.DUMMYFUNCTION("GOOGLEFINANCE(""ASX:KSN"", ""high52"")"),0.17)</f>
        <v>0.17</v>
      </c>
      <c r="H1279" s="9">
        <f>IFERROR(__xludf.DUMMYFUNCTION("GOOGLEFINANCE(""ASX:KSN"", ""low52"")"),0.07)</f>
        <v>0.07</v>
      </c>
      <c r="I1279" s="9">
        <f>IFERROR(__xludf.DUMMYFUNCTION("GOOGLEFINANCE(""ASX:KSN"", ""marketcap"")"),1.13429178E8)</f>
        <v>113429178</v>
      </c>
      <c r="J1279" s="5"/>
      <c r="K1279" s="5"/>
      <c r="L1279" s="5"/>
      <c r="M1279" s="5"/>
      <c r="N1279" s="11" t="s">
        <v>19</v>
      </c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>
      <c r="A1280" s="6" t="s">
        <v>2572</v>
      </c>
      <c r="B1280" s="6" t="s">
        <v>2573</v>
      </c>
      <c r="C1280" s="5" t="s">
        <v>88</v>
      </c>
      <c r="D1280" s="7">
        <f>IFERROR(__xludf.DUMMYFUNCTION("GOOGLEFINANCE(""ASX:KTA"", ""price"")"),0.01)</f>
        <v>0.01</v>
      </c>
      <c r="E1280" s="8">
        <f>IFERROR(__xludf.DUMMYFUNCTION("GOOGLEFINANCE(""ASX:KTA"", ""closeyest"")"),0.01)</f>
        <v>0.01</v>
      </c>
      <c r="F1280" s="5" t="str">
        <f>IFERROR(__xludf.DUMMYFUNCTION("GOOGLEFINANCE(""ASX:KTA"", ""pe"")"),"#N/A")</f>
        <v>#N/A</v>
      </c>
      <c r="G1280" s="9">
        <f>IFERROR(__xludf.DUMMYFUNCTION("GOOGLEFINANCE(""ASX:KTA"", ""high52"")"),0.02)</f>
        <v>0.02</v>
      </c>
      <c r="H1280" s="9">
        <f>IFERROR(__xludf.DUMMYFUNCTION("GOOGLEFINANCE(""ASX:KTA"", ""low52"")"),0.01)</f>
        <v>0.01</v>
      </c>
      <c r="I1280" s="9">
        <f>IFERROR(__xludf.DUMMYFUNCTION("GOOGLEFINANCE(""ASX:KTA"", ""marketcap"")"),1.0733719E7)</f>
        <v>10733719</v>
      </c>
      <c r="J1280" s="5"/>
      <c r="K1280" s="5"/>
      <c r="L1280" s="5"/>
      <c r="M1280" s="5"/>
      <c r="N1280" s="11" t="s">
        <v>19</v>
      </c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>
      <c r="A1281" s="6" t="s">
        <v>2574</v>
      </c>
      <c r="B1281" s="6" t="s">
        <v>2575</v>
      </c>
      <c r="C1281" s="5" t="s">
        <v>509</v>
      </c>
      <c r="D1281" s="7">
        <f>IFERROR(__xludf.DUMMYFUNCTION("GOOGLEFINANCE(""ASX:KYP"", ""price"")"),0.3)</f>
        <v>0.3</v>
      </c>
      <c r="E1281" s="8">
        <f>IFERROR(__xludf.DUMMYFUNCTION("GOOGLEFINANCE(""ASX:KYP"", ""closeyest"")"),0.3)</f>
        <v>0.3</v>
      </c>
      <c r="F1281" s="9">
        <f>IFERROR(__xludf.DUMMYFUNCTION("GOOGLEFINANCE(""ASX:KYP"", ""pe"")"),109.67)</f>
        <v>109.67</v>
      </c>
      <c r="G1281" s="9">
        <f>IFERROR(__xludf.DUMMYFUNCTION("GOOGLEFINANCE(""ASX:KYP"", ""high52"")"),0.42)</f>
        <v>0.42</v>
      </c>
      <c r="H1281" s="9">
        <f>IFERROR(__xludf.DUMMYFUNCTION("GOOGLEFINANCE(""ASX:KYP"", ""low52"")"),0.13)</f>
        <v>0.13</v>
      </c>
      <c r="I1281" s="9">
        <f>IFERROR(__xludf.DUMMYFUNCTION("GOOGLEFINANCE(""ASX:KYP"", ""marketcap"")"),1.29089604E8)</f>
        <v>129089604</v>
      </c>
      <c r="J1281" s="9">
        <v>0.001</v>
      </c>
      <c r="K1281" s="9">
        <v>0.001</v>
      </c>
      <c r="L1281" s="9">
        <v>0.003</v>
      </c>
      <c r="M1281" s="9">
        <v>0.001</v>
      </c>
      <c r="N1281" s="9">
        <f>IFERROR(__xludf.DUMMYFUNCTION("IFERROR(GOOGLEFINANCE(""ASX:KYP"", ""pe""), ""N/A"")"),109.67)</f>
        <v>109.67</v>
      </c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>
      <c r="A1282" s="6" t="s">
        <v>2576</v>
      </c>
      <c r="B1282" s="6" t="s">
        <v>2577</v>
      </c>
      <c r="C1282" s="5" t="s">
        <v>18</v>
      </c>
      <c r="D1282" s="7">
        <f>IFERROR(__xludf.DUMMYFUNCTION("GOOGLEFINANCE(""ASX:KZR"", ""price"")"),0.19)</f>
        <v>0.19</v>
      </c>
      <c r="E1282" s="8">
        <f>IFERROR(__xludf.DUMMYFUNCTION("GOOGLEFINANCE(""ASX:KZR"", ""closeyest"")"),0.21)</f>
        <v>0.21</v>
      </c>
      <c r="F1282" s="5" t="str">
        <f>IFERROR(__xludf.DUMMYFUNCTION("GOOGLEFINANCE(""ASX:KZR"", ""pe"")"),"#N/A")</f>
        <v>#N/A</v>
      </c>
      <c r="G1282" s="9">
        <f>IFERROR(__xludf.DUMMYFUNCTION("GOOGLEFINANCE(""ASX:KZR"", ""high52"")"),0.23)</f>
        <v>0.23</v>
      </c>
      <c r="H1282" s="9">
        <f>IFERROR(__xludf.DUMMYFUNCTION("GOOGLEFINANCE(""ASX:KZR"", ""low52"")"),0.07)</f>
        <v>0.07</v>
      </c>
      <c r="I1282" s="9">
        <f>IFERROR(__xludf.DUMMYFUNCTION("GOOGLEFINANCE(""ASX:KZR"", ""marketcap"")"),4.4726655E7)</f>
        <v>44726655</v>
      </c>
      <c r="J1282" s="5"/>
      <c r="K1282" s="5"/>
      <c r="L1282" s="5"/>
      <c r="M1282" s="5"/>
      <c r="N1282" s="11" t="s">
        <v>19</v>
      </c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>
      <c r="A1283" s="6" t="s">
        <v>2578</v>
      </c>
      <c r="B1283" s="6" t="s">
        <v>2579</v>
      </c>
      <c r="C1283" s="5" t="s">
        <v>171</v>
      </c>
      <c r="D1283" s="7">
        <f>IFERROR(__xludf.DUMMYFUNCTION("GOOGLEFINANCE(""ASX:L1G"", ""price"")"),1.1)</f>
        <v>1.1</v>
      </c>
      <c r="E1283" s="8">
        <f>IFERROR(__xludf.DUMMYFUNCTION("GOOGLEFINANCE(""ASX:L1G"", ""closeyest"")"),1.07)</f>
        <v>1.07</v>
      </c>
      <c r="F1283" s="9">
        <f>IFERROR(__xludf.DUMMYFUNCTION("GOOGLEFINANCE(""ASX:L1G"", ""pe"")"),100.37)</f>
        <v>100.37</v>
      </c>
      <c r="G1283" s="9">
        <f>IFERROR(__xludf.DUMMYFUNCTION("GOOGLEFINANCE(""ASX:L1G"", ""high52"")"),1.21)</f>
        <v>1.21</v>
      </c>
      <c r="H1283" s="9">
        <f>IFERROR(__xludf.DUMMYFUNCTION("GOOGLEFINANCE(""ASX:L1G"", ""low52"")"),0.65)</f>
        <v>0.65</v>
      </c>
      <c r="I1283" s="9">
        <f>IFERROR(__xludf.DUMMYFUNCTION("GOOGLEFINANCE(""ASX:L1G"", ""marketcap"")"),2.797030843E9)</f>
        <v>2797030843</v>
      </c>
      <c r="J1283" s="5"/>
      <c r="K1283" s="5"/>
      <c r="L1283" s="5"/>
      <c r="M1283" s="5"/>
      <c r="N1283" s="9">
        <f>IFERROR(__xludf.DUMMYFUNCTION("IFERROR(GOOGLEFINANCE(""ASX:L1G"", ""pe""), ""N/A"")"),100.37)</f>
        <v>100.37</v>
      </c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>
      <c r="A1284" s="6" t="s">
        <v>2580</v>
      </c>
      <c r="B1284" s="6" t="s">
        <v>2581</v>
      </c>
      <c r="C1284" s="5" t="s">
        <v>36</v>
      </c>
      <c r="D1284" s="7">
        <f>IFERROR(__xludf.DUMMYFUNCTION("GOOGLEFINANCE(""ASX:L1HI"", ""price"")"),5.94)</f>
        <v>5.94</v>
      </c>
      <c r="E1284" s="8">
        <f>IFERROR(__xludf.DUMMYFUNCTION("GOOGLEFINANCE(""ASX:L1HI"", ""closeyest"")"),5.94)</f>
        <v>5.94</v>
      </c>
      <c r="F1284" s="5" t="str">
        <f>IFERROR(__xludf.DUMMYFUNCTION("GOOGLEFINANCE(""ASX:L1HI"", ""pe"")"),"#N/A")</f>
        <v>#N/A</v>
      </c>
      <c r="G1284" s="9">
        <f>IFERROR(__xludf.DUMMYFUNCTION("GOOGLEFINANCE(""ASX:L1HI"", ""high52"")"),6.02)</f>
        <v>6.02</v>
      </c>
      <c r="H1284" s="9">
        <f>IFERROR(__xludf.DUMMYFUNCTION("GOOGLEFINANCE(""ASX:L1HI"", ""low52"")"),4.72)</f>
        <v>4.72</v>
      </c>
      <c r="I1284" s="9" t="str">
        <f>IFERROR(__xludf.DUMMYFUNCTION("GOOGLEFINANCE(""ASX:L1HI"", ""marketcap"")"),"#N/A")</f>
        <v>#N/A</v>
      </c>
      <c r="J1284" s="5"/>
      <c r="K1284" s="5"/>
      <c r="L1284" s="5"/>
      <c r="M1284" s="5"/>
      <c r="N1284" s="11" t="s">
        <v>19</v>
      </c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>
      <c r="A1285" s="6" t="s">
        <v>2582</v>
      </c>
      <c r="B1285" s="6" t="s">
        <v>2583</v>
      </c>
      <c r="C1285" s="5" t="s">
        <v>36</v>
      </c>
      <c r="D1285" s="7" t="str">
        <f>IFERROR(__xludf.DUMMYFUNCTION("GOOGLEFINANCE(""ASX:L1IF"", ""price"")"),"#N/A")</f>
        <v>#N/A</v>
      </c>
      <c r="E1285" s="8" t="str">
        <f>IFERROR(__xludf.DUMMYFUNCTION("GOOGLEFINANCE(""ASX:L1IF"", ""closeyest"")"),"#N/A")</f>
        <v>#N/A</v>
      </c>
      <c r="F1285" s="5" t="str">
        <f>IFERROR(__xludf.DUMMYFUNCTION("GOOGLEFINANCE(""ASX:L1IF"", ""pe"")"),"#N/A")</f>
        <v>#N/A</v>
      </c>
      <c r="G1285" s="5" t="str">
        <f>IFERROR(__xludf.DUMMYFUNCTION("GOOGLEFINANCE(""ASX:L1IF"", ""high52"")"),"#N/A")</f>
        <v>#N/A</v>
      </c>
      <c r="H1285" s="5" t="str">
        <f>IFERROR(__xludf.DUMMYFUNCTION("GOOGLEFINANCE(""ASX:L1IF"", ""low52"")"),"#N/A")</f>
        <v>#N/A</v>
      </c>
      <c r="I1285" s="9" t="str">
        <f>IFERROR(__xludf.DUMMYFUNCTION("GOOGLEFINANCE(""ASX:L1IF"", ""marketcap"")"),"#N/A")</f>
        <v>#N/A</v>
      </c>
      <c r="J1285" s="12">
        <v>6.9</v>
      </c>
      <c r="K1285" s="12">
        <v>6.9</v>
      </c>
      <c r="L1285" s="12">
        <v>7.02</v>
      </c>
      <c r="M1285" s="12">
        <v>5.92</v>
      </c>
      <c r="N1285" s="11" t="s">
        <v>19</v>
      </c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>
      <c r="A1286" s="6" t="s">
        <v>2584</v>
      </c>
      <c r="B1286" s="6" t="s">
        <v>2585</v>
      </c>
      <c r="C1286" s="5" t="s">
        <v>18</v>
      </c>
      <c r="D1286" s="7">
        <f>IFERROR(__xludf.DUMMYFUNCTION("GOOGLEFINANCE(""ASX:L1M"", ""price"")"),0.03)</f>
        <v>0.03</v>
      </c>
      <c r="E1286" s="8">
        <f>IFERROR(__xludf.DUMMYFUNCTION("GOOGLEFINANCE(""ASX:L1M"", ""closeyest"")"),0.03)</f>
        <v>0.03</v>
      </c>
      <c r="F1286" s="5" t="str">
        <f>IFERROR(__xludf.DUMMYFUNCTION("GOOGLEFINANCE(""ASX:L1M"", ""pe"")"),"#N/A")</f>
        <v>#N/A</v>
      </c>
      <c r="G1286" s="9">
        <f>IFERROR(__xludf.DUMMYFUNCTION("GOOGLEFINANCE(""ASX:L1M"", ""high52"")"),0.1)</f>
        <v>0.1</v>
      </c>
      <c r="H1286" s="9">
        <f>IFERROR(__xludf.DUMMYFUNCTION("GOOGLEFINANCE(""ASX:L1M"", ""low52"")"),0.02)</f>
        <v>0.02</v>
      </c>
      <c r="I1286" s="9">
        <f>IFERROR(__xludf.DUMMYFUNCTION("GOOGLEFINANCE(""ASX:L1M"", ""marketcap"")"),6230812.0)</f>
        <v>6230812</v>
      </c>
      <c r="J1286" s="5"/>
      <c r="K1286" s="5"/>
      <c r="L1286" s="5"/>
      <c r="M1286" s="5"/>
      <c r="N1286" s="11" t="s">
        <v>19</v>
      </c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>
      <c r="A1287" s="6" t="s">
        <v>2586</v>
      </c>
      <c r="B1287" s="6" t="s">
        <v>2587</v>
      </c>
      <c r="C1287" s="5" t="s">
        <v>28</v>
      </c>
      <c r="D1287" s="7">
        <f>IFERROR(__xludf.DUMMYFUNCTION("GOOGLEFINANCE(""ASX:LAM"", ""price"")"),0.76)</f>
        <v>0.76</v>
      </c>
      <c r="E1287" s="8">
        <f>IFERROR(__xludf.DUMMYFUNCTION("GOOGLEFINANCE(""ASX:LAM"", ""closeyest"")"),0.7)</f>
        <v>0.7</v>
      </c>
      <c r="F1287" s="5" t="str">
        <f>IFERROR(__xludf.DUMMYFUNCTION("GOOGLEFINANCE(""ASX:LAM"", ""pe"")"),"#N/A")</f>
        <v>#N/A</v>
      </c>
      <c r="G1287" s="9">
        <f>IFERROR(__xludf.DUMMYFUNCTION("GOOGLEFINANCE(""ASX:LAM"", ""high52"")"),0.88)</f>
        <v>0.88</v>
      </c>
      <c r="H1287" s="9">
        <f>IFERROR(__xludf.DUMMYFUNCTION("GOOGLEFINANCE(""ASX:LAM"", ""low52"")"),0.55)</f>
        <v>0.55</v>
      </c>
      <c r="I1287" s="9">
        <f>IFERROR(__xludf.DUMMYFUNCTION("GOOGLEFINANCE(""ASX:LAM"", ""marketcap"")"),1.84353188E8)</f>
        <v>184353188</v>
      </c>
      <c r="J1287" s="5"/>
      <c r="K1287" s="5"/>
      <c r="L1287" s="5"/>
      <c r="M1287" s="5"/>
      <c r="N1287" s="11" t="s">
        <v>19</v>
      </c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>
      <c r="A1288" s="6" t="s">
        <v>2586</v>
      </c>
      <c r="B1288" s="6" t="s">
        <v>2587</v>
      </c>
      <c r="C1288" s="5" t="s">
        <v>28</v>
      </c>
      <c r="D1288" s="7">
        <f>IFERROR(__xludf.DUMMYFUNCTION("GOOGLEFINANCE(""ASX:LAM"", ""price"")"),0.76)</f>
        <v>0.76</v>
      </c>
      <c r="E1288" s="8">
        <f>IFERROR(__xludf.DUMMYFUNCTION("GOOGLEFINANCE(""ASX:LAM"", ""closeyest"")"),0.7)</f>
        <v>0.7</v>
      </c>
      <c r="F1288" s="5" t="str">
        <f>IFERROR(__xludf.DUMMYFUNCTION("GOOGLEFINANCE(""ASX:LAM"", ""pe"")"),"#N/A")</f>
        <v>#N/A</v>
      </c>
      <c r="G1288" s="9">
        <f>IFERROR(__xludf.DUMMYFUNCTION("GOOGLEFINANCE(""ASX:LAM"", ""high52"")"),0.88)</f>
        <v>0.88</v>
      </c>
      <c r="H1288" s="9">
        <f>IFERROR(__xludf.DUMMYFUNCTION("GOOGLEFINANCE(""ASX:LAM"", ""low52"")"),0.55)</f>
        <v>0.55</v>
      </c>
      <c r="I1288" s="9">
        <f>IFERROR(__xludf.DUMMYFUNCTION("GOOGLEFINANCE(""ASX:LAM"", ""marketcap"")"),1.84353188E8)</f>
        <v>184353188</v>
      </c>
      <c r="J1288" s="5"/>
      <c r="K1288" s="5"/>
      <c r="L1288" s="5"/>
      <c r="M1288" s="5"/>
      <c r="N1288" s="11" t="s">
        <v>19</v>
      </c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>
      <c r="A1289" s="13" t="s">
        <v>2586</v>
      </c>
      <c r="B1289" s="13" t="s">
        <v>2587</v>
      </c>
      <c r="C1289" s="14" t="s">
        <v>28</v>
      </c>
      <c r="D1289" s="15">
        <f>IFERROR(__xludf.DUMMYFUNCTION("GOOGLEFINANCE(""ASX:LAM"", ""price"")"),0.76)</f>
        <v>0.76</v>
      </c>
      <c r="E1289" s="8">
        <f>IFERROR(__xludf.DUMMYFUNCTION("GOOGLEFINANCE(""ASX:LAM"", ""closeyest"")"),0.7)</f>
        <v>0.7</v>
      </c>
      <c r="F1289" s="5" t="str">
        <f>IFERROR(__xludf.DUMMYFUNCTION("GOOGLEFINANCE(""ASX:LAM"", ""pe"")"),"#N/A")</f>
        <v>#N/A</v>
      </c>
      <c r="G1289" s="9">
        <f>IFERROR(__xludf.DUMMYFUNCTION("GOOGLEFINANCE(""ASX:LAM"", ""high52"")"),0.88)</f>
        <v>0.88</v>
      </c>
      <c r="H1289" s="9">
        <f>IFERROR(__xludf.DUMMYFUNCTION("GOOGLEFINANCE(""ASX:LAM"", ""low52"")"),0.55)</f>
        <v>0.55</v>
      </c>
      <c r="I1289" s="9">
        <f>IFERROR(__xludf.DUMMYFUNCTION("GOOGLEFINANCE(""ASX:LAM"", ""marketcap"")"),1.84353188E8)</f>
        <v>184353188</v>
      </c>
      <c r="J1289" s="5"/>
      <c r="K1289" s="5"/>
      <c r="L1289" s="5"/>
      <c r="M1289" s="5"/>
      <c r="N1289" s="11" t="s">
        <v>19</v>
      </c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>
      <c r="A1290" s="6" t="s">
        <v>2588</v>
      </c>
      <c r="B1290" s="6" t="s">
        <v>2589</v>
      </c>
      <c r="C1290" s="5" t="s">
        <v>18</v>
      </c>
      <c r="D1290" s="7">
        <f>IFERROR(__xludf.DUMMYFUNCTION("GOOGLEFINANCE(""ASX:LAT"", ""price"")"),0.08)</f>
        <v>0.08</v>
      </c>
      <c r="E1290" s="8">
        <f>IFERROR(__xludf.DUMMYFUNCTION("GOOGLEFINANCE(""ASX:LAT"", ""closeyest"")"),0.08)</f>
        <v>0.08</v>
      </c>
      <c r="F1290" s="5" t="str">
        <f>IFERROR(__xludf.DUMMYFUNCTION("GOOGLEFINANCE(""ASX:LAT"", ""pe"")"),"#N/A")</f>
        <v>#N/A</v>
      </c>
      <c r="G1290" s="9">
        <f>IFERROR(__xludf.DUMMYFUNCTION("GOOGLEFINANCE(""ASX:LAT"", ""high52"")"),0.09)</f>
        <v>0.09</v>
      </c>
      <c r="H1290" s="9">
        <f>IFERROR(__xludf.DUMMYFUNCTION("GOOGLEFINANCE(""ASX:LAT"", ""low52"")"),0.02)</f>
        <v>0.02</v>
      </c>
      <c r="I1290" s="9">
        <f>IFERROR(__xludf.DUMMYFUNCTION("GOOGLEFINANCE(""ASX:LAT"", ""marketcap"")"),1.1090414E7)</f>
        <v>11090414</v>
      </c>
      <c r="J1290" s="5"/>
      <c r="K1290" s="5"/>
      <c r="L1290" s="5"/>
      <c r="M1290" s="5"/>
      <c r="N1290" s="11" t="s">
        <v>19</v>
      </c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>
      <c r="A1291" s="6" t="s">
        <v>2590</v>
      </c>
      <c r="B1291" s="6" t="s">
        <v>2591</v>
      </c>
      <c r="C1291" s="5" t="s">
        <v>647</v>
      </c>
      <c r="D1291" s="7">
        <f>IFERROR(__xludf.DUMMYFUNCTION("GOOGLEFINANCE(""ASX:LAU"", ""price"")"),0.7)</f>
        <v>0.7</v>
      </c>
      <c r="E1291" s="8">
        <f>IFERROR(__xludf.DUMMYFUNCTION("GOOGLEFINANCE(""ASX:LAU"", ""closeyest"")"),0.7)</f>
        <v>0.7</v>
      </c>
      <c r="F1291" s="9">
        <f>IFERROR(__xludf.DUMMYFUNCTION("GOOGLEFINANCE(""ASX:LAU"", ""pe"")"),12.67)</f>
        <v>12.67</v>
      </c>
      <c r="G1291" s="9">
        <f>IFERROR(__xludf.DUMMYFUNCTION("GOOGLEFINANCE(""ASX:LAU"", ""high52"")"),0.9)</f>
        <v>0.9</v>
      </c>
      <c r="H1291" s="9">
        <f>IFERROR(__xludf.DUMMYFUNCTION("GOOGLEFINANCE(""ASX:LAU"", ""low52"")"),0.58)</f>
        <v>0.58</v>
      </c>
      <c r="I1291" s="9">
        <f>IFERROR(__xludf.DUMMYFUNCTION("GOOGLEFINANCE(""ASX:LAU"", ""marketcap"")"),2.55196895E8)</f>
        <v>255196895</v>
      </c>
      <c r="J1291" s="9">
        <v>0.003</v>
      </c>
      <c r="K1291" s="9">
        <v>0.003</v>
      </c>
      <c r="L1291" s="9">
        <v>0.005</v>
      </c>
      <c r="M1291" s="9">
        <v>0.001</v>
      </c>
      <c r="N1291" s="9">
        <f>IFERROR(__xludf.DUMMYFUNCTION("IFERROR(GOOGLEFINANCE(""ASX:LAU"", ""pe""), ""N/A"")"),12.67)</f>
        <v>12.67</v>
      </c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>
      <c r="A1292" s="6" t="s">
        <v>2592</v>
      </c>
      <c r="B1292" s="6" t="s">
        <v>2593</v>
      </c>
      <c r="C1292" s="5" t="s">
        <v>396</v>
      </c>
      <c r="D1292" s="7">
        <f>IFERROR(__xludf.DUMMYFUNCTION("GOOGLEFINANCE(""ASX:LBL"", ""price"")"),0.62)</f>
        <v>0.62</v>
      </c>
      <c r="E1292" s="8">
        <f>IFERROR(__xludf.DUMMYFUNCTION("GOOGLEFINANCE(""ASX:LBL"", ""closeyest"")"),0.62)</f>
        <v>0.62</v>
      </c>
      <c r="F1292" s="9">
        <f>IFERROR(__xludf.DUMMYFUNCTION("GOOGLEFINANCE(""ASX:LBL"", ""pe"")"),18.82)</f>
        <v>18.82</v>
      </c>
      <c r="G1292" s="9">
        <f>IFERROR(__xludf.DUMMYFUNCTION("GOOGLEFINANCE(""ASX:LBL"", ""high52"")"),0.67)</f>
        <v>0.67</v>
      </c>
      <c r="H1292" s="9">
        <f>IFERROR(__xludf.DUMMYFUNCTION("GOOGLEFINANCE(""ASX:LBL"", ""low52"")"),0.33)</f>
        <v>0.33</v>
      </c>
      <c r="I1292" s="9">
        <f>IFERROR(__xludf.DUMMYFUNCTION("GOOGLEFINANCE(""ASX:LBL"", ""marketcap"")"),7.269337E7)</f>
        <v>72693370</v>
      </c>
      <c r="J1292" s="5"/>
      <c r="K1292" s="5"/>
      <c r="L1292" s="5"/>
      <c r="M1292" s="5"/>
      <c r="N1292" s="9">
        <f>IFERROR(__xludf.DUMMYFUNCTION("IFERROR(GOOGLEFINANCE(""ASX:LBL"", ""pe""), ""N/A"")"),18.82)</f>
        <v>18.82</v>
      </c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>
      <c r="A1293" s="6" t="s">
        <v>2594</v>
      </c>
      <c r="B1293" s="6" t="s">
        <v>2595</v>
      </c>
      <c r="C1293" s="5" t="s">
        <v>171</v>
      </c>
      <c r="D1293" s="7">
        <f>IFERROR(__xludf.DUMMYFUNCTION("GOOGLEFINANCE(""ASX:LCE"", ""price"")"),0.85)</f>
        <v>0.85</v>
      </c>
      <c r="E1293" s="8">
        <f>IFERROR(__xludf.DUMMYFUNCTION("GOOGLEFINANCE(""ASX:LCE"", ""closeyest"")"),0.85)</f>
        <v>0.85</v>
      </c>
      <c r="F1293" s="9">
        <f>IFERROR(__xludf.DUMMYFUNCTION("GOOGLEFINANCE(""ASX:LCE"", ""pe"")"),53.22)</f>
        <v>53.22</v>
      </c>
      <c r="G1293" s="9">
        <f>IFERROR(__xludf.DUMMYFUNCTION("GOOGLEFINANCE(""ASX:LCE"", ""high52"")"),0.87)</f>
        <v>0.87</v>
      </c>
      <c r="H1293" s="9">
        <f>IFERROR(__xludf.DUMMYFUNCTION("GOOGLEFINANCE(""ASX:LCE"", ""low52"")"),0.76)</f>
        <v>0.76</v>
      </c>
      <c r="I1293" s="9">
        <f>IFERROR(__xludf.DUMMYFUNCTION("GOOGLEFINANCE(""ASX:LCE"", ""marketcap"")"),2.698095E7)</f>
        <v>26980950</v>
      </c>
      <c r="J1293" s="5"/>
      <c r="K1293" s="5"/>
      <c r="L1293" s="5"/>
      <c r="M1293" s="5"/>
      <c r="N1293" s="9">
        <f>IFERROR(__xludf.DUMMYFUNCTION("IFERROR(GOOGLEFINANCE(""ASX:LCE"", ""pe""), ""N/A"")"),53.22)</f>
        <v>53.22</v>
      </c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>
      <c r="A1294" s="6" t="s">
        <v>2596</v>
      </c>
      <c r="B1294" s="6" t="s">
        <v>2597</v>
      </c>
      <c r="C1294" s="5" t="s">
        <v>18</v>
      </c>
      <c r="D1294" s="7">
        <f>IFERROR(__xludf.DUMMYFUNCTION("GOOGLEFINANCE(""ASX:LCL"", ""price"")"),0.01)</f>
        <v>0.01</v>
      </c>
      <c r="E1294" s="8">
        <f>IFERROR(__xludf.DUMMYFUNCTION("GOOGLEFINANCE(""ASX:LCL"", ""closeyest"")"),0.01)</f>
        <v>0.01</v>
      </c>
      <c r="F1294" s="5" t="str">
        <f>IFERROR(__xludf.DUMMYFUNCTION("GOOGLEFINANCE(""ASX:LCL"", ""pe"")"),"#N/A")</f>
        <v>#N/A</v>
      </c>
      <c r="G1294" s="9">
        <f>IFERROR(__xludf.DUMMYFUNCTION("GOOGLEFINANCE(""ASX:LCL"", ""high52"")"),0.01)</f>
        <v>0.01</v>
      </c>
      <c r="H1294" s="9">
        <f>IFERROR(__xludf.DUMMYFUNCTION("GOOGLEFINANCE(""ASX:LCL"", ""low52"")"),0.01)</f>
        <v>0.01</v>
      </c>
      <c r="I1294" s="9">
        <f>IFERROR(__xludf.DUMMYFUNCTION("GOOGLEFINANCE(""ASX:LCL"", ""marketcap"")"),5876360.0)</f>
        <v>5876360</v>
      </c>
      <c r="J1294" s="5"/>
      <c r="K1294" s="5"/>
      <c r="L1294" s="5"/>
      <c r="M1294" s="5"/>
      <c r="N1294" s="11" t="s">
        <v>19</v>
      </c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>
      <c r="A1295" s="6" t="s">
        <v>2598</v>
      </c>
      <c r="B1295" s="6" t="s">
        <v>2599</v>
      </c>
      <c r="C1295" s="5" t="s">
        <v>18</v>
      </c>
      <c r="D1295" s="7">
        <f>IFERROR(__xludf.DUMMYFUNCTION("GOOGLEFINANCE(""ASX:LCY"", ""price"")"),0.01)</f>
        <v>0.01</v>
      </c>
      <c r="E1295" s="8">
        <f>IFERROR(__xludf.DUMMYFUNCTION("GOOGLEFINANCE(""ASX:LCY"", ""closeyest"")"),0.01)</f>
        <v>0.01</v>
      </c>
      <c r="F1295" s="5" t="str">
        <f>IFERROR(__xludf.DUMMYFUNCTION("GOOGLEFINANCE(""ASX:LCY"", ""pe"")"),"#N/A")</f>
        <v>#N/A</v>
      </c>
      <c r="G1295" s="9">
        <f>IFERROR(__xludf.DUMMYFUNCTION("GOOGLEFINANCE(""ASX:LCY"", ""high52"")"),0.01)</f>
        <v>0.01</v>
      </c>
      <c r="H1295" s="9">
        <f>IFERROR(__xludf.DUMMYFUNCTION("GOOGLEFINANCE(""ASX:LCY"", ""low52"")"),0.01)</f>
        <v>0.01</v>
      </c>
      <c r="I1295" s="9">
        <f>IFERROR(__xludf.DUMMYFUNCTION("GOOGLEFINANCE(""ASX:LCY"", ""marketcap"")"),4.7834011E7)</f>
        <v>47834011</v>
      </c>
      <c r="J1295" s="5"/>
      <c r="K1295" s="5"/>
      <c r="L1295" s="5"/>
      <c r="M1295" s="5"/>
      <c r="N1295" s="11" t="s">
        <v>19</v>
      </c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>
      <c r="A1296" s="6" t="s">
        <v>2600</v>
      </c>
      <c r="B1296" s="6" t="s">
        <v>2601</v>
      </c>
      <c r="C1296" s="5" t="s">
        <v>18</v>
      </c>
      <c r="D1296" s="7" t="str">
        <f>IFERROR(__xludf.DUMMYFUNCTION("GOOGLEFINANCE(""ASX:LDR"", ""price"")"),"#N/A")</f>
        <v>#N/A</v>
      </c>
      <c r="E1296" s="8" t="str">
        <f>IFERROR(__xludf.DUMMYFUNCTION("GOOGLEFINANCE(""ASX:LDR"", ""closeyest"")"),"#N/A")</f>
        <v>#N/A</v>
      </c>
      <c r="F1296" s="5" t="str">
        <f>IFERROR(__xludf.DUMMYFUNCTION("GOOGLEFINANCE(""ASX:LDR"", ""pe"")"),"#N/A")</f>
        <v>#N/A</v>
      </c>
      <c r="G1296" s="5" t="str">
        <f>IFERROR(__xludf.DUMMYFUNCTION("GOOGLEFINANCE(""ASX:LDR"", ""high52"")"),"#N/A")</f>
        <v>#N/A</v>
      </c>
      <c r="H1296" s="5" t="str">
        <f>IFERROR(__xludf.DUMMYFUNCTION("GOOGLEFINANCE(""ASX:LDR"", ""low52"")"),"#N/A")</f>
        <v>#N/A</v>
      </c>
      <c r="I1296" s="9" t="str">
        <f>IFERROR(__xludf.DUMMYFUNCTION("GOOGLEFINANCE(""ASX:LDR"", ""marketcap"")"),"#N/A")</f>
        <v>#N/A</v>
      </c>
      <c r="J1296" s="12">
        <v>0.215</v>
      </c>
      <c r="K1296" s="12">
        <v>0.225</v>
      </c>
      <c r="L1296" s="12">
        <v>0.39</v>
      </c>
      <c r="M1296" s="12">
        <v>0.087</v>
      </c>
      <c r="N1296" s="11" t="s">
        <v>19</v>
      </c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>
      <c r="A1297" s="6" t="s">
        <v>2602</v>
      </c>
      <c r="B1297" s="6" t="s">
        <v>2603</v>
      </c>
      <c r="C1297" s="5" t="s">
        <v>276</v>
      </c>
      <c r="D1297" s="7">
        <f>IFERROR(__xludf.DUMMYFUNCTION("GOOGLEFINANCE(""ASX:LDX"", ""price"")"),0.29)</f>
        <v>0.29</v>
      </c>
      <c r="E1297" s="8">
        <f>IFERROR(__xludf.DUMMYFUNCTION("GOOGLEFINANCE(""ASX:LDX"", ""closeyest"")"),0.28)</f>
        <v>0.28</v>
      </c>
      <c r="F1297" s="5" t="str">
        <f>IFERROR(__xludf.DUMMYFUNCTION("GOOGLEFINANCE(""ASX:LDX"", ""pe"")"),"#N/A")</f>
        <v>#N/A</v>
      </c>
      <c r="G1297" s="9">
        <f>IFERROR(__xludf.DUMMYFUNCTION("GOOGLEFINANCE(""ASX:LDX"", ""high52"")"),0.33)</f>
        <v>0.33</v>
      </c>
      <c r="H1297" s="9">
        <f>IFERROR(__xludf.DUMMYFUNCTION("GOOGLEFINANCE(""ASX:LDX"", ""low52"")"),0.02)</f>
        <v>0.02</v>
      </c>
      <c r="I1297" s="9">
        <f>IFERROR(__xludf.DUMMYFUNCTION("GOOGLEFINANCE(""ASX:LDX"", ""marketcap"")"),2.2448792E8)</f>
        <v>224487920</v>
      </c>
      <c r="J1297" s="5"/>
      <c r="K1297" s="5"/>
      <c r="L1297" s="5"/>
      <c r="M1297" s="5"/>
      <c r="N1297" s="11" t="s">
        <v>19</v>
      </c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>
      <c r="A1298" s="6" t="s">
        <v>2604</v>
      </c>
      <c r="B1298" s="6" t="s">
        <v>2605</v>
      </c>
      <c r="C1298" s="5" t="s">
        <v>18</v>
      </c>
      <c r="D1298" s="7">
        <f>IFERROR(__xludf.DUMMYFUNCTION("GOOGLEFINANCE(""ASX:LEG"", ""price"")"),0.01)</f>
        <v>0.01</v>
      </c>
      <c r="E1298" s="8">
        <f>IFERROR(__xludf.DUMMYFUNCTION("GOOGLEFINANCE(""ASX:LEG"", ""closeyest"")"),0.01)</f>
        <v>0.01</v>
      </c>
      <c r="F1298" s="5" t="str">
        <f>IFERROR(__xludf.DUMMYFUNCTION("GOOGLEFINANCE(""ASX:LEG"", ""pe"")"),"#N/A")</f>
        <v>#N/A</v>
      </c>
      <c r="G1298" s="9">
        <f>IFERROR(__xludf.DUMMYFUNCTION("GOOGLEFINANCE(""ASX:LEG"", ""high52"")"),0.01)</f>
        <v>0.01</v>
      </c>
      <c r="H1298" s="9">
        <f>IFERROR(__xludf.DUMMYFUNCTION("GOOGLEFINANCE(""ASX:LEG"", ""low52"")"),0.01)</f>
        <v>0.01</v>
      </c>
      <c r="I1298" s="9">
        <f>IFERROR(__xludf.DUMMYFUNCTION("GOOGLEFINANCE(""ASX:LEG"", ""marketcap"")"),2.8853318E7)</f>
        <v>28853318</v>
      </c>
      <c r="J1298" s="5"/>
      <c r="K1298" s="5"/>
      <c r="L1298" s="5"/>
      <c r="M1298" s="5"/>
      <c r="N1298" s="11" t="s">
        <v>19</v>
      </c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>
      <c r="A1299" s="6" t="s">
        <v>2606</v>
      </c>
      <c r="B1299" s="6" t="s">
        <v>2607</v>
      </c>
      <c r="C1299" s="5" t="s">
        <v>39</v>
      </c>
      <c r="D1299" s="7">
        <f>IFERROR(__xludf.DUMMYFUNCTION("GOOGLEFINANCE(""ASX:LEL"", ""price"")"),0.37)</f>
        <v>0.37</v>
      </c>
      <c r="E1299" s="8">
        <f>IFERROR(__xludf.DUMMYFUNCTION("GOOGLEFINANCE(""ASX:LEL"", ""closeyest"")"),0.37)</f>
        <v>0.37</v>
      </c>
      <c r="F1299" s="5" t="str">
        <f>IFERROR(__xludf.DUMMYFUNCTION("GOOGLEFINANCE(""ASX:LEL"", ""pe"")"),"#N/A")</f>
        <v>#N/A</v>
      </c>
      <c r="G1299" s="9">
        <f>IFERROR(__xludf.DUMMYFUNCTION("GOOGLEFINANCE(""ASX:LEL"", ""high52"")"),0.38)</f>
        <v>0.38</v>
      </c>
      <c r="H1299" s="9">
        <f>IFERROR(__xludf.DUMMYFUNCTION("GOOGLEFINANCE(""ASX:LEL"", ""low52"")"),0.27)</f>
        <v>0.27</v>
      </c>
      <c r="I1299" s="9">
        <f>IFERROR(__xludf.DUMMYFUNCTION("GOOGLEFINANCE(""ASX:LEL"", ""marketcap"")"),4.088056E7)</f>
        <v>40880560</v>
      </c>
      <c r="J1299" s="5"/>
      <c r="K1299" s="5"/>
      <c r="L1299" s="5"/>
      <c r="M1299" s="5"/>
      <c r="N1299" s="11" t="s">
        <v>19</v>
      </c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>
      <c r="A1300" s="6" t="s">
        <v>2608</v>
      </c>
      <c r="B1300" s="6" t="s">
        <v>2609</v>
      </c>
      <c r="C1300" s="5" t="s">
        <v>36</v>
      </c>
      <c r="D1300" s="7">
        <f>IFERROR(__xludf.DUMMYFUNCTION("GOOGLEFINANCE(""ASX:LEND"", ""price"")"),16.98)</f>
        <v>16.98</v>
      </c>
      <c r="E1300" s="8">
        <f>IFERROR(__xludf.DUMMYFUNCTION("GOOGLEFINANCE(""ASX:LEND"", ""closeyest"")"),16.98)</f>
        <v>16.98</v>
      </c>
      <c r="F1300" s="5" t="str">
        <f>IFERROR(__xludf.DUMMYFUNCTION("GOOGLEFINANCE(""ASX:LEND"", ""pe"")"),"#N/A")</f>
        <v>#N/A</v>
      </c>
      <c r="G1300" s="9">
        <f>IFERROR(__xludf.DUMMYFUNCTION("GOOGLEFINANCE(""ASX:LEND"", ""high52"")"),20.98)</f>
        <v>20.98</v>
      </c>
      <c r="H1300" s="9">
        <f>IFERROR(__xludf.DUMMYFUNCTION("GOOGLEFINANCE(""ASX:LEND"", ""low52"")"),15.96)</f>
        <v>15.96</v>
      </c>
      <c r="I1300" s="9" t="str">
        <f>IFERROR(__xludf.DUMMYFUNCTION("GOOGLEFINANCE(""ASX:LEND"", ""marketcap"")"),"#N/A")</f>
        <v>#N/A</v>
      </c>
      <c r="J1300" s="5"/>
      <c r="K1300" s="5"/>
      <c r="L1300" s="5"/>
      <c r="M1300" s="5"/>
      <c r="N1300" s="11" t="s">
        <v>19</v>
      </c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>
      <c r="A1301" s="6" t="s">
        <v>2610</v>
      </c>
      <c r="B1301" s="6" t="s">
        <v>2611</v>
      </c>
      <c r="C1301" s="5" t="s">
        <v>36</v>
      </c>
      <c r="D1301" s="7">
        <f>IFERROR(__xludf.DUMMYFUNCTION("GOOGLEFINANCE(""ASX:LEVR"", ""price"")"),1.46)</f>
        <v>1.46</v>
      </c>
      <c r="E1301" s="8">
        <f>IFERROR(__xludf.DUMMYFUNCTION("GOOGLEFINANCE(""ASX:LEVR"", ""closeyest"")"),1.44)</f>
        <v>1.44</v>
      </c>
      <c r="F1301" s="5" t="str">
        <f>IFERROR(__xludf.DUMMYFUNCTION("GOOGLEFINANCE(""ASX:LEVR"", ""pe"")"),"#N/A")</f>
        <v>#N/A</v>
      </c>
      <c r="G1301" s="9">
        <f>IFERROR(__xludf.DUMMYFUNCTION("GOOGLEFINANCE(""ASX:LEVR"", ""high52"")"),1.78)</f>
        <v>1.78</v>
      </c>
      <c r="H1301" s="9">
        <f>IFERROR(__xludf.DUMMYFUNCTION("GOOGLEFINANCE(""ASX:LEVR"", ""low52"")"),1.37)</f>
        <v>1.37</v>
      </c>
      <c r="I1301" s="9" t="str">
        <f>IFERROR(__xludf.DUMMYFUNCTION("GOOGLEFINANCE(""ASX:LEVR"", ""marketcap"")"),"#N/A")</f>
        <v>#N/A</v>
      </c>
      <c r="J1301" s="5"/>
      <c r="K1301" s="5"/>
      <c r="L1301" s="5"/>
      <c r="M1301" s="5"/>
      <c r="N1301" s="11" t="s">
        <v>19</v>
      </c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>
      <c r="A1302" s="6" t="s">
        <v>2612</v>
      </c>
      <c r="B1302" s="6" t="s">
        <v>2613</v>
      </c>
      <c r="C1302" s="5" t="s">
        <v>88</v>
      </c>
      <c r="D1302" s="7">
        <f>IFERROR(__xludf.DUMMYFUNCTION("GOOGLEFINANCE(""ASX:LEX"", ""price"")"),0.26)</f>
        <v>0.26</v>
      </c>
      <c r="E1302" s="8">
        <f>IFERROR(__xludf.DUMMYFUNCTION("GOOGLEFINANCE(""ASX:LEX"", ""closeyest"")"),0.27)</f>
        <v>0.27</v>
      </c>
      <c r="F1302" s="5" t="str">
        <f>IFERROR(__xludf.DUMMYFUNCTION("GOOGLEFINANCE(""ASX:LEX"", ""pe"")"),"#N/A")</f>
        <v>#N/A</v>
      </c>
      <c r="G1302" s="9">
        <f>IFERROR(__xludf.DUMMYFUNCTION("GOOGLEFINANCE(""ASX:LEX"", ""high52"")"),0.3)</f>
        <v>0.3</v>
      </c>
      <c r="H1302" s="9">
        <f>IFERROR(__xludf.DUMMYFUNCTION("GOOGLEFINANCE(""ASX:LEX"", ""low52"")"),0.07)</f>
        <v>0.07</v>
      </c>
      <c r="I1302" s="9">
        <f>IFERROR(__xludf.DUMMYFUNCTION("GOOGLEFINANCE(""ASX:LEX"", ""marketcap"")"),6.4589223E7)</f>
        <v>64589223</v>
      </c>
      <c r="J1302" s="5"/>
      <c r="K1302" s="5"/>
      <c r="L1302" s="5"/>
      <c r="M1302" s="5"/>
      <c r="N1302" s="11" t="s">
        <v>19</v>
      </c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>
      <c r="A1303" s="6" t="s">
        <v>2614</v>
      </c>
      <c r="B1303" s="6" t="s">
        <v>2615</v>
      </c>
      <c r="C1303" s="5" t="s">
        <v>171</v>
      </c>
      <c r="D1303" s="7">
        <f>IFERROR(__xludf.DUMMYFUNCTION("GOOGLEFINANCE(""ASX:LF1"", ""price"")"),1.99)</f>
        <v>1.99</v>
      </c>
      <c r="E1303" s="8">
        <f>IFERROR(__xludf.DUMMYFUNCTION("GOOGLEFINANCE(""ASX:LF1"", ""closeyest"")"),2.0)</f>
        <v>2</v>
      </c>
      <c r="F1303" s="5" t="str">
        <f>IFERROR(__xludf.DUMMYFUNCTION("GOOGLEFINANCE(""ASX:LF1"", ""pe"")"),"#N/A")</f>
        <v>#N/A</v>
      </c>
      <c r="G1303" s="9">
        <f>IFERROR(__xludf.DUMMYFUNCTION("GOOGLEFINANCE(""ASX:LF1"", ""high52"")"),2.04)</f>
        <v>2.04</v>
      </c>
      <c r="H1303" s="9">
        <f>IFERROR(__xludf.DUMMYFUNCTION("GOOGLEFINANCE(""ASX:LF1"", ""low52"")"),1.92)</f>
        <v>1.92</v>
      </c>
      <c r="I1303" s="9" t="str">
        <f>IFERROR(__xludf.DUMMYFUNCTION("GOOGLEFINANCE(""ASX:LF1"", ""marketcap"")"),"#N/A")</f>
        <v>#N/A</v>
      </c>
      <c r="J1303" s="5"/>
      <c r="K1303" s="5"/>
      <c r="L1303" s="5"/>
      <c r="M1303" s="5"/>
      <c r="N1303" s="11" t="s">
        <v>19</v>
      </c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>
      <c r="A1304" s="6" t="s">
        <v>2616</v>
      </c>
      <c r="B1304" s="6" t="s">
        <v>2617</v>
      </c>
      <c r="C1304" s="5" t="s">
        <v>241</v>
      </c>
      <c r="D1304" s="7">
        <f>IFERROR(__xludf.DUMMYFUNCTION("GOOGLEFINANCE(""ASX:LFG"", ""price"")"),4.12)</f>
        <v>4.12</v>
      </c>
      <c r="E1304" s="8">
        <f>IFERROR(__xludf.DUMMYFUNCTION("GOOGLEFINANCE(""ASX:LFG"", ""closeyest"")"),4.22)</f>
        <v>4.22</v>
      </c>
      <c r="F1304" s="9">
        <f>IFERROR(__xludf.DUMMYFUNCTION("GOOGLEFINANCE(""ASX:LFG"", ""pe"")"),9.4)</f>
        <v>9.4</v>
      </c>
      <c r="G1304" s="9">
        <f>IFERROR(__xludf.DUMMYFUNCTION("GOOGLEFINANCE(""ASX:LFG"", ""high52"")"),4.7)</f>
        <v>4.7</v>
      </c>
      <c r="H1304" s="9">
        <f>IFERROR(__xludf.DUMMYFUNCTION("GOOGLEFINANCE(""ASX:LFG"", ""low52"")"),2.92)</f>
        <v>2.92</v>
      </c>
      <c r="I1304" s="9">
        <f>IFERROR(__xludf.DUMMYFUNCTION("GOOGLEFINANCE(""ASX:LFG"", ""marketcap"")"),1.250831965E9)</f>
        <v>1250831965</v>
      </c>
      <c r="J1304" s="5"/>
      <c r="K1304" s="5"/>
      <c r="L1304" s="5"/>
      <c r="M1304" s="5"/>
      <c r="N1304" s="9">
        <f>IFERROR(__xludf.DUMMYFUNCTION("IFERROR(GOOGLEFINANCE(""ASX:LFG"", ""pe""), ""N/A"")"),9.4)</f>
        <v>9.4</v>
      </c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>
      <c r="A1305" s="6" t="s">
        <v>2618</v>
      </c>
      <c r="B1305" s="6" t="s">
        <v>2619</v>
      </c>
      <c r="C1305" s="5" t="s">
        <v>241</v>
      </c>
      <c r="D1305" s="7">
        <f>IFERROR(__xludf.DUMMYFUNCTION("GOOGLEFINANCE(""ASX:LFS"", ""price"")"),1.06)</f>
        <v>1.06</v>
      </c>
      <c r="E1305" s="8">
        <f>IFERROR(__xludf.DUMMYFUNCTION("GOOGLEFINANCE(""ASX:LFS"", ""closeyest"")"),1.05)</f>
        <v>1.05</v>
      </c>
      <c r="F1305" s="9">
        <f>IFERROR(__xludf.DUMMYFUNCTION("GOOGLEFINANCE(""ASX:LFS"", ""pe"")"),19.46)</f>
        <v>19.46</v>
      </c>
      <c r="G1305" s="9">
        <f>IFERROR(__xludf.DUMMYFUNCTION("GOOGLEFINANCE(""ASX:LFS"", ""high52"")"),1.25)</f>
        <v>1.25</v>
      </c>
      <c r="H1305" s="9">
        <f>IFERROR(__xludf.DUMMYFUNCTION("GOOGLEFINANCE(""ASX:LFS"", ""low52"")"),1.03)</f>
        <v>1.03</v>
      </c>
      <c r="I1305" s="9">
        <f>IFERROR(__xludf.DUMMYFUNCTION("GOOGLEFINANCE(""ASX:LFS"", ""marketcap"")"),1.09701408E9)</f>
        <v>1097014080</v>
      </c>
      <c r="J1305" s="5"/>
      <c r="K1305" s="5"/>
      <c r="L1305" s="5"/>
      <c r="M1305" s="5"/>
      <c r="N1305" s="9">
        <f>IFERROR(__xludf.DUMMYFUNCTION("IFERROR(GOOGLEFINANCE(""ASX:LFS"", ""pe""), ""N/A"")"),19.46)</f>
        <v>19.46</v>
      </c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>
      <c r="A1306" s="6" t="s">
        <v>2620</v>
      </c>
      <c r="B1306" s="6" t="s">
        <v>2621</v>
      </c>
      <c r="C1306" s="5" t="s">
        <v>1899</v>
      </c>
      <c r="D1306" s="7">
        <f>IFERROR(__xludf.DUMMYFUNCTION("GOOGLEFINANCE(""ASX:LGI"", ""price"")"),4.1)</f>
        <v>4.1</v>
      </c>
      <c r="E1306" s="8">
        <f>IFERROR(__xludf.DUMMYFUNCTION("GOOGLEFINANCE(""ASX:LGI"", ""closeyest"")"),4.1)</f>
        <v>4.1</v>
      </c>
      <c r="F1306" s="9">
        <f>IFERROR(__xludf.DUMMYFUNCTION("GOOGLEFINANCE(""ASX:LGI"", ""pe"")"),56.21)</f>
        <v>56.21</v>
      </c>
      <c r="G1306" s="9">
        <f>IFERROR(__xludf.DUMMYFUNCTION("GOOGLEFINANCE(""ASX:LGI"", ""high52"")"),5.34)</f>
        <v>5.34</v>
      </c>
      <c r="H1306" s="9">
        <f>IFERROR(__xludf.DUMMYFUNCTION("GOOGLEFINANCE(""ASX:LGI"", ""low52"")"),2.41)</f>
        <v>2.41</v>
      </c>
      <c r="I1306" s="9">
        <f>IFERROR(__xludf.DUMMYFUNCTION("GOOGLEFINANCE(""ASX:LGI"", ""marketcap"")"),4.2410481E8)</f>
        <v>424104810</v>
      </c>
      <c r="J1306" s="5"/>
      <c r="K1306" s="5"/>
      <c r="L1306" s="5"/>
      <c r="M1306" s="5"/>
      <c r="N1306" s="9">
        <f>IFERROR(__xludf.DUMMYFUNCTION("IFERROR(GOOGLEFINANCE(""ASX:LGI"", ""pe""), ""N/A"")"),56.21)</f>
        <v>56.21</v>
      </c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>
      <c r="A1307" s="6" t="s">
        <v>2622</v>
      </c>
      <c r="B1307" s="6" t="s">
        <v>2623</v>
      </c>
      <c r="C1307" s="5" t="s">
        <v>18</v>
      </c>
      <c r="D1307" s="7" t="str">
        <f>IFERROR(__xludf.DUMMYFUNCTION("GOOGLEFINANCE(""ASX:LGM"", ""price"")"),"#N/A")</f>
        <v>#N/A</v>
      </c>
      <c r="E1307" s="8" t="str">
        <f>IFERROR(__xludf.DUMMYFUNCTION("GOOGLEFINANCE(""ASX:LGM"", ""closeyest"")"),"#N/A")</f>
        <v>#N/A</v>
      </c>
      <c r="F1307" s="5" t="str">
        <f>IFERROR(__xludf.DUMMYFUNCTION("GOOGLEFINANCE(""ASX:LGM"", ""pe"")"),"#N/A")</f>
        <v>#N/A</v>
      </c>
      <c r="G1307" s="5" t="str">
        <f>IFERROR(__xludf.DUMMYFUNCTION("GOOGLEFINANCE(""ASX:LGM"", ""high52"")"),"#N/A")</f>
        <v>#N/A</v>
      </c>
      <c r="H1307" s="5" t="str">
        <f>IFERROR(__xludf.DUMMYFUNCTION("GOOGLEFINANCE(""ASX:LGM"", ""low52"")"),"#N/A")</f>
        <v>#N/A</v>
      </c>
      <c r="I1307" s="9" t="str">
        <f>IFERROR(__xludf.DUMMYFUNCTION("GOOGLEFINANCE(""ASX:LGM"", ""marketcap"")"),"#N/A")</f>
        <v>#N/A</v>
      </c>
      <c r="J1307" s="12">
        <v>0.21</v>
      </c>
      <c r="K1307" s="12">
        <v>0.205</v>
      </c>
      <c r="L1307" s="12">
        <v>0.315</v>
      </c>
      <c r="M1307" s="12">
        <v>0.14</v>
      </c>
      <c r="N1307" s="11" t="s">
        <v>19</v>
      </c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>
      <c r="A1308" s="6" t="s">
        <v>2624</v>
      </c>
      <c r="B1308" s="6" t="s">
        <v>2625</v>
      </c>
      <c r="C1308" s="5" t="s">
        <v>174</v>
      </c>
      <c r="D1308" s="7">
        <f>IFERROR(__xludf.DUMMYFUNCTION("GOOGLEFINANCE(""ASX:LGP"", ""price"")"),0.12)</f>
        <v>0.12</v>
      </c>
      <c r="E1308" s="8">
        <f>IFERROR(__xludf.DUMMYFUNCTION("GOOGLEFINANCE(""ASX:LGP"", ""closeyest"")"),0.13)</f>
        <v>0.13</v>
      </c>
      <c r="F1308" s="9">
        <f>IFERROR(__xludf.DUMMYFUNCTION("GOOGLEFINANCE(""ASX:LGP"", ""pe"")"),6.2)</f>
        <v>6.2</v>
      </c>
      <c r="G1308" s="9">
        <f>IFERROR(__xludf.DUMMYFUNCTION("GOOGLEFINANCE(""ASX:LGP"", ""high52"")"),0.14)</f>
        <v>0.14</v>
      </c>
      <c r="H1308" s="9">
        <f>IFERROR(__xludf.DUMMYFUNCTION("GOOGLEFINANCE(""ASX:LGP"", ""low52"")"),0.1)</f>
        <v>0.1</v>
      </c>
      <c r="I1308" s="9">
        <f>IFERROR(__xludf.DUMMYFUNCTION("GOOGLEFINANCE(""ASX:LGP"", ""marketcap"")"),3.5266835E7)</f>
        <v>35266835</v>
      </c>
      <c r="J1308" s="5"/>
      <c r="K1308" s="5"/>
      <c r="L1308" s="5"/>
      <c r="M1308" s="5"/>
      <c r="N1308" s="9">
        <f>IFERROR(__xludf.DUMMYFUNCTION("IFERROR(GOOGLEFINANCE(""ASX:LGP"", ""pe""), ""N/A"")"),6.2)</f>
        <v>6.2</v>
      </c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>
      <c r="A1309" s="6" t="s">
        <v>2626</v>
      </c>
      <c r="B1309" s="6" t="s">
        <v>2627</v>
      </c>
      <c r="C1309" s="5" t="s">
        <v>36</v>
      </c>
      <c r="D1309" s="7">
        <f>IFERROR(__xludf.DUMMYFUNCTION("GOOGLEFINANCE(""ASX:LHGG"", ""price"")"),2.15)</f>
        <v>2.15</v>
      </c>
      <c r="E1309" s="8">
        <f>IFERROR(__xludf.DUMMYFUNCTION("GOOGLEFINANCE(""ASX:LHGG"", ""closeyest"")"),2.14)</f>
        <v>2.14</v>
      </c>
      <c r="F1309" s="5" t="str">
        <f>IFERROR(__xludf.DUMMYFUNCTION("GOOGLEFINANCE(""ASX:LHGG"", ""pe"")"),"#N/A")</f>
        <v>#N/A</v>
      </c>
      <c r="G1309" s="9">
        <f>IFERROR(__xludf.DUMMYFUNCTION("GOOGLEFINANCE(""ASX:LHGG"", ""high52"")"),2.83)</f>
        <v>2.83</v>
      </c>
      <c r="H1309" s="9">
        <f>IFERROR(__xludf.DUMMYFUNCTION("GOOGLEFINANCE(""ASX:LHGG"", ""low52"")"),2.1)</f>
        <v>2.1</v>
      </c>
      <c r="I1309" s="9" t="str">
        <f>IFERROR(__xludf.DUMMYFUNCTION("GOOGLEFINANCE(""ASX:LHGG"", ""marketcap"")"),"#N/A")</f>
        <v>#N/A</v>
      </c>
      <c r="J1309" s="5"/>
      <c r="K1309" s="5"/>
      <c r="L1309" s="5"/>
      <c r="M1309" s="5"/>
      <c r="N1309" s="11" t="s">
        <v>19</v>
      </c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>
      <c r="A1310" s="6" t="s">
        <v>2628</v>
      </c>
      <c r="B1310" s="6" t="s">
        <v>2629</v>
      </c>
      <c r="C1310" s="5" t="s">
        <v>18</v>
      </c>
      <c r="D1310" s="7">
        <f>IFERROR(__xludf.DUMMYFUNCTION("GOOGLEFINANCE(""ASX:LIB"", ""price"")"),0.0)</f>
        <v>0</v>
      </c>
      <c r="E1310" s="8">
        <f>IFERROR(__xludf.DUMMYFUNCTION("GOOGLEFINANCE(""ASX:LIB"", ""closeyest"")"),0.0)</f>
        <v>0</v>
      </c>
      <c r="F1310" s="5" t="str">
        <f>IFERROR(__xludf.DUMMYFUNCTION("GOOGLEFINANCE(""ASX:LIB"", ""pe"")"),"#N/A")</f>
        <v>#N/A</v>
      </c>
      <c r="G1310" s="9">
        <f>IFERROR(__xludf.DUMMYFUNCTION("GOOGLEFINANCE(""ASX:LIB"", ""high52"")"),0.01)</f>
        <v>0.01</v>
      </c>
      <c r="H1310" s="9">
        <f>IFERROR(__xludf.DUMMYFUNCTION("GOOGLEFINANCE(""ASX:LIB"", ""low52"")"),0.0)</f>
        <v>0</v>
      </c>
      <c r="I1310" s="9">
        <f>IFERROR(__xludf.DUMMYFUNCTION("GOOGLEFINANCE(""ASX:LIB"", ""marketcap"")"),3.280488E7)</f>
        <v>32804880</v>
      </c>
      <c r="J1310" s="12">
        <v>0.004</v>
      </c>
      <c r="K1310" s="12">
        <v>0.004</v>
      </c>
      <c r="L1310" s="12">
        <v>0.005</v>
      </c>
      <c r="M1310" s="12">
        <v>0.002</v>
      </c>
      <c r="N1310" s="11" t="s">
        <v>19</v>
      </c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>
      <c r="A1311" s="6" t="s">
        <v>2630</v>
      </c>
      <c r="B1311" s="6" t="s">
        <v>2631</v>
      </c>
      <c r="C1311" s="5" t="s">
        <v>143</v>
      </c>
      <c r="D1311" s="7">
        <f>IFERROR(__xludf.DUMMYFUNCTION("GOOGLEFINANCE(""ASX:LIC"", ""price"")"),5.48)</f>
        <v>5.48</v>
      </c>
      <c r="E1311" s="8">
        <f>IFERROR(__xludf.DUMMYFUNCTION("GOOGLEFINANCE(""ASX:LIC"", ""closeyest"")"),5.37)</f>
        <v>5.37</v>
      </c>
      <c r="F1311" s="5" t="str">
        <f>IFERROR(__xludf.DUMMYFUNCTION("GOOGLEFINANCE(""ASX:LIC"", ""pe"")"),"#N/A")</f>
        <v>#N/A</v>
      </c>
      <c r="G1311" s="9">
        <f>IFERROR(__xludf.DUMMYFUNCTION("GOOGLEFINANCE(""ASX:LIC"", ""high52"")"),10.15)</f>
        <v>10.15</v>
      </c>
      <c r="H1311" s="9">
        <f>IFERROR(__xludf.DUMMYFUNCTION("GOOGLEFINANCE(""ASX:LIC"", ""low52"")"),4.08)</f>
        <v>4.08</v>
      </c>
      <c r="I1311" s="9">
        <f>IFERROR(__xludf.DUMMYFUNCTION("GOOGLEFINANCE(""ASX:LIC"", ""marketcap"")"),6.67135202E8)</f>
        <v>667135202</v>
      </c>
      <c r="J1311" s="5"/>
      <c r="K1311" s="5"/>
      <c r="L1311" s="5"/>
      <c r="M1311" s="5"/>
      <c r="N1311" s="11" t="s">
        <v>19</v>
      </c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>
      <c r="A1312" s="6" t="s">
        <v>2632</v>
      </c>
      <c r="B1312" s="6" t="s">
        <v>2633</v>
      </c>
      <c r="C1312" s="5" t="s">
        <v>39</v>
      </c>
      <c r="D1312" s="7">
        <f>IFERROR(__xludf.DUMMYFUNCTION("GOOGLEFINANCE(""ASX:LIN"", ""price"")"),0.45)</f>
        <v>0.45</v>
      </c>
      <c r="E1312" s="8">
        <f>IFERROR(__xludf.DUMMYFUNCTION("GOOGLEFINANCE(""ASX:LIN"", ""closeyest"")"),0.43)</f>
        <v>0.43</v>
      </c>
      <c r="F1312" s="5" t="str">
        <f>IFERROR(__xludf.DUMMYFUNCTION("GOOGLEFINANCE(""ASX:LIN"", ""pe"")"),"#N/A")</f>
        <v>#N/A</v>
      </c>
      <c r="G1312" s="9">
        <f>IFERROR(__xludf.DUMMYFUNCTION("GOOGLEFINANCE(""ASX:LIN"", ""high52"")"),0.46)</f>
        <v>0.46</v>
      </c>
      <c r="H1312" s="9">
        <f>IFERROR(__xludf.DUMMYFUNCTION("GOOGLEFINANCE(""ASX:LIN"", ""low52"")"),0.08)</f>
        <v>0.08</v>
      </c>
      <c r="I1312" s="9">
        <f>IFERROR(__xludf.DUMMYFUNCTION("GOOGLEFINANCE(""ASX:LIN"", ""marketcap"")"),7.5305473E8)</f>
        <v>753054730</v>
      </c>
      <c r="J1312" s="5"/>
      <c r="K1312" s="5"/>
      <c r="L1312" s="5"/>
      <c r="M1312" s="5"/>
      <c r="N1312" s="11" t="s">
        <v>19</v>
      </c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>
      <c r="A1313" s="6" t="s">
        <v>2634</v>
      </c>
      <c r="B1313" s="6" t="s">
        <v>2635</v>
      </c>
      <c r="C1313" s="5" t="s">
        <v>78</v>
      </c>
      <c r="D1313" s="7">
        <f>IFERROR(__xludf.DUMMYFUNCTION("GOOGLEFINANCE(""ASX:LIO"", ""price"")"),0.02)</f>
        <v>0.02</v>
      </c>
      <c r="E1313" s="8">
        <f>IFERROR(__xludf.DUMMYFUNCTION("GOOGLEFINANCE(""ASX:LIO"", ""closeyest"")"),0.02)</f>
        <v>0.02</v>
      </c>
      <c r="F1313" s="5" t="str">
        <f>IFERROR(__xludf.DUMMYFUNCTION("GOOGLEFINANCE(""ASX:LIO"", ""pe"")"),"#N/A")</f>
        <v>#N/A</v>
      </c>
      <c r="G1313" s="9">
        <f>IFERROR(__xludf.DUMMYFUNCTION("GOOGLEFINANCE(""ASX:LIO"", ""high52"")"),0.03)</f>
        <v>0.03</v>
      </c>
      <c r="H1313" s="9">
        <f>IFERROR(__xludf.DUMMYFUNCTION("GOOGLEFINANCE(""ASX:LIO"", ""low52"")"),0.01)</f>
        <v>0.01</v>
      </c>
      <c r="I1313" s="9">
        <f>IFERROR(__xludf.DUMMYFUNCTION("GOOGLEFINANCE(""ASX:LIO"", ""marketcap"")"),7958160.0)</f>
        <v>7958160</v>
      </c>
      <c r="J1313" s="5"/>
      <c r="K1313" s="5"/>
      <c r="L1313" s="5"/>
      <c r="M1313" s="5"/>
      <c r="N1313" s="11" t="s">
        <v>19</v>
      </c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>
      <c r="A1314" s="6" t="s">
        <v>2636</v>
      </c>
      <c r="B1314" s="6" t="s">
        <v>2637</v>
      </c>
      <c r="C1314" s="5" t="s">
        <v>22</v>
      </c>
      <c r="D1314" s="7">
        <f>IFERROR(__xludf.DUMMYFUNCTION("GOOGLEFINANCE(""ASX:LIS"", ""price"")"),0.17)</f>
        <v>0.17</v>
      </c>
      <c r="E1314" s="8">
        <f>IFERROR(__xludf.DUMMYFUNCTION("GOOGLEFINANCE(""ASX:LIS"", ""closeyest"")"),0.18)</f>
        <v>0.18</v>
      </c>
      <c r="F1314" s="5" t="str">
        <f>IFERROR(__xludf.DUMMYFUNCTION("GOOGLEFINANCE(""ASX:LIS"", ""pe"")"),"#N/A")</f>
        <v>#N/A</v>
      </c>
      <c r="G1314" s="9">
        <f>IFERROR(__xludf.DUMMYFUNCTION("GOOGLEFINANCE(""ASX:LIS"", ""high52"")"),0.2)</f>
        <v>0.2</v>
      </c>
      <c r="H1314" s="9">
        <f>IFERROR(__xludf.DUMMYFUNCTION("GOOGLEFINANCE(""ASX:LIS"", ""low52"")"),0.09)</f>
        <v>0.09</v>
      </c>
      <c r="I1314" s="9">
        <f>IFERROR(__xludf.DUMMYFUNCTION("GOOGLEFINANCE(""ASX:LIS"", ""marketcap"")"),1.08834001E8)</f>
        <v>108834001</v>
      </c>
      <c r="J1314" s="9">
        <v>0.002</v>
      </c>
      <c r="K1314" s="9">
        <v>0.002</v>
      </c>
      <c r="L1314" s="9">
        <v>0.02</v>
      </c>
      <c r="M1314" s="9">
        <v>0.002</v>
      </c>
      <c r="N1314" s="11" t="s">
        <v>19</v>
      </c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>
      <c r="A1315" s="6" t="s">
        <v>2638</v>
      </c>
      <c r="B1315" s="6" t="s">
        <v>2639</v>
      </c>
      <c r="C1315" s="5" t="s">
        <v>39</v>
      </c>
      <c r="D1315" s="7">
        <f>IFERROR(__xludf.DUMMYFUNCTION("GOOGLEFINANCE(""ASX:LIT"", ""price"")"),0.01)</f>
        <v>0.01</v>
      </c>
      <c r="E1315" s="8">
        <f>IFERROR(__xludf.DUMMYFUNCTION("GOOGLEFINANCE(""ASX:LIT"", ""closeyest"")"),0.01)</f>
        <v>0.01</v>
      </c>
      <c r="F1315" s="5" t="str">
        <f>IFERROR(__xludf.DUMMYFUNCTION("GOOGLEFINANCE(""ASX:LIT"", ""pe"")"),"#N/A")</f>
        <v>#N/A</v>
      </c>
      <c r="G1315" s="9">
        <f>IFERROR(__xludf.DUMMYFUNCTION("GOOGLEFINANCE(""ASX:LIT"", ""high52"")"),0.02)</f>
        <v>0.02</v>
      </c>
      <c r="H1315" s="9">
        <f>IFERROR(__xludf.DUMMYFUNCTION("GOOGLEFINANCE(""ASX:LIT"", ""low52"")"),0.01)</f>
        <v>0.01</v>
      </c>
      <c r="I1315" s="9">
        <f>IFERROR(__xludf.DUMMYFUNCTION("GOOGLEFINANCE(""ASX:LIT"", ""marketcap"")"),2.2705176E7)</f>
        <v>22705176</v>
      </c>
      <c r="J1315" s="5"/>
      <c r="K1315" s="5"/>
      <c r="L1315" s="5"/>
      <c r="M1315" s="5"/>
      <c r="N1315" s="11" t="s">
        <v>19</v>
      </c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>
      <c r="A1316" s="6" t="s">
        <v>2640</v>
      </c>
      <c r="B1316" s="6" t="s">
        <v>2641</v>
      </c>
      <c r="C1316" s="5" t="s">
        <v>39</v>
      </c>
      <c r="D1316" s="7">
        <f>IFERROR(__xludf.DUMMYFUNCTION("GOOGLEFINANCE(""ASX:LKE"", ""price"")"),0.14)</f>
        <v>0.14</v>
      </c>
      <c r="E1316" s="8">
        <f>IFERROR(__xludf.DUMMYFUNCTION("GOOGLEFINANCE(""ASX:LKE"", ""closeyest"")"),0.15)</f>
        <v>0.15</v>
      </c>
      <c r="F1316" s="5" t="str">
        <f>IFERROR(__xludf.DUMMYFUNCTION("GOOGLEFINANCE(""ASX:LKE"", ""pe"")"),"#N/A")</f>
        <v>#N/A</v>
      </c>
      <c r="G1316" s="9">
        <f>IFERROR(__xludf.DUMMYFUNCTION("GOOGLEFINANCE(""ASX:LKE"", ""high52"")"),0.16)</f>
        <v>0.16</v>
      </c>
      <c r="H1316" s="9">
        <f>IFERROR(__xludf.DUMMYFUNCTION("GOOGLEFINANCE(""ASX:LKE"", ""low52"")"),0.03)</f>
        <v>0.03</v>
      </c>
      <c r="I1316" s="9">
        <f>IFERROR(__xludf.DUMMYFUNCTION("GOOGLEFINANCE(""ASX:LKE"", ""marketcap"")"),3.2376498E8)</f>
        <v>323764980</v>
      </c>
      <c r="J1316" s="5"/>
      <c r="K1316" s="5"/>
      <c r="L1316" s="5"/>
      <c r="M1316" s="5"/>
      <c r="N1316" s="11" t="s">
        <v>19</v>
      </c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>
      <c r="A1317" s="6" t="s">
        <v>2642</v>
      </c>
      <c r="B1317" s="6" t="s">
        <v>2643</v>
      </c>
      <c r="C1317" s="5" t="s">
        <v>78</v>
      </c>
      <c r="D1317" s="7">
        <f>IFERROR(__xludf.DUMMYFUNCTION("GOOGLEFINANCE(""ASX:LKO"", ""price"")"),1.32)</f>
        <v>1.32</v>
      </c>
      <c r="E1317" s="8">
        <f>IFERROR(__xludf.DUMMYFUNCTION("GOOGLEFINANCE(""ASX:LKO"", ""closeyest"")"),1.35)</f>
        <v>1.35</v>
      </c>
      <c r="F1317" s="9">
        <f>IFERROR(__xludf.DUMMYFUNCTION("GOOGLEFINANCE(""ASX:LKO"", ""pe"")"),20.69)</f>
        <v>20.69</v>
      </c>
      <c r="G1317" s="9">
        <f>IFERROR(__xludf.DUMMYFUNCTION("GOOGLEFINANCE(""ASX:LKO"", ""high52"")"),1.75)</f>
        <v>1.75</v>
      </c>
      <c r="H1317" s="9">
        <f>IFERROR(__xludf.DUMMYFUNCTION("GOOGLEFINANCE(""ASX:LKO"", ""low52"")"),0.68)</f>
        <v>0.68</v>
      </c>
      <c r="I1317" s="9">
        <f>IFERROR(__xludf.DUMMYFUNCTION("GOOGLEFINANCE(""ASX:LKO"", ""marketcap"")"),9.6790165E7)</f>
        <v>96790165</v>
      </c>
      <c r="J1317" s="5"/>
      <c r="K1317" s="5"/>
      <c r="L1317" s="5"/>
      <c r="M1317" s="5"/>
      <c r="N1317" s="9">
        <f>IFERROR(__xludf.DUMMYFUNCTION("IFERROR(GOOGLEFINANCE(""ASX:LKO"", ""pe""), ""N/A"")"),20.69)</f>
        <v>20.69</v>
      </c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>
      <c r="A1318" s="6" t="s">
        <v>2644</v>
      </c>
      <c r="B1318" s="6" t="s">
        <v>2645</v>
      </c>
      <c r="C1318" s="5" t="s">
        <v>18</v>
      </c>
      <c r="D1318" s="7">
        <f>IFERROR(__xludf.DUMMYFUNCTION("GOOGLEFINANCE(""ASX:LKY"", ""price"")"),0.2)</f>
        <v>0.2</v>
      </c>
      <c r="E1318" s="8">
        <f>IFERROR(__xludf.DUMMYFUNCTION("GOOGLEFINANCE(""ASX:LKY"", ""closeyest"")"),0.19)</f>
        <v>0.19</v>
      </c>
      <c r="F1318" s="5" t="str">
        <f>IFERROR(__xludf.DUMMYFUNCTION("GOOGLEFINANCE(""ASX:LKY"", ""pe"")"),"#N/A")</f>
        <v>#N/A</v>
      </c>
      <c r="G1318" s="9">
        <f>IFERROR(__xludf.DUMMYFUNCTION("GOOGLEFINANCE(""ASX:LKY"", ""high52"")"),0.69)</f>
        <v>0.69</v>
      </c>
      <c r="H1318" s="9">
        <f>IFERROR(__xludf.DUMMYFUNCTION("GOOGLEFINANCE(""ASX:LKY"", ""low52"")"),0.01)</f>
        <v>0.01</v>
      </c>
      <c r="I1318" s="9">
        <f>IFERROR(__xludf.DUMMYFUNCTION("GOOGLEFINANCE(""ASX:LKY"", ""marketcap"")"),6.7954124E7)</f>
        <v>67954124</v>
      </c>
      <c r="J1318" s="5"/>
      <c r="K1318" s="5"/>
      <c r="L1318" s="5"/>
      <c r="M1318" s="5"/>
      <c r="N1318" s="11" t="s">
        <v>19</v>
      </c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>
      <c r="A1319" s="6" t="s">
        <v>2646</v>
      </c>
      <c r="B1319" s="6" t="s">
        <v>2647</v>
      </c>
      <c r="C1319" s="5" t="s">
        <v>143</v>
      </c>
      <c r="D1319" s="7">
        <f>IFERROR(__xludf.DUMMYFUNCTION("GOOGLEFINANCE(""ASX:LLC"", ""price"")"),5.0)</f>
        <v>5</v>
      </c>
      <c r="E1319" s="8">
        <f>IFERROR(__xludf.DUMMYFUNCTION("GOOGLEFINANCE(""ASX:LLC"", ""closeyest"")"),4.98)</f>
        <v>4.98</v>
      </c>
      <c r="F1319" s="9">
        <f>IFERROR(__xludf.DUMMYFUNCTION("GOOGLEFINANCE(""ASX:LLC"", ""pe"")"),15.13)</f>
        <v>15.13</v>
      </c>
      <c r="G1319" s="9">
        <f>IFERROR(__xludf.DUMMYFUNCTION("GOOGLEFINANCE(""ASX:LLC"", ""high52"")"),6.82)</f>
        <v>6.82</v>
      </c>
      <c r="H1319" s="9">
        <f>IFERROR(__xludf.DUMMYFUNCTION("GOOGLEFINANCE(""ASX:LLC"", ""low52"")"),4.91)</f>
        <v>4.91</v>
      </c>
      <c r="I1319" s="9">
        <f>IFERROR(__xludf.DUMMYFUNCTION("GOOGLEFINANCE(""ASX:LLC"", ""marketcap"")"),3.453239E9)</f>
        <v>3453239000</v>
      </c>
      <c r="J1319" s="5"/>
      <c r="K1319" s="5"/>
      <c r="L1319" s="5"/>
      <c r="M1319" s="5"/>
      <c r="N1319" s="9">
        <f>IFERROR(__xludf.DUMMYFUNCTION("IFERROR(GOOGLEFINANCE(""ASX:LLC"", ""pe""), ""N/A"")"),15.13)</f>
        <v>15.13</v>
      </c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>
      <c r="A1320" s="6" t="s">
        <v>2648</v>
      </c>
      <c r="B1320" s="6" t="s">
        <v>2649</v>
      </c>
      <c r="C1320" s="5" t="s">
        <v>39</v>
      </c>
      <c r="D1320" s="7">
        <f>IFERROR(__xludf.DUMMYFUNCTION("GOOGLEFINANCE(""ASX:LLM"", ""price"")"),0.32)</f>
        <v>0.32</v>
      </c>
      <c r="E1320" s="8">
        <f>IFERROR(__xludf.DUMMYFUNCTION("GOOGLEFINANCE(""ASX:LLM"", ""closeyest"")"),0.32)</f>
        <v>0.32</v>
      </c>
      <c r="F1320" s="5" t="str">
        <f>IFERROR(__xludf.DUMMYFUNCTION("GOOGLEFINANCE(""ASX:LLM"", ""pe"")"),"#N/A")</f>
        <v>#N/A</v>
      </c>
      <c r="G1320" s="9">
        <f>IFERROR(__xludf.DUMMYFUNCTION("GOOGLEFINANCE(""ASX:LLM"", ""high52"")"),0.43)</f>
        <v>0.43</v>
      </c>
      <c r="H1320" s="9">
        <f>IFERROR(__xludf.DUMMYFUNCTION("GOOGLEFINANCE(""ASX:LLM"", ""low52"")"),0.18)</f>
        <v>0.18</v>
      </c>
      <c r="I1320" s="9">
        <f>IFERROR(__xludf.DUMMYFUNCTION("GOOGLEFINANCE(""ASX:LLM"", ""marketcap"")"),4.7354814E7)</f>
        <v>47354814</v>
      </c>
      <c r="J1320" s="5"/>
      <c r="K1320" s="5"/>
      <c r="L1320" s="5"/>
      <c r="M1320" s="5"/>
      <c r="N1320" s="11" t="s">
        <v>19</v>
      </c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>
      <c r="A1321" s="6" t="s">
        <v>2650</v>
      </c>
      <c r="B1321" s="6" t="s">
        <v>2651</v>
      </c>
      <c r="C1321" s="5" t="s">
        <v>18</v>
      </c>
      <c r="D1321" s="7">
        <f>IFERROR(__xludf.DUMMYFUNCTION("GOOGLEFINANCE(""ASX:LM1"", ""price"")"),0.15)</f>
        <v>0.15</v>
      </c>
      <c r="E1321" s="8">
        <f>IFERROR(__xludf.DUMMYFUNCTION("GOOGLEFINANCE(""ASX:LM1"", ""closeyest"")"),0.16)</f>
        <v>0.16</v>
      </c>
      <c r="F1321" s="5" t="str">
        <f>IFERROR(__xludf.DUMMYFUNCTION("GOOGLEFINANCE(""ASX:LM1"", ""pe"")"),"#N/A")</f>
        <v>#N/A</v>
      </c>
      <c r="G1321" s="9">
        <f>IFERROR(__xludf.DUMMYFUNCTION("GOOGLEFINANCE(""ASX:LM1"", ""high52"")"),0.31)</f>
        <v>0.31</v>
      </c>
      <c r="H1321" s="9">
        <f>IFERROR(__xludf.DUMMYFUNCTION("GOOGLEFINANCE(""ASX:LM1"", ""low52"")"),0.08)</f>
        <v>0.08</v>
      </c>
      <c r="I1321" s="9">
        <f>IFERROR(__xludf.DUMMYFUNCTION("GOOGLEFINANCE(""ASX:LM1"", ""marketcap"")"),1.848474E7)</f>
        <v>18484740</v>
      </c>
      <c r="J1321" s="5"/>
      <c r="K1321" s="5"/>
      <c r="L1321" s="5"/>
      <c r="M1321" s="5"/>
      <c r="N1321" s="11" t="s">
        <v>19</v>
      </c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>
      <c r="A1322" s="6" t="s">
        <v>2652</v>
      </c>
      <c r="B1322" s="6" t="s">
        <v>2653</v>
      </c>
      <c r="C1322" s="5" t="s">
        <v>18</v>
      </c>
      <c r="D1322" s="7">
        <f>IFERROR(__xludf.DUMMYFUNCTION("GOOGLEFINANCE(""ASX:LM8"", ""price"")"),0.42)</f>
        <v>0.42</v>
      </c>
      <c r="E1322" s="8">
        <f>IFERROR(__xludf.DUMMYFUNCTION("GOOGLEFINANCE(""ASX:LM8"", ""closeyest"")"),0.4)</f>
        <v>0.4</v>
      </c>
      <c r="F1322" s="5" t="str">
        <f>IFERROR(__xludf.DUMMYFUNCTION("GOOGLEFINANCE(""ASX:LM8"", ""pe"")"),"#N/A")</f>
        <v>#N/A</v>
      </c>
      <c r="G1322" s="9">
        <f>IFERROR(__xludf.DUMMYFUNCTION("GOOGLEFINANCE(""ASX:LM8"", ""high52"")"),0.46)</f>
        <v>0.46</v>
      </c>
      <c r="H1322" s="9">
        <f>IFERROR(__xludf.DUMMYFUNCTION("GOOGLEFINANCE(""ASX:LM8"", ""low52"")"),0.17)</f>
        <v>0.17</v>
      </c>
      <c r="I1322" s="9">
        <f>IFERROR(__xludf.DUMMYFUNCTION("GOOGLEFINANCE(""ASX:LM8"", ""marketcap"")"),9.2499537E7)</f>
        <v>92499537</v>
      </c>
      <c r="J1322" s="5"/>
      <c r="K1322" s="5"/>
      <c r="L1322" s="5"/>
      <c r="M1322" s="5"/>
      <c r="N1322" s="11" t="s">
        <v>19</v>
      </c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>
      <c r="A1323" s="6" t="s">
        <v>2654</v>
      </c>
      <c r="B1323" s="6" t="s">
        <v>2655</v>
      </c>
      <c r="C1323" s="5" t="s">
        <v>39</v>
      </c>
      <c r="D1323" s="7">
        <f>IFERROR(__xludf.DUMMYFUNCTION("GOOGLEFINANCE(""ASX:LMG"", ""price"")"),0.02)</f>
        <v>0.02</v>
      </c>
      <c r="E1323" s="8">
        <f>IFERROR(__xludf.DUMMYFUNCTION("GOOGLEFINANCE(""ASX:LMG"", ""closeyest"")"),0.02)</f>
        <v>0.02</v>
      </c>
      <c r="F1323" s="5" t="str">
        <f>IFERROR(__xludf.DUMMYFUNCTION("GOOGLEFINANCE(""ASX:LMG"", ""pe"")"),"#N/A")</f>
        <v>#N/A</v>
      </c>
      <c r="G1323" s="9">
        <f>IFERROR(__xludf.DUMMYFUNCTION("GOOGLEFINANCE(""ASX:LMG"", ""high52"")"),0.04)</f>
        <v>0.04</v>
      </c>
      <c r="H1323" s="9">
        <f>IFERROR(__xludf.DUMMYFUNCTION("GOOGLEFINANCE(""ASX:LMG"", ""low52"")"),0.01)</f>
        <v>0.01</v>
      </c>
      <c r="I1323" s="9">
        <f>IFERROR(__xludf.DUMMYFUNCTION("GOOGLEFINANCE(""ASX:LMG"", ""marketcap"")"),7.9133757E7)</f>
        <v>79133757</v>
      </c>
      <c r="J1323" s="5"/>
      <c r="K1323" s="5"/>
      <c r="L1323" s="5"/>
      <c r="M1323" s="5"/>
      <c r="N1323" s="11" t="s">
        <v>19</v>
      </c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>
      <c r="A1324" s="6" t="s">
        <v>2656</v>
      </c>
      <c r="B1324" s="6" t="s">
        <v>2657</v>
      </c>
      <c r="C1324" s="5" t="s">
        <v>18</v>
      </c>
      <c r="D1324" s="7">
        <f>IFERROR(__xludf.DUMMYFUNCTION("GOOGLEFINANCE(""ASX:LML"", ""price"")"),0.01)</f>
        <v>0.01</v>
      </c>
      <c r="E1324" s="8">
        <f>IFERROR(__xludf.DUMMYFUNCTION("GOOGLEFINANCE(""ASX:LML"", ""closeyest"")"),0.02)</f>
        <v>0.02</v>
      </c>
      <c r="F1324" s="5" t="str">
        <f>IFERROR(__xludf.DUMMYFUNCTION("GOOGLEFINANCE(""ASX:LML"", ""pe"")"),"#N/A")</f>
        <v>#N/A</v>
      </c>
      <c r="G1324" s="9">
        <f>IFERROR(__xludf.DUMMYFUNCTION("GOOGLEFINANCE(""ASX:LML"", ""high52"")"),0.02)</f>
        <v>0.02</v>
      </c>
      <c r="H1324" s="9">
        <f>IFERROR(__xludf.DUMMYFUNCTION("GOOGLEFINANCE(""ASX:LML"", ""low52"")"),0.0)</f>
        <v>0</v>
      </c>
      <c r="I1324" s="9">
        <f>IFERROR(__xludf.DUMMYFUNCTION("GOOGLEFINANCE(""ASX:LML"", ""marketcap"")"),2.9019536E7)</f>
        <v>29019536</v>
      </c>
      <c r="J1324" s="5"/>
      <c r="K1324" s="5"/>
      <c r="L1324" s="5"/>
      <c r="M1324" s="5"/>
      <c r="N1324" s="11" t="s">
        <v>19</v>
      </c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>
      <c r="A1325" s="6" t="s">
        <v>2658</v>
      </c>
      <c r="B1325" s="6" t="s">
        <v>2659</v>
      </c>
      <c r="C1325" s="5" t="s">
        <v>18</v>
      </c>
      <c r="D1325" s="7">
        <f>IFERROR(__xludf.DUMMYFUNCTION("GOOGLEFINANCE(""ASX:LMS"", ""price"")"),0.5)</f>
        <v>0.5</v>
      </c>
      <c r="E1325" s="8">
        <f>IFERROR(__xludf.DUMMYFUNCTION("GOOGLEFINANCE(""ASX:LMS"", ""closeyest"")"),0.49)</f>
        <v>0.49</v>
      </c>
      <c r="F1325" s="5" t="str">
        <f>IFERROR(__xludf.DUMMYFUNCTION("GOOGLEFINANCE(""ASX:LMS"", ""pe"")"),"#N/A")</f>
        <v>#N/A</v>
      </c>
      <c r="G1325" s="9">
        <f>IFERROR(__xludf.DUMMYFUNCTION("GOOGLEFINANCE(""ASX:LMS"", ""high52"")"),1.16)</f>
        <v>1.16</v>
      </c>
      <c r="H1325" s="9">
        <f>IFERROR(__xludf.DUMMYFUNCTION("GOOGLEFINANCE(""ASX:LMS"", ""low52"")"),0.1)</f>
        <v>0.1</v>
      </c>
      <c r="I1325" s="9">
        <f>IFERROR(__xludf.DUMMYFUNCTION("GOOGLEFINANCE(""ASX:LMS"", ""marketcap"")"),2.8001535E7)</f>
        <v>28001535</v>
      </c>
      <c r="J1325" s="5"/>
      <c r="K1325" s="5"/>
      <c r="L1325" s="5"/>
      <c r="M1325" s="5"/>
      <c r="N1325" s="11" t="s">
        <v>19</v>
      </c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>
      <c r="A1326" s="6" t="s">
        <v>2660</v>
      </c>
      <c r="B1326" s="6" t="s">
        <v>2661</v>
      </c>
      <c r="C1326" s="5" t="s">
        <v>36</v>
      </c>
      <c r="D1326" s="7" t="str">
        <f>IFERROR(__xludf.DUMMYFUNCTION("GOOGLEFINANCE(""ASX:LNAS"", ""price"")"),"#N/A")</f>
        <v>#N/A</v>
      </c>
      <c r="E1326" s="8" t="str">
        <f>IFERROR(__xludf.DUMMYFUNCTION("GOOGLEFINANCE(""ASX:LNAS"", ""closeyest"")"),"#N/A")</f>
        <v>#N/A</v>
      </c>
      <c r="F1326" s="5" t="str">
        <f>IFERROR(__xludf.DUMMYFUNCTION("GOOGLEFINANCE(""ASX:LNAS"", ""pe"")"),"#N/A")</f>
        <v>#N/A</v>
      </c>
      <c r="G1326" s="5" t="str">
        <f>IFERROR(__xludf.DUMMYFUNCTION("GOOGLEFINANCE(""ASX:LNAS"", ""high52"")"),"#N/A")</f>
        <v>#N/A</v>
      </c>
      <c r="H1326" s="5" t="str">
        <f>IFERROR(__xludf.DUMMYFUNCTION("GOOGLEFINANCE(""ASX:LNAS"", ""low52"")"),"#N/A")</f>
        <v>#N/A</v>
      </c>
      <c r="I1326" s="9" t="str">
        <f>IFERROR(__xludf.DUMMYFUNCTION("GOOGLEFINANCE(""ASX:LNAS"", ""marketcap"")"),"#N/A")</f>
        <v>#N/A</v>
      </c>
      <c r="J1326" s="10">
        <v>13.47</v>
      </c>
      <c r="K1326" s="10">
        <v>13.3</v>
      </c>
      <c r="L1326" s="10">
        <v>14.7</v>
      </c>
      <c r="M1326" s="10">
        <v>5.29</v>
      </c>
      <c r="N1326" s="11" t="s">
        <v>19</v>
      </c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>
      <c r="A1327" s="6" t="s">
        <v>2662</v>
      </c>
      <c r="B1327" s="6" t="s">
        <v>2663</v>
      </c>
      <c r="C1327" s="5" t="s">
        <v>18</v>
      </c>
      <c r="D1327" s="7">
        <f>IFERROR(__xludf.DUMMYFUNCTION("GOOGLEFINANCE(""ASX:LNQ"", ""price"")"),0.21)</f>
        <v>0.21</v>
      </c>
      <c r="E1327" s="8">
        <f>IFERROR(__xludf.DUMMYFUNCTION("GOOGLEFINANCE(""ASX:LNQ"", ""closeyest"")"),0.21)</f>
        <v>0.21</v>
      </c>
      <c r="F1327" s="5" t="str">
        <f>IFERROR(__xludf.DUMMYFUNCTION("GOOGLEFINANCE(""ASX:LNQ"", ""pe"")"),"#N/A")</f>
        <v>#N/A</v>
      </c>
      <c r="G1327" s="9">
        <f>IFERROR(__xludf.DUMMYFUNCTION("GOOGLEFINANCE(""ASX:LNQ"", ""high52"")"),0.27)</f>
        <v>0.27</v>
      </c>
      <c r="H1327" s="9">
        <f>IFERROR(__xludf.DUMMYFUNCTION("GOOGLEFINANCE(""ASX:LNQ"", ""low52"")"),0.13)</f>
        <v>0.13</v>
      </c>
      <c r="I1327" s="9">
        <f>IFERROR(__xludf.DUMMYFUNCTION("GOOGLEFINANCE(""ASX:LNQ"", ""marketcap"")"),1.2646695E7)</f>
        <v>12646695</v>
      </c>
      <c r="J1327" s="5"/>
      <c r="K1327" s="5"/>
      <c r="L1327" s="5"/>
      <c r="M1327" s="5"/>
      <c r="N1327" s="11" t="s">
        <v>19</v>
      </c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>
      <c r="A1328" s="6" t="s">
        <v>2664</v>
      </c>
      <c r="B1328" s="6" t="s">
        <v>2665</v>
      </c>
      <c r="C1328" s="5" t="s">
        <v>259</v>
      </c>
      <c r="D1328" s="7">
        <f>IFERROR(__xludf.DUMMYFUNCTION("GOOGLEFINANCE(""ASX:LNW"", ""price"")"),156.9)</f>
        <v>156.9</v>
      </c>
      <c r="E1328" s="8">
        <f>IFERROR(__xludf.DUMMYFUNCTION("GOOGLEFINANCE(""ASX:LNW"", ""closeyest"")"),155.4)</f>
        <v>155.4</v>
      </c>
      <c r="F1328" s="9">
        <f>IFERROR(__xludf.DUMMYFUNCTION("GOOGLEFINANCE(""ASX:LNW"", ""pe"")"),22.75)</f>
        <v>22.75</v>
      </c>
      <c r="G1328" s="9">
        <f>IFERROR(__xludf.DUMMYFUNCTION("GOOGLEFINANCE(""ASX:LNW"", ""high52"")"),181.25)</f>
        <v>181.25</v>
      </c>
      <c r="H1328" s="9">
        <f>IFERROR(__xludf.DUMMYFUNCTION("GOOGLEFINANCE(""ASX:LNW"", ""low52"")"),109.12)</f>
        <v>109.12</v>
      </c>
      <c r="I1328" s="9">
        <f>IFERROR(__xludf.DUMMYFUNCTION("GOOGLEFINANCE(""ASX:LNW"", ""marketcap"")"),1.2591452015E10)</f>
        <v>12591452015</v>
      </c>
      <c r="J1328" s="5"/>
      <c r="K1328" s="5"/>
      <c r="L1328" s="5"/>
      <c r="M1328" s="5"/>
      <c r="N1328" s="9">
        <f>IFERROR(__xludf.DUMMYFUNCTION("IFERROR(GOOGLEFINANCE(""ASX:LNW"", ""pe""), ""N/A"")"),22.75)</f>
        <v>22.75</v>
      </c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>
      <c r="A1329" s="6" t="s">
        <v>2666</v>
      </c>
      <c r="B1329" s="6" t="s">
        <v>2667</v>
      </c>
      <c r="C1329" s="5" t="s">
        <v>36</v>
      </c>
      <c r="D1329" s="7">
        <f>IFERROR(__xludf.DUMMYFUNCTION("GOOGLEFINANCE(""ASX:LNYN"", ""price"")"),1.88)</f>
        <v>1.88</v>
      </c>
      <c r="E1329" s="8">
        <f>IFERROR(__xludf.DUMMYFUNCTION("GOOGLEFINANCE(""ASX:LNYN"", ""closeyest"")"),1.88)</f>
        <v>1.88</v>
      </c>
      <c r="F1329" s="5" t="str">
        <f>IFERROR(__xludf.DUMMYFUNCTION("GOOGLEFINANCE(""ASX:LNYN"", ""pe"")"),"#N/A")</f>
        <v>#N/A</v>
      </c>
      <c r="G1329" s="9">
        <f>IFERROR(__xludf.DUMMYFUNCTION("GOOGLEFINANCE(""ASX:LNYN"", ""high52"")"),1.97)</f>
        <v>1.97</v>
      </c>
      <c r="H1329" s="9">
        <f>IFERROR(__xludf.DUMMYFUNCTION("GOOGLEFINANCE(""ASX:LNYN"", ""low52"")"),1.4)</f>
        <v>1.4</v>
      </c>
      <c r="I1329" s="9" t="str">
        <f>IFERROR(__xludf.DUMMYFUNCTION("GOOGLEFINANCE(""ASX:LNYN"", ""marketcap"")"),"#N/A")</f>
        <v>#N/A</v>
      </c>
      <c r="J1329" s="5"/>
      <c r="K1329" s="5"/>
      <c r="L1329" s="5"/>
      <c r="M1329" s="5"/>
      <c r="N1329" s="11" t="s">
        <v>19</v>
      </c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>
      <c r="A1330" s="6" t="s">
        <v>2668</v>
      </c>
      <c r="B1330" s="6" t="s">
        <v>2669</v>
      </c>
      <c r="C1330" s="5" t="s">
        <v>28</v>
      </c>
      <c r="D1330" s="7">
        <f>IFERROR(__xludf.DUMMYFUNCTION("GOOGLEFINANCE(""ASX:LOT"", ""price"")"),0.21)</f>
        <v>0.21</v>
      </c>
      <c r="E1330" s="8">
        <f>IFERROR(__xludf.DUMMYFUNCTION("GOOGLEFINANCE(""ASX:LOT"", ""closeyest"")"),0.21)</f>
        <v>0.21</v>
      </c>
      <c r="F1330" s="5" t="str">
        <f>IFERROR(__xludf.DUMMYFUNCTION("GOOGLEFINANCE(""ASX:LOT"", ""pe"")"),"#N/A")</f>
        <v>#N/A</v>
      </c>
      <c r="G1330" s="9">
        <f>IFERROR(__xludf.DUMMYFUNCTION("GOOGLEFINANCE(""ASX:LOT"", ""high52"")"),0.26)</f>
        <v>0.26</v>
      </c>
      <c r="H1330" s="9">
        <f>IFERROR(__xludf.DUMMYFUNCTION("GOOGLEFINANCE(""ASX:LOT"", ""low52"")"),0.13)</f>
        <v>0.13</v>
      </c>
      <c r="I1330" s="9">
        <f>IFERROR(__xludf.DUMMYFUNCTION("GOOGLEFINANCE(""ASX:LOT"", ""marketcap"")"),5.70643482E8)</f>
        <v>570643482</v>
      </c>
      <c r="J1330" s="5"/>
      <c r="K1330" s="5"/>
      <c r="L1330" s="5"/>
      <c r="M1330" s="5"/>
      <c r="N1330" s="11" t="s">
        <v>19</v>
      </c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>
      <c r="A1331" s="6" t="s">
        <v>2668</v>
      </c>
      <c r="B1331" s="6" t="s">
        <v>2669</v>
      </c>
      <c r="C1331" s="5" t="s">
        <v>28</v>
      </c>
      <c r="D1331" s="7">
        <f>IFERROR(__xludf.DUMMYFUNCTION("GOOGLEFINANCE(""ASX:LOT"", ""price"")"),0.21)</f>
        <v>0.21</v>
      </c>
      <c r="E1331" s="8">
        <f>IFERROR(__xludf.DUMMYFUNCTION("GOOGLEFINANCE(""ASX:LOT"", ""closeyest"")"),0.21)</f>
        <v>0.21</v>
      </c>
      <c r="F1331" s="5" t="str">
        <f>IFERROR(__xludf.DUMMYFUNCTION("GOOGLEFINANCE(""ASX:LOT"", ""pe"")"),"#N/A")</f>
        <v>#N/A</v>
      </c>
      <c r="G1331" s="9">
        <f>IFERROR(__xludf.DUMMYFUNCTION("GOOGLEFINANCE(""ASX:LOT"", ""high52"")"),0.26)</f>
        <v>0.26</v>
      </c>
      <c r="H1331" s="9">
        <f>IFERROR(__xludf.DUMMYFUNCTION("GOOGLEFINANCE(""ASX:LOT"", ""low52"")"),0.13)</f>
        <v>0.13</v>
      </c>
      <c r="I1331" s="9">
        <f>IFERROR(__xludf.DUMMYFUNCTION("GOOGLEFINANCE(""ASX:LOT"", ""marketcap"")"),5.70643482E8)</f>
        <v>570643482</v>
      </c>
      <c r="J1331" s="5"/>
      <c r="K1331" s="5"/>
      <c r="L1331" s="5"/>
      <c r="M1331" s="5"/>
      <c r="N1331" s="11" t="s">
        <v>19</v>
      </c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>
      <c r="A1332" s="13" t="s">
        <v>2668</v>
      </c>
      <c r="B1332" s="13" t="s">
        <v>2669</v>
      </c>
      <c r="C1332" s="14" t="s">
        <v>28</v>
      </c>
      <c r="D1332" s="15">
        <f>IFERROR(__xludf.DUMMYFUNCTION("GOOGLEFINANCE(""ASX:LOT"", ""price"")"),0.21)</f>
        <v>0.21</v>
      </c>
      <c r="E1332" s="8">
        <f>IFERROR(__xludf.DUMMYFUNCTION("GOOGLEFINANCE(""ASX:LOT"", ""closeyest"")"),0.21)</f>
        <v>0.21</v>
      </c>
      <c r="F1332" s="5" t="str">
        <f>IFERROR(__xludf.DUMMYFUNCTION("GOOGLEFINANCE(""ASX:LOT"", ""pe"")"),"#N/A")</f>
        <v>#N/A</v>
      </c>
      <c r="G1332" s="9">
        <f>IFERROR(__xludf.DUMMYFUNCTION("GOOGLEFINANCE(""ASX:LOT"", ""high52"")"),0.26)</f>
        <v>0.26</v>
      </c>
      <c r="H1332" s="9">
        <f>IFERROR(__xludf.DUMMYFUNCTION("GOOGLEFINANCE(""ASX:LOT"", ""low52"")"),0.13)</f>
        <v>0.13</v>
      </c>
      <c r="I1332" s="9">
        <f>IFERROR(__xludf.DUMMYFUNCTION("GOOGLEFINANCE(""ASX:LOT"", ""marketcap"")"),5.70643482E8)</f>
        <v>570643482</v>
      </c>
      <c r="J1332" s="5"/>
      <c r="K1332" s="5"/>
      <c r="L1332" s="5"/>
      <c r="M1332" s="5"/>
      <c r="N1332" s="11" t="s">
        <v>19</v>
      </c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>
      <c r="A1333" s="6" t="s">
        <v>2670</v>
      </c>
      <c r="B1333" s="6" t="s">
        <v>2671</v>
      </c>
      <c r="C1333" s="5" t="s">
        <v>620</v>
      </c>
      <c r="D1333" s="7">
        <f>IFERROR(__xludf.DUMMYFUNCTION("GOOGLEFINANCE(""ASX:LOV"", ""price"")"),28.79)</f>
        <v>28.79</v>
      </c>
      <c r="E1333" s="8">
        <f>IFERROR(__xludf.DUMMYFUNCTION("GOOGLEFINANCE(""ASX:LOV"", ""closeyest"")"),28.11)</f>
        <v>28.11</v>
      </c>
      <c r="F1333" s="9">
        <f>IFERROR(__xludf.DUMMYFUNCTION("GOOGLEFINANCE(""ASX:LOV"", ""pe"")"),36.87)</f>
        <v>36.87</v>
      </c>
      <c r="G1333" s="9">
        <f>IFERROR(__xludf.DUMMYFUNCTION("GOOGLEFINANCE(""ASX:LOV"", ""high52"")"),43.68)</f>
        <v>43.68</v>
      </c>
      <c r="H1333" s="9">
        <f>IFERROR(__xludf.DUMMYFUNCTION("GOOGLEFINANCE(""ASX:LOV"", ""low52"")"),20.23)</f>
        <v>20.23</v>
      </c>
      <c r="I1333" s="9">
        <f>IFERROR(__xludf.DUMMYFUNCTION("GOOGLEFINANCE(""ASX:LOV"", ""marketcap"")"),3.188158637E9)</f>
        <v>3188158637</v>
      </c>
      <c r="J1333" s="5"/>
      <c r="K1333" s="5"/>
      <c r="L1333" s="5"/>
      <c r="M1333" s="5"/>
      <c r="N1333" s="9">
        <f>IFERROR(__xludf.DUMMYFUNCTION("IFERROR(GOOGLEFINANCE(""ASX:LOV"", ""pe""), ""N/A"")"),36.87)</f>
        <v>36.87</v>
      </c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>
      <c r="A1334" s="6" t="s">
        <v>2672</v>
      </c>
      <c r="B1334" s="6" t="s">
        <v>2673</v>
      </c>
      <c r="C1334" s="5" t="s">
        <v>954</v>
      </c>
      <c r="D1334" s="7">
        <f>IFERROR(__xludf.DUMMYFUNCTION("GOOGLEFINANCE(""ASX:LPE"", ""price"")"),0.11)</f>
        <v>0.11</v>
      </c>
      <c r="E1334" s="8">
        <f>IFERROR(__xludf.DUMMYFUNCTION("GOOGLEFINANCE(""ASX:LPE"", ""closeyest"")"),0.11)</f>
        <v>0.11</v>
      </c>
      <c r="F1334" s="5" t="str">
        <f>IFERROR(__xludf.DUMMYFUNCTION("GOOGLEFINANCE(""ASX:LPE"", ""pe"")"),"#N/A")</f>
        <v>#N/A</v>
      </c>
      <c r="G1334" s="9">
        <f>IFERROR(__xludf.DUMMYFUNCTION("GOOGLEFINANCE(""ASX:LPE"", ""high52"")"),0.18)</f>
        <v>0.18</v>
      </c>
      <c r="H1334" s="9">
        <f>IFERROR(__xludf.DUMMYFUNCTION("GOOGLEFINANCE(""ASX:LPE"", ""low52"")"),0.09)</f>
        <v>0.09</v>
      </c>
      <c r="I1334" s="9">
        <f>IFERROR(__xludf.DUMMYFUNCTION("GOOGLEFINANCE(""ASX:LPE"", ""marketcap"")"),2.008869E7)</f>
        <v>20088690</v>
      </c>
      <c r="J1334" s="5"/>
      <c r="K1334" s="5"/>
      <c r="L1334" s="5"/>
      <c r="M1334" s="5"/>
      <c r="N1334" s="11" t="s">
        <v>19</v>
      </c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>
      <c r="A1335" s="6" t="s">
        <v>2674</v>
      </c>
      <c r="B1335" s="6" t="s">
        <v>2675</v>
      </c>
      <c r="C1335" s="5" t="s">
        <v>36</v>
      </c>
      <c r="D1335" s="7" t="str">
        <f>IFERROR(__xludf.DUMMYFUNCTION("GOOGLEFINANCE(""ASX:LPGD"", ""price"")"),"#N/A")</f>
        <v>#N/A</v>
      </c>
      <c r="E1335" s="8" t="str">
        <f>IFERROR(__xludf.DUMMYFUNCTION("GOOGLEFINANCE(""ASX:LPGD"", ""closeyest"")"),"#N/A")</f>
        <v>#N/A</v>
      </c>
      <c r="F1335" s="5" t="str">
        <f>IFERROR(__xludf.DUMMYFUNCTION("GOOGLEFINANCE(""ASX:LPGD"", ""pe"")"),"#N/A")</f>
        <v>#N/A</v>
      </c>
      <c r="G1335" s="5" t="str">
        <f>IFERROR(__xludf.DUMMYFUNCTION("GOOGLEFINANCE(""ASX:LPGD"", ""high52"")"),"#N/A")</f>
        <v>#N/A</v>
      </c>
      <c r="H1335" s="5" t="str">
        <f>IFERROR(__xludf.DUMMYFUNCTION("GOOGLEFINANCE(""ASX:LPGD"", ""low52"")"),"#N/A")</f>
        <v>#N/A</v>
      </c>
      <c r="I1335" s="9" t="str">
        <f>IFERROR(__xludf.DUMMYFUNCTION("GOOGLEFINANCE(""ASX:LPGD"", ""marketcap"")"),"#N/A")</f>
        <v>#N/A</v>
      </c>
      <c r="J1335" s="12">
        <v>5.58</v>
      </c>
      <c r="K1335" s="12">
        <v>5.58</v>
      </c>
      <c r="L1335" s="12">
        <v>6.125</v>
      </c>
      <c r="M1335" s="12">
        <v>4.31</v>
      </c>
      <c r="N1335" s="11" t="s">
        <v>19</v>
      </c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>
      <c r="A1336" s="6" t="s">
        <v>2676</v>
      </c>
      <c r="B1336" s="6" t="s">
        <v>2677</v>
      </c>
      <c r="C1336" s="5" t="s">
        <v>36</v>
      </c>
      <c r="D1336" s="7">
        <f>IFERROR(__xludf.DUMMYFUNCTION("GOOGLEFINANCE(""ASX:LPHD"", ""price"")"),9.51)</f>
        <v>9.51</v>
      </c>
      <c r="E1336" s="8">
        <f>IFERROR(__xludf.DUMMYFUNCTION("GOOGLEFINANCE(""ASX:LPHD"", ""closeyest"")"),9.29)</f>
        <v>9.29</v>
      </c>
      <c r="F1336" s="5" t="str">
        <f>IFERROR(__xludf.DUMMYFUNCTION("GOOGLEFINANCE(""ASX:LPHD"", ""pe"")"),"#N/A")</f>
        <v>#N/A</v>
      </c>
      <c r="G1336" s="9">
        <f>IFERROR(__xludf.DUMMYFUNCTION("GOOGLEFINANCE(""ASX:LPHD"", ""high52"")"),9.83)</f>
        <v>9.83</v>
      </c>
      <c r="H1336" s="9">
        <f>IFERROR(__xludf.DUMMYFUNCTION("GOOGLEFINANCE(""ASX:LPHD"", ""low52"")"),8.75)</f>
        <v>8.75</v>
      </c>
      <c r="I1336" s="9" t="str">
        <f>IFERROR(__xludf.DUMMYFUNCTION("GOOGLEFINANCE(""ASX:LPHD"", ""marketcap"")"),"#N/A")</f>
        <v>#N/A</v>
      </c>
      <c r="J1336" s="12">
        <v>9.29</v>
      </c>
      <c r="K1336" s="12">
        <v>9.29</v>
      </c>
      <c r="L1336" s="12">
        <v>9.83</v>
      </c>
      <c r="M1336" s="12">
        <v>8.75</v>
      </c>
      <c r="N1336" s="11" t="s">
        <v>19</v>
      </c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>
      <c r="A1337" s="6" t="s">
        <v>2678</v>
      </c>
      <c r="B1337" s="6" t="s">
        <v>2679</v>
      </c>
      <c r="C1337" s="5" t="s">
        <v>39</v>
      </c>
      <c r="D1337" s="7">
        <f>IFERROR(__xludf.DUMMYFUNCTION("GOOGLEFINANCE(""ASX:LPM"", ""price"")"),0.16)</f>
        <v>0.16</v>
      </c>
      <c r="E1337" s="8">
        <f>IFERROR(__xludf.DUMMYFUNCTION("GOOGLEFINANCE(""ASX:LPM"", ""closeyest"")"),0.14)</f>
        <v>0.14</v>
      </c>
      <c r="F1337" s="5" t="str">
        <f>IFERROR(__xludf.DUMMYFUNCTION("GOOGLEFINANCE(""ASX:LPM"", ""pe"")"),"#N/A")</f>
        <v>#N/A</v>
      </c>
      <c r="G1337" s="9">
        <f>IFERROR(__xludf.DUMMYFUNCTION("GOOGLEFINANCE(""ASX:LPM"", ""high52"")"),0.18)</f>
        <v>0.18</v>
      </c>
      <c r="H1337" s="9">
        <f>IFERROR(__xludf.DUMMYFUNCTION("GOOGLEFINANCE(""ASX:LPM"", ""low52"")"),0.05)</f>
        <v>0.05</v>
      </c>
      <c r="I1337" s="9">
        <f>IFERROR(__xludf.DUMMYFUNCTION("GOOGLEFINANCE(""ASX:LPM"", ""marketcap"")"),2.1254399E7)</f>
        <v>21254399</v>
      </c>
      <c r="J1337" s="5"/>
      <c r="K1337" s="5"/>
      <c r="L1337" s="5"/>
      <c r="M1337" s="5"/>
      <c r="N1337" s="11" t="s">
        <v>19</v>
      </c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>
      <c r="A1338" s="6" t="s">
        <v>2680</v>
      </c>
      <c r="B1338" s="6" t="s">
        <v>2681</v>
      </c>
      <c r="C1338" s="5" t="s">
        <v>18</v>
      </c>
      <c r="D1338" s="7">
        <f>IFERROR(__xludf.DUMMYFUNCTION("GOOGLEFINANCE(""ASX:LRD"", ""price"")"),0.02)</f>
        <v>0.02</v>
      </c>
      <c r="E1338" s="8">
        <f>IFERROR(__xludf.DUMMYFUNCTION("GOOGLEFINANCE(""ASX:LRD"", ""closeyest"")"),0.02)</f>
        <v>0.02</v>
      </c>
      <c r="F1338" s="5" t="str">
        <f>IFERROR(__xludf.DUMMYFUNCTION("GOOGLEFINANCE(""ASX:LRD"", ""pe"")"),"#N/A")</f>
        <v>#N/A</v>
      </c>
      <c r="G1338" s="9">
        <f>IFERROR(__xludf.DUMMYFUNCTION("GOOGLEFINANCE(""ASX:LRD"", ""high52"")"),0.06)</f>
        <v>0.06</v>
      </c>
      <c r="H1338" s="9">
        <f>IFERROR(__xludf.DUMMYFUNCTION("GOOGLEFINANCE(""ASX:LRD"", ""low52"")"),0.02)</f>
        <v>0.02</v>
      </c>
      <c r="I1338" s="9">
        <f>IFERROR(__xludf.DUMMYFUNCTION("GOOGLEFINANCE(""ASX:LRD"", ""marketcap"")"),2867435.0)</f>
        <v>2867435</v>
      </c>
      <c r="J1338" s="5"/>
      <c r="K1338" s="5"/>
      <c r="L1338" s="5"/>
      <c r="M1338" s="5"/>
      <c r="N1338" s="11" t="s">
        <v>19</v>
      </c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>
      <c r="A1339" s="6" t="s">
        <v>2682</v>
      </c>
      <c r="B1339" s="6" t="s">
        <v>2683</v>
      </c>
      <c r="C1339" s="5" t="s">
        <v>603</v>
      </c>
      <c r="D1339" s="7">
        <f>IFERROR(__xludf.DUMMYFUNCTION("GOOGLEFINANCE(""ASX:LRK"", ""price"")"),0.57)</f>
        <v>0.57</v>
      </c>
      <c r="E1339" s="8">
        <f>IFERROR(__xludf.DUMMYFUNCTION("GOOGLEFINANCE(""ASX:LRK"", ""closeyest"")"),0.6)</f>
        <v>0.6</v>
      </c>
      <c r="F1339" s="5" t="str">
        <f>IFERROR(__xludf.DUMMYFUNCTION("GOOGLEFINANCE(""ASX:LRK"", ""pe"")"),"#N/A")</f>
        <v>#N/A</v>
      </c>
      <c r="G1339" s="9">
        <f>IFERROR(__xludf.DUMMYFUNCTION("GOOGLEFINANCE(""ASX:LRK"", ""high52"")"),1.16)</f>
        <v>1.16</v>
      </c>
      <c r="H1339" s="9">
        <f>IFERROR(__xludf.DUMMYFUNCTION("GOOGLEFINANCE(""ASX:LRK"", ""low52"")"),0.57)</f>
        <v>0.57</v>
      </c>
      <c r="I1339" s="9">
        <f>IFERROR(__xludf.DUMMYFUNCTION("GOOGLEFINANCE(""ASX:LRK"", ""marketcap"")"),6.097136E7)</f>
        <v>60971360</v>
      </c>
      <c r="J1339" s="5"/>
      <c r="K1339" s="5"/>
      <c r="L1339" s="5"/>
      <c r="M1339" s="5"/>
      <c r="N1339" s="11" t="s">
        <v>19</v>
      </c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>
      <c r="A1340" s="6" t="s">
        <v>2684</v>
      </c>
      <c r="B1340" s="6" t="s">
        <v>2685</v>
      </c>
      <c r="C1340" s="5" t="s">
        <v>39</v>
      </c>
      <c r="D1340" s="7">
        <f>IFERROR(__xludf.DUMMYFUNCTION("GOOGLEFINANCE(""ASX:LRM"", ""price"")"),0.03)</f>
        <v>0.03</v>
      </c>
      <c r="E1340" s="8">
        <f>IFERROR(__xludf.DUMMYFUNCTION("GOOGLEFINANCE(""ASX:LRM"", ""closeyest"")"),0.03)</f>
        <v>0.03</v>
      </c>
      <c r="F1340" s="5" t="str">
        <f>IFERROR(__xludf.DUMMYFUNCTION("GOOGLEFINANCE(""ASX:LRM"", ""pe"")"),"#N/A")</f>
        <v>#N/A</v>
      </c>
      <c r="G1340" s="9">
        <f>IFERROR(__xludf.DUMMYFUNCTION("GOOGLEFINANCE(""ASX:LRM"", ""high52"")"),0.07)</f>
        <v>0.07</v>
      </c>
      <c r="H1340" s="9">
        <f>IFERROR(__xludf.DUMMYFUNCTION("GOOGLEFINANCE(""ASX:LRM"", ""low52"")"),0.02)</f>
        <v>0.02</v>
      </c>
      <c r="I1340" s="9">
        <f>IFERROR(__xludf.DUMMYFUNCTION("GOOGLEFINANCE(""ASX:LRM"", ""marketcap"")"),8.8649334E7)</f>
        <v>88649334</v>
      </c>
      <c r="J1340" s="5"/>
      <c r="K1340" s="5"/>
      <c r="L1340" s="5"/>
      <c r="M1340" s="5"/>
      <c r="N1340" s="11" t="s">
        <v>19</v>
      </c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>
      <c r="A1341" s="6" t="s">
        <v>2686</v>
      </c>
      <c r="B1341" s="6" t="s">
        <v>2687</v>
      </c>
      <c r="C1341" s="5" t="s">
        <v>171</v>
      </c>
      <c r="D1341" s="7">
        <f>IFERROR(__xludf.DUMMYFUNCTION("GOOGLEFINANCE(""ASX:LRT"", ""price"")"),2.32)</f>
        <v>2.32</v>
      </c>
      <c r="E1341" s="8">
        <f>IFERROR(__xludf.DUMMYFUNCTION("GOOGLEFINANCE(""ASX:LRT"", ""closeyest"")"),2.34)</f>
        <v>2.34</v>
      </c>
      <c r="F1341" s="9">
        <f>IFERROR(__xludf.DUMMYFUNCTION("GOOGLEFINANCE(""ASX:LRT"", ""pe"")"),4.07)</f>
        <v>4.07</v>
      </c>
      <c r="G1341" s="9">
        <f>IFERROR(__xludf.DUMMYFUNCTION("GOOGLEFINANCE(""ASX:LRT"", ""high52"")"),2.35)</f>
        <v>2.35</v>
      </c>
      <c r="H1341" s="9">
        <f>IFERROR(__xludf.DUMMYFUNCTION("GOOGLEFINANCE(""ASX:LRT"", ""low52"")"),1.02)</f>
        <v>1.02</v>
      </c>
      <c r="I1341" s="9">
        <f>IFERROR(__xludf.DUMMYFUNCTION("GOOGLEFINANCE(""ASX:LRT"", ""marketcap"")"),9.6412538E7)</f>
        <v>96412538</v>
      </c>
      <c r="J1341" s="5"/>
      <c r="K1341" s="5"/>
      <c r="L1341" s="5"/>
      <c r="M1341" s="5"/>
      <c r="N1341" s="9">
        <f>IFERROR(__xludf.DUMMYFUNCTION("IFERROR(GOOGLEFINANCE(""ASX:LRT"", ""pe""), ""N/A"")"),4.07)</f>
        <v>4.07</v>
      </c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>
      <c r="A1342" s="6" t="s">
        <v>2688</v>
      </c>
      <c r="B1342" s="6" t="s">
        <v>2689</v>
      </c>
      <c r="C1342" s="5" t="s">
        <v>18</v>
      </c>
      <c r="D1342" s="7">
        <f>IFERROR(__xludf.DUMMYFUNCTION("GOOGLEFINANCE(""ASX:LRV"", ""price"")"),1.24)</f>
        <v>1.24</v>
      </c>
      <c r="E1342" s="8">
        <f>IFERROR(__xludf.DUMMYFUNCTION("GOOGLEFINANCE(""ASX:LRV"", ""closeyest"")"),1.23)</f>
        <v>1.23</v>
      </c>
      <c r="F1342" s="5" t="str">
        <f>IFERROR(__xludf.DUMMYFUNCTION("GOOGLEFINANCE(""ASX:LRV"", ""pe"")"),"#N/A")</f>
        <v>#N/A</v>
      </c>
      <c r="G1342" s="9">
        <f>IFERROR(__xludf.DUMMYFUNCTION("GOOGLEFINANCE(""ASX:LRV"", ""high52"")"),1.44)</f>
        <v>1.44</v>
      </c>
      <c r="H1342" s="9">
        <f>IFERROR(__xludf.DUMMYFUNCTION("GOOGLEFINANCE(""ASX:LRV"", ""low52"")"),0.53)</f>
        <v>0.53</v>
      </c>
      <c r="I1342" s="9">
        <f>IFERROR(__xludf.DUMMYFUNCTION("GOOGLEFINANCE(""ASX:LRV"", ""marketcap"")"),6.39142888E8)</f>
        <v>639142888</v>
      </c>
      <c r="J1342" s="5"/>
      <c r="K1342" s="5"/>
      <c r="L1342" s="5"/>
      <c r="M1342" s="5"/>
      <c r="N1342" s="11" t="s">
        <v>19</v>
      </c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>
      <c r="A1343" s="6" t="s">
        <v>2690</v>
      </c>
      <c r="B1343" s="6" t="s">
        <v>2691</v>
      </c>
      <c r="C1343" s="5" t="s">
        <v>88</v>
      </c>
      <c r="D1343" s="7">
        <f>IFERROR(__xludf.DUMMYFUNCTION("GOOGLEFINANCE(""ASX:LSA"", ""price"")"),0.06)</f>
        <v>0.06</v>
      </c>
      <c r="E1343" s="8">
        <f>IFERROR(__xludf.DUMMYFUNCTION("GOOGLEFINANCE(""ASX:LSA"", ""closeyest"")"),0.06)</f>
        <v>0.06</v>
      </c>
      <c r="F1343" s="5" t="str">
        <f>IFERROR(__xludf.DUMMYFUNCTION("GOOGLEFINANCE(""ASX:LSA"", ""pe"")"),"#N/A")</f>
        <v>#N/A</v>
      </c>
      <c r="G1343" s="9">
        <f>IFERROR(__xludf.DUMMYFUNCTION("GOOGLEFINANCE(""ASX:LSA"", ""high52"")"),0.09)</f>
        <v>0.09</v>
      </c>
      <c r="H1343" s="9">
        <f>IFERROR(__xludf.DUMMYFUNCTION("GOOGLEFINANCE(""ASX:LSA"", ""low52"")"),0.04)</f>
        <v>0.04</v>
      </c>
      <c r="I1343" s="9">
        <f>IFERROR(__xludf.DUMMYFUNCTION("GOOGLEFINANCE(""ASX:LSA"", ""marketcap"")"),1.7453567E7)</f>
        <v>17453567</v>
      </c>
      <c r="J1343" s="5"/>
      <c r="K1343" s="5"/>
      <c r="L1343" s="5"/>
      <c r="M1343" s="5"/>
      <c r="N1343" s="11" t="s">
        <v>19</v>
      </c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>
      <c r="A1344" s="6" t="s">
        <v>2692</v>
      </c>
      <c r="B1344" s="6" t="s">
        <v>2693</v>
      </c>
      <c r="C1344" s="5" t="s">
        <v>389</v>
      </c>
      <c r="D1344" s="7">
        <f>IFERROR(__xludf.DUMMYFUNCTION("GOOGLEFINANCE(""ASX:LSF"", ""price"")"),4.01)</f>
        <v>4.01</v>
      </c>
      <c r="E1344" s="8">
        <f>IFERROR(__xludf.DUMMYFUNCTION("GOOGLEFINANCE(""ASX:LSF"", ""closeyest"")"),4.0)</f>
        <v>4</v>
      </c>
      <c r="F1344" s="9">
        <f>IFERROR(__xludf.DUMMYFUNCTION("GOOGLEFINANCE(""ASX:LSF"", ""pe"")"),25.2)</f>
        <v>25.2</v>
      </c>
      <c r="G1344" s="9">
        <f>IFERROR(__xludf.DUMMYFUNCTION("GOOGLEFINANCE(""ASX:LSF"", ""high52"")"),4.04)</f>
        <v>4.04</v>
      </c>
      <c r="H1344" s="9">
        <f>IFERROR(__xludf.DUMMYFUNCTION("GOOGLEFINANCE(""ASX:LSF"", ""low52"")"),2.59)</f>
        <v>2.59</v>
      </c>
      <c r="I1344" s="9">
        <f>IFERROR(__xludf.DUMMYFUNCTION("GOOGLEFINANCE(""ASX:LSF"", ""marketcap"")"),2.538261172E9)</f>
        <v>2538261172</v>
      </c>
      <c r="J1344" s="5"/>
      <c r="K1344" s="5"/>
      <c r="L1344" s="5"/>
      <c r="M1344" s="5"/>
      <c r="N1344" s="9">
        <f>IFERROR(__xludf.DUMMYFUNCTION("IFERROR(GOOGLEFINANCE(""ASX:LSF"", ""pe""), ""N/A"")"),25.2)</f>
        <v>25.2</v>
      </c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>
      <c r="A1345" s="6" t="s">
        <v>2694</v>
      </c>
      <c r="B1345" s="6" t="s">
        <v>2695</v>
      </c>
      <c r="C1345" s="5" t="s">
        <v>36</v>
      </c>
      <c r="D1345" s="7" t="str">
        <f>IFERROR(__xludf.DUMMYFUNCTION("GOOGLEFINANCE(""ASX:LSGE"", ""price"")"),"#N/A")</f>
        <v>#N/A</v>
      </c>
      <c r="E1345" s="8" t="str">
        <f>IFERROR(__xludf.DUMMYFUNCTION("GOOGLEFINANCE(""ASX:LSGE"", ""closeyest"")"),"#N/A")</f>
        <v>#N/A</v>
      </c>
      <c r="F1345" s="5" t="str">
        <f>IFERROR(__xludf.DUMMYFUNCTION("GOOGLEFINANCE(""ASX:LSGE"", ""pe"")"),"#N/A")</f>
        <v>#N/A</v>
      </c>
      <c r="G1345" s="5" t="str">
        <f>IFERROR(__xludf.DUMMYFUNCTION("GOOGLEFINANCE(""ASX:LSGE"", ""high52"")"),"#N/A")</f>
        <v>#N/A</v>
      </c>
      <c r="H1345" s="5" t="str">
        <f>IFERROR(__xludf.DUMMYFUNCTION("GOOGLEFINANCE(""ASX:LSGE"", ""low52"")"),"#N/A")</f>
        <v>#N/A</v>
      </c>
      <c r="I1345" s="9" t="str">
        <f>IFERROR(__xludf.DUMMYFUNCTION("GOOGLEFINANCE(""ASX:LSGE"", ""marketcap"")"),"#N/A")</f>
        <v>#N/A</v>
      </c>
      <c r="J1345" s="12">
        <v>2.43</v>
      </c>
      <c r="K1345" s="12">
        <v>2.43</v>
      </c>
      <c r="L1345" s="12">
        <v>3.9</v>
      </c>
      <c r="M1345" s="12">
        <v>2.26</v>
      </c>
      <c r="N1345" s="11" t="s">
        <v>19</v>
      </c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>
      <c r="A1346" s="6" t="s">
        <v>2696</v>
      </c>
      <c r="B1346" s="6" t="s">
        <v>2697</v>
      </c>
      <c r="C1346" s="5" t="s">
        <v>18</v>
      </c>
      <c r="D1346" s="7">
        <f>IFERROR(__xludf.DUMMYFUNCTION("GOOGLEFINANCE(""ASX:LSR"", ""price"")"),0.01)</f>
        <v>0.01</v>
      </c>
      <c r="E1346" s="8">
        <f>IFERROR(__xludf.DUMMYFUNCTION("GOOGLEFINANCE(""ASX:LSR"", ""closeyest"")"),0.01)</f>
        <v>0.01</v>
      </c>
      <c r="F1346" s="5" t="str">
        <f>IFERROR(__xludf.DUMMYFUNCTION("GOOGLEFINANCE(""ASX:LSR"", ""pe"")"),"#N/A")</f>
        <v>#N/A</v>
      </c>
      <c r="G1346" s="9">
        <f>IFERROR(__xludf.DUMMYFUNCTION("GOOGLEFINANCE(""ASX:LSR"", ""high52"")"),0.06)</f>
        <v>0.06</v>
      </c>
      <c r="H1346" s="9">
        <f>IFERROR(__xludf.DUMMYFUNCTION("GOOGLEFINANCE(""ASX:LSR"", ""low52"")"),0.01)</f>
        <v>0.01</v>
      </c>
      <c r="I1346" s="9">
        <f>IFERROR(__xludf.DUMMYFUNCTION("GOOGLEFINANCE(""ASX:LSR"", ""marketcap"")"),1.6542036E7)</f>
        <v>16542036</v>
      </c>
      <c r="J1346" s="5"/>
      <c r="K1346" s="5"/>
      <c r="L1346" s="5"/>
      <c r="M1346" s="5"/>
      <c r="N1346" s="11" t="s">
        <v>19</v>
      </c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>
      <c r="A1347" s="6" t="s">
        <v>2698</v>
      </c>
      <c r="B1347" s="6" t="s">
        <v>2699</v>
      </c>
      <c r="C1347" s="5" t="s">
        <v>18</v>
      </c>
      <c r="D1347" s="7">
        <f>IFERROR(__xludf.DUMMYFUNCTION("GOOGLEFINANCE(""ASX:LSX"", ""price"")"),1.02)</f>
        <v>1.02</v>
      </c>
      <c r="E1347" s="8">
        <f>IFERROR(__xludf.DUMMYFUNCTION("GOOGLEFINANCE(""ASX:LSX"", ""closeyest"")"),1.0)</f>
        <v>1</v>
      </c>
      <c r="F1347" s="9">
        <f>IFERROR(__xludf.DUMMYFUNCTION("GOOGLEFINANCE(""ASX:LSX"", ""pe"")"),3.74)</f>
        <v>3.74</v>
      </c>
      <c r="G1347" s="9">
        <f>IFERROR(__xludf.DUMMYFUNCTION("GOOGLEFINANCE(""ASX:LSX"", ""high52"")"),1.06)</f>
        <v>1.06</v>
      </c>
      <c r="H1347" s="9">
        <f>IFERROR(__xludf.DUMMYFUNCTION("GOOGLEFINANCE(""ASX:LSX"", ""low52"")"),0.53)</f>
        <v>0.53</v>
      </c>
      <c r="I1347" s="9">
        <f>IFERROR(__xludf.DUMMYFUNCTION("GOOGLEFINANCE(""ASX:LSX"", ""marketcap"")"),1.45372947E8)</f>
        <v>145372947</v>
      </c>
      <c r="J1347" s="5"/>
      <c r="K1347" s="5"/>
      <c r="L1347" s="5"/>
      <c r="M1347" s="5"/>
      <c r="N1347" s="9">
        <f>IFERROR(__xludf.DUMMYFUNCTION("IFERROR(GOOGLEFINANCE(""ASX:LSX"", ""pe""), ""N/A"")"),3.74)</f>
        <v>3.74</v>
      </c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>
      <c r="A1348" s="6" t="s">
        <v>2700</v>
      </c>
      <c r="B1348" s="6" t="s">
        <v>2701</v>
      </c>
      <c r="C1348" s="5" t="s">
        <v>25</v>
      </c>
      <c r="D1348" s="7">
        <f>IFERROR(__xludf.DUMMYFUNCTION("GOOGLEFINANCE(""ASX:LTP"", ""price"")"),0.63)</f>
        <v>0.63</v>
      </c>
      <c r="E1348" s="8">
        <f>IFERROR(__xludf.DUMMYFUNCTION("GOOGLEFINANCE(""ASX:LTP"", ""closeyest"")"),0.65)</f>
        <v>0.65</v>
      </c>
      <c r="F1348" s="5" t="str">
        <f>IFERROR(__xludf.DUMMYFUNCTION("GOOGLEFINANCE(""ASX:LTP"", ""pe"")"),"#N/A")</f>
        <v>#N/A</v>
      </c>
      <c r="G1348" s="9">
        <f>IFERROR(__xludf.DUMMYFUNCTION("GOOGLEFINANCE(""ASX:LTP"", ""high52"")"),0.91)</f>
        <v>0.91</v>
      </c>
      <c r="H1348" s="9">
        <f>IFERROR(__xludf.DUMMYFUNCTION("GOOGLEFINANCE(""ASX:LTP"", ""low52"")"),0.27)</f>
        <v>0.27</v>
      </c>
      <c r="I1348" s="9">
        <f>IFERROR(__xludf.DUMMYFUNCTION("GOOGLEFINANCE(""ASX:LTP"", ""marketcap"")"),1.14436349E8)</f>
        <v>114436349</v>
      </c>
      <c r="J1348" s="5"/>
      <c r="K1348" s="5"/>
      <c r="L1348" s="5"/>
      <c r="M1348" s="5"/>
      <c r="N1348" s="11" t="s">
        <v>19</v>
      </c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>
      <c r="A1349" s="6" t="s">
        <v>2702</v>
      </c>
      <c r="B1349" s="6" t="s">
        <v>2703</v>
      </c>
      <c r="C1349" s="5" t="s">
        <v>39</v>
      </c>
      <c r="D1349" s="7">
        <f>IFERROR(__xludf.DUMMYFUNCTION("GOOGLEFINANCE(""ASX:LTR"", ""price"")"),2.03)</f>
        <v>2.03</v>
      </c>
      <c r="E1349" s="8">
        <f>IFERROR(__xludf.DUMMYFUNCTION("GOOGLEFINANCE(""ASX:LTR"", ""closeyest"")"),1.94)</f>
        <v>1.94</v>
      </c>
      <c r="F1349" s="5" t="str">
        <f>IFERROR(__xludf.DUMMYFUNCTION("GOOGLEFINANCE(""ASX:LTR"", ""pe"")"),"#N/A")</f>
        <v>#N/A</v>
      </c>
      <c r="G1349" s="9">
        <f>IFERROR(__xludf.DUMMYFUNCTION("GOOGLEFINANCE(""ASX:LTR"", ""high52"")"),2.04)</f>
        <v>2.04</v>
      </c>
      <c r="H1349" s="9">
        <f>IFERROR(__xludf.DUMMYFUNCTION("GOOGLEFINANCE(""ASX:LTR"", ""low52"")"),0.42)</f>
        <v>0.42</v>
      </c>
      <c r="I1349" s="9">
        <f>IFERROR(__xludf.DUMMYFUNCTION("GOOGLEFINANCE(""ASX:LTR"", ""marketcap"")"),5.967489415E9)</f>
        <v>5967489415</v>
      </c>
      <c r="J1349" s="5"/>
      <c r="K1349" s="5"/>
      <c r="L1349" s="5"/>
      <c r="M1349" s="5"/>
      <c r="N1349" s="11" t="s">
        <v>19</v>
      </c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>
      <c r="A1350" s="6" t="s">
        <v>2704</v>
      </c>
      <c r="B1350" s="6" t="s">
        <v>2705</v>
      </c>
      <c r="C1350" s="5" t="s">
        <v>39</v>
      </c>
      <c r="D1350" s="7">
        <f>IFERROR(__xludf.DUMMYFUNCTION("GOOGLEFINANCE(""ASX:LU7"", ""price"")"),0.01)</f>
        <v>0.01</v>
      </c>
      <c r="E1350" s="8">
        <f>IFERROR(__xludf.DUMMYFUNCTION("GOOGLEFINANCE(""ASX:LU7"", ""closeyest"")"),0.01)</f>
        <v>0.01</v>
      </c>
      <c r="F1350" s="5" t="str">
        <f>IFERROR(__xludf.DUMMYFUNCTION("GOOGLEFINANCE(""ASX:LU7"", ""pe"")"),"#N/A")</f>
        <v>#N/A</v>
      </c>
      <c r="G1350" s="9">
        <f>IFERROR(__xludf.DUMMYFUNCTION("GOOGLEFINANCE(""ASX:LU7"", ""high52"")"),0.02)</f>
        <v>0.02</v>
      </c>
      <c r="H1350" s="9">
        <f>IFERROR(__xludf.DUMMYFUNCTION("GOOGLEFINANCE(""ASX:LU7"", ""low52"")"),0.0)</f>
        <v>0</v>
      </c>
      <c r="I1350" s="9">
        <f>IFERROR(__xludf.DUMMYFUNCTION("GOOGLEFINANCE(""ASX:LU7"", ""marketcap"")"),2.3271912E7)</f>
        <v>23271912</v>
      </c>
      <c r="J1350" s="5"/>
      <c r="K1350" s="5"/>
      <c r="L1350" s="5"/>
      <c r="M1350" s="5"/>
      <c r="N1350" s="11" t="s">
        <v>19</v>
      </c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>
      <c r="A1351" s="6" t="s">
        <v>2706</v>
      </c>
      <c r="B1351" s="6" t="s">
        <v>2707</v>
      </c>
      <c r="C1351" s="5" t="s">
        <v>70</v>
      </c>
      <c r="D1351" s="7">
        <f>IFERROR(__xludf.DUMMYFUNCTION("GOOGLEFINANCE(""ASX:LVE"", ""price"")"),0.09)</f>
        <v>0.09</v>
      </c>
      <c r="E1351" s="8">
        <f>IFERROR(__xludf.DUMMYFUNCTION("GOOGLEFINANCE(""ASX:LVE"", ""closeyest"")"),0.09)</f>
        <v>0.09</v>
      </c>
      <c r="F1351" s="9">
        <f>IFERROR(__xludf.DUMMYFUNCTION("GOOGLEFINANCE(""ASX:LVE"", ""pe"")"),4.3)</f>
        <v>4.3</v>
      </c>
      <c r="G1351" s="9">
        <f>IFERROR(__xludf.DUMMYFUNCTION("GOOGLEFINANCE(""ASX:LVE"", ""high52"")"),0.14)</f>
        <v>0.14</v>
      </c>
      <c r="H1351" s="9">
        <f>IFERROR(__xludf.DUMMYFUNCTION("GOOGLEFINANCE(""ASX:LVE"", ""low52"")"),0.09)</f>
        <v>0.09</v>
      </c>
      <c r="I1351" s="9">
        <f>IFERROR(__xludf.DUMMYFUNCTION("GOOGLEFINANCE(""ASX:LVE"", ""marketcap"")"),3648080.0)</f>
        <v>3648080</v>
      </c>
      <c r="J1351" s="5"/>
      <c r="K1351" s="5"/>
      <c r="L1351" s="5"/>
      <c r="M1351" s="5"/>
      <c r="N1351" s="9">
        <f>IFERROR(__xludf.DUMMYFUNCTION("IFERROR(GOOGLEFINANCE(""ASX:LVE"", ""pe""), ""N/A"")"),4.3)</f>
        <v>4.3</v>
      </c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>
      <c r="A1352" s="6" t="s">
        <v>2708</v>
      </c>
      <c r="B1352" s="6" t="s">
        <v>2709</v>
      </c>
      <c r="C1352" s="5" t="s">
        <v>450</v>
      </c>
      <c r="D1352" s="7">
        <f>IFERROR(__xludf.DUMMYFUNCTION("GOOGLEFINANCE(""ASX:LYC"", ""price"")"),15.06)</f>
        <v>15.06</v>
      </c>
      <c r="E1352" s="8">
        <f>IFERROR(__xludf.DUMMYFUNCTION("GOOGLEFINANCE(""ASX:LYC"", ""closeyest"")"),13.15)</f>
        <v>13.15</v>
      </c>
      <c r="F1352" s="9">
        <f>IFERROR(__xludf.DUMMYFUNCTION("GOOGLEFINANCE(""ASX:LYC"", ""pe"")"),1771.76)</f>
        <v>1771.76</v>
      </c>
      <c r="G1352" s="9">
        <f>IFERROR(__xludf.DUMMYFUNCTION("GOOGLEFINANCE(""ASX:LYC"", ""high52"")"),21.96)</f>
        <v>21.96</v>
      </c>
      <c r="H1352" s="9">
        <f>IFERROR(__xludf.DUMMYFUNCTION("GOOGLEFINANCE(""ASX:LYC"", ""low52"")"),6.16)</f>
        <v>6.16</v>
      </c>
      <c r="I1352" s="9">
        <f>IFERROR(__xludf.DUMMYFUNCTION("GOOGLEFINANCE(""ASX:LYC"", ""marketcap"")"),1.5157920542E10)</f>
        <v>15157920542</v>
      </c>
      <c r="J1352" s="5"/>
      <c r="K1352" s="5"/>
      <c r="L1352" s="5"/>
      <c r="M1352" s="5"/>
      <c r="N1352" s="9">
        <f>IFERROR(__xludf.DUMMYFUNCTION("IFERROR(GOOGLEFINANCE(""ASX:LYC"", ""pe""), ""N/A"")"),1771.76)</f>
        <v>1771.76</v>
      </c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>
      <c r="A1353" s="6" t="s">
        <v>2710</v>
      </c>
      <c r="B1353" s="6" t="s">
        <v>2711</v>
      </c>
      <c r="C1353" s="5" t="s">
        <v>123</v>
      </c>
      <c r="D1353" s="7">
        <f>IFERROR(__xludf.DUMMYFUNCTION("GOOGLEFINANCE(""ASX:LYL"", ""price"")"),14.32)</f>
        <v>14.32</v>
      </c>
      <c r="E1353" s="8">
        <f>IFERROR(__xludf.DUMMYFUNCTION("GOOGLEFINANCE(""ASX:LYL"", ""closeyest"")"),14.37)</f>
        <v>14.37</v>
      </c>
      <c r="F1353" s="9">
        <f>IFERROR(__xludf.DUMMYFUNCTION("GOOGLEFINANCE(""ASX:LYL"", ""pe"")"),13.48)</f>
        <v>13.48</v>
      </c>
      <c r="G1353" s="9">
        <f>IFERROR(__xludf.DUMMYFUNCTION("GOOGLEFINANCE(""ASX:LYL"", ""high52"")"),14.6)</f>
        <v>14.6</v>
      </c>
      <c r="H1353" s="9">
        <f>IFERROR(__xludf.DUMMYFUNCTION("GOOGLEFINANCE(""ASX:LYL"", ""low52"")"),9.78)</f>
        <v>9.78</v>
      </c>
      <c r="I1353" s="9">
        <f>IFERROR(__xludf.DUMMYFUNCTION("GOOGLEFINANCE(""ASX:LYL"", ""marketcap"")"),5.69079938E8)</f>
        <v>569079938</v>
      </c>
      <c r="J1353" s="5"/>
      <c r="K1353" s="5"/>
      <c r="L1353" s="5"/>
      <c r="M1353" s="5"/>
      <c r="N1353" s="9">
        <f>IFERROR(__xludf.DUMMYFUNCTION("IFERROR(GOOGLEFINANCE(""ASX:LYL"", ""pe""), ""N/A"")"),13.48)</f>
        <v>13.48</v>
      </c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>
      <c r="A1354" s="6" t="s">
        <v>2712</v>
      </c>
      <c r="B1354" s="6" t="s">
        <v>2713</v>
      </c>
      <c r="C1354" s="5" t="s">
        <v>18</v>
      </c>
      <c r="D1354" s="7">
        <f>IFERROR(__xludf.DUMMYFUNCTION("GOOGLEFINANCE(""ASX:M24"", ""price"")"),0.02)</f>
        <v>0.02</v>
      </c>
      <c r="E1354" s="8">
        <f>IFERROR(__xludf.DUMMYFUNCTION("GOOGLEFINANCE(""ASX:M24"", ""closeyest"")"),0.02)</f>
        <v>0.02</v>
      </c>
      <c r="F1354" s="5" t="str">
        <f>IFERROR(__xludf.DUMMYFUNCTION("GOOGLEFINANCE(""ASX:M24"", ""pe"")"),"#N/A")</f>
        <v>#N/A</v>
      </c>
      <c r="G1354" s="9">
        <f>IFERROR(__xludf.DUMMYFUNCTION("GOOGLEFINANCE(""ASX:M24"", ""high52"")"),0.02)</f>
        <v>0.02</v>
      </c>
      <c r="H1354" s="9">
        <f>IFERROR(__xludf.DUMMYFUNCTION("GOOGLEFINANCE(""ASX:M24"", ""low52"")"),0.01)</f>
        <v>0.01</v>
      </c>
      <c r="I1354" s="9">
        <f>IFERROR(__xludf.DUMMYFUNCTION("GOOGLEFINANCE(""ASX:M24"", ""marketcap"")"),3763358.0)</f>
        <v>3763358</v>
      </c>
      <c r="J1354" s="9">
        <v>0.003</v>
      </c>
      <c r="K1354" s="9">
        <v>0.0035</v>
      </c>
      <c r="L1354" s="9">
        <v>0.023</v>
      </c>
      <c r="M1354" s="9">
        <v>0.002</v>
      </c>
      <c r="N1354" s="11" t="s">
        <v>19</v>
      </c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>
      <c r="A1355" s="6" t="s">
        <v>2714</v>
      </c>
      <c r="B1355" s="6" t="s">
        <v>2715</v>
      </c>
      <c r="C1355" s="5" t="s">
        <v>88</v>
      </c>
      <c r="D1355" s="7">
        <f>IFERROR(__xludf.DUMMYFUNCTION("GOOGLEFINANCE(""ASX:M2M"", ""price"")"),0.02)</f>
        <v>0.02</v>
      </c>
      <c r="E1355" s="8">
        <f>IFERROR(__xludf.DUMMYFUNCTION("GOOGLEFINANCE(""ASX:M2M"", ""closeyest"")"),0.01)</f>
        <v>0.01</v>
      </c>
      <c r="F1355" s="9">
        <f>IFERROR(__xludf.DUMMYFUNCTION("GOOGLEFINANCE(""ASX:M2M"", ""pe"")"),166.67)</f>
        <v>166.67</v>
      </c>
      <c r="G1355" s="9">
        <f>IFERROR(__xludf.DUMMYFUNCTION("GOOGLEFINANCE(""ASX:M2M"", ""high52"")"),0.03)</f>
        <v>0.03</v>
      </c>
      <c r="H1355" s="9">
        <f>IFERROR(__xludf.DUMMYFUNCTION("GOOGLEFINANCE(""ASX:M2M"", ""low52"")"),0.01)</f>
        <v>0.01</v>
      </c>
      <c r="I1355" s="9">
        <f>IFERROR(__xludf.DUMMYFUNCTION("GOOGLEFINANCE(""ASX:M2M"", ""marketcap"")"),1.0844819E7)</f>
        <v>10844819</v>
      </c>
      <c r="J1355" s="9">
        <v>0.017</v>
      </c>
      <c r="K1355" s="5"/>
      <c r="L1355" s="9">
        <v>0.02</v>
      </c>
      <c r="M1355" s="9">
        <v>0.017</v>
      </c>
      <c r="N1355" s="9">
        <f>IFERROR(__xludf.DUMMYFUNCTION("IFERROR(GOOGLEFINANCE(""ASX:M2M"", ""pe""), ""N/A"")"),166.67)</f>
        <v>166.67</v>
      </c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>
      <c r="A1356" s="6" t="s">
        <v>2716</v>
      </c>
      <c r="B1356" s="6" t="s">
        <v>2717</v>
      </c>
      <c r="C1356" s="5" t="s">
        <v>88</v>
      </c>
      <c r="D1356" s="7">
        <f>IFERROR(__xludf.DUMMYFUNCTION("GOOGLEFINANCE(""ASX:M2R"", ""price"")"),0.0)</f>
        <v>0</v>
      </c>
      <c r="E1356" s="8">
        <f>IFERROR(__xludf.DUMMYFUNCTION("GOOGLEFINANCE(""ASX:M2R"", ""closeyest"")"),0.0)</f>
        <v>0</v>
      </c>
      <c r="F1356" s="5" t="str">
        <f>IFERROR(__xludf.DUMMYFUNCTION("GOOGLEFINANCE(""ASX:M2R"", ""pe"")"),"#N/A")</f>
        <v>#N/A</v>
      </c>
      <c r="G1356" s="9">
        <f>IFERROR(__xludf.DUMMYFUNCTION("GOOGLEFINANCE(""ASX:M2R"", ""high52"")"),0.01)</f>
        <v>0.01</v>
      </c>
      <c r="H1356" s="9">
        <f>IFERROR(__xludf.DUMMYFUNCTION("GOOGLEFINANCE(""ASX:M2R"", ""low52"")"),0.0)</f>
        <v>0</v>
      </c>
      <c r="I1356" s="9">
        <f>IFERROR(__xludf.DUMMYFUNCTION("GOOGLEFINANCE(""ASX:M2R"", ""marketcap"")"),1495236.0)</f>
        <v>1495236</v>
      </c>
      <c r="J1356" s="12">
        <v>0.003</v>
      </c>
      <c r="K1356" s="12">
        <v>0.003</v>
      </c>
      <c r="L1356" s="12">
        <v>0.005</v>
      </c>
      <c r="M1356" s="12">
        <v>0.002</v>
      </c>
      <c r="N1356" s="11" t="s">
        <v>19</v>
      </c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>
      <c r="A1357" s="6" t="s">
        <v>2718</v>
      </c>
      <c r="B1357" s="6" t="s">
        <v>2719</v>
      </c>
      <c r="C1357" s="5" t="s">
        <v>18</v>
      </c>
      <c r="D1357" s="7">
        <f>IFERROR(__xludf.DUMMYFUNCTION("GOOGLEFINANCE(""ASX:M3M"", ""price"")"),0.03)</f>
        <v>0.03</v>
      </c>
      <c r="E1357" s="8">
        <f>IFERROR(__xludf.DUMMYFUNCTION("GOOGLEFINANCE(""ASX:M3M"", ""closeyest"")"),0.03)</f>
        <v>0.03</v>
      </c>
      <c r="F1357" s="5" t="str">
        <f>IFERROR(__xludf.DUMMYFUNCTION("GOOGLEFINANCE(""ASX:M3M"", ""pe"")"),"#N/A")</f>
        <v>#N/A</v>
      </c>
      <c r="G1357" s="9">
        <f>IFERROR(__xludf.DUMMYFUNCTION("GOOGLEFINANCE(""ASX:M3M"", ""high52"")"),0.06)</f>
        <v>0.06</v>
      </c>
      <c r="H1357" s="9">
        <f>IFERROR(__xludf.DUMMYFUNCTION("GOOGLEFINANCE(""ASX:M3M"", ""low52"")"),0.02)</f>
        <v>0.02</v>
      </c>
      <c r="I1357" s="9">
        <f>IFERROR(__xludf.DUMMYFUNCTION("GOOGLEFINANCE(""ASX:M3M"", ""marketcap"")"),6688733.0)</f>
        <v>6688733</v>
      </c>
      <c r="J1357" s="5"/>
      <c r="K1357" s="5"/>
      <c r="L1357" s="5"/>
      <c r="M1357" s="5"/>
      <c r="N1357" s="11" t="s">
        <v>19</v>
      </c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>
      <c r="A1358" s="6" t="s">
        <v>2720</v>
      </c>
      <c r="B1358" s="6" t="s">
        <v>2721</v>
      </c>
      <c r="C1358" s="5" t="s">
        <v>212</v>
      </c>
      <c r="D1358" s="7">
        <f>IFERROR(__xludf.DUMMYFUNCTION("GOOGLEFINANCE(""ASX:M4M"", ""price"")"),0.01)</f>
        <v>0.01</v>
      </c>
      <c r="E1358" s="8">
        <f>IFERROR(__xludf.DUMMYFUNCTION("GOOGLEFINANCE(""ASX:M4M"", ""closeyest"")"),0.01)</f>
        <v>0.01</v>
      </c>
      <c r="F1358" s="5" t="str">
        <f>IFERROR(__xludf.DUMMYFUNCTION("GOOGLEFINANCE(""ASX:M4M"", ""pe"")"),"#N/A")</f>
        <v>#N/A</v>
      </c>
      <c r="G1358" s="9">
        <f>IFERROR(__xludf.DUMMYFUNCTION("GOOGLEFINANCE(""ASX:M4M"", ""high52"")"),0.02)</f>
        <v>0.02</v>
      </c>
      <c r="H1358" s="9">
        <f>IFERROR(__xludf.DUMMYFUNCTION("GOOGLEFINANCE(""ASX:M4M"", ""low52"")"),0.01)</f>
        <v>0.01</v>
      </c>
      <c r="I1358" s="9">
        <f>IFERROR(__xludf.DUMMYFUNCTION("GOOGLEFINANCE(""ASX:M4M"", ""marketcap"")"),2.9242121E7)</f>
        <v>29242121</v>
      </c>
      <c r="J1358" s="5"/>
      <c r="K1358" s="5"/>
      <c r="L1358" s="5"/>
      <c r="M1358" s="5"/>
      <c r="N1358" s="11" t="s">
        <v>19</v>
      </c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>
      <c r="A1359" s="6" t="s">
        <v>2720</v>
      </c>
      <c r="B1359" s="6" t="s">
        <v>2721</v>
      </c>
      <c r="C1359" s="5" t="s">
        <v>212</v>
      </c>
      <c r="D1359" s="7">
        <f>IFERROR(__xludf.DUMMYFUNCTION("GOOGLEFINANCE(""ASX:M4M"", ""price"")"),0.01)</f>
        <v>0.01</v>
      </c>
      <c r="E1359" s="8">
        <f>IFERROR(__xludf.DUMMYFUNCTION("GOOGLEFINANCE(""ASX:M4M"", ""closeyest"")"),0.01)</f>
        <v>0.01</v>
      </c>
      <c r="F1359" s="5" t="str">
        <f>IFERROR(__xludf.DUMMYFUNCTION("GOOGLEFINANCE(""ASX:M4M"", ""pe"")"),"#N/A")</f>
        <v>#N/A</v>
      </c>
      <c r="G1359" s="9">
        <f>IFERROR(__xludf.DUMMYFUNCTION("GOOGLEFINANCE(""ASX:M4M"", ""high52"")"),0.02)</f>
        <v>0.02</v>
      </c>
      <c r="H1359" s="9">
        <f>IFERROR(__xludf.DUMMYFUNCTION("GOOGLEFINANCE(""ASX:M4M"", ""low52"")"),0.01)</f>
        <v>0.01</v>
      </c>
      <c r="I1359" s="9">
        <f>IFERROR(__xludf.DUMMYFUNCTION("GOOGLEFINANCE(""ASX:M4M"", ""marketcap"")"),2.9242121E7)</f>
        <v>29242121</v>
      </c>
      <c r="J1359" s="5"/>
      <c r="K1359" s="5"/>
      <c r="L1359" s="5"/>
      <c r="M1359" s="5"/>
      <c r="N1359" s="11" t="s">
        <v>19</v>
      </c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>
      <c r="A1360" s="6" t="s">
        <v>2722</v>
      </c>
      <c r="B1360" s="6" t="s">
        <v>2723</v>
      </c>
      <c r="C1360" s="5" t="s">
        <v>39</v>
      </c>
      <c r="D1360" s="7">
        <f>IFERROR(__xludf.DUMMYFUNCTION("GOOGLEFINANCE(""ASX:M79"", ""price"")"),0.12)</f>
        <v>0.12</v>
      </c>
      <c r="E1360" s="8">
        <f>IFERROR(__xludf.DUMMYFUNCTION("GOOGLEFINANCE(""ASX:M79"", ""closeyest"")"),0.13)</f>
        <v>0.13</v>
      </c>
      <c r="F1360" s="5" t="str">
        <f>IFERROR(__xludf.DUMMYFUNCTION("GOOGLEFINANCE(""ASX:M79"", ""pe"")"),"#N/A")</f>
        <v>#N/A</v>
      </c>
      <c r="G1360" s="9">
        <f>IFERROR(__xludf.DUMMYFUNCTION("GOOGLEFINANCE(""ASX:M79"", ""high52"")"),0.19)</f>
        <v>0.19</v>
      </c>
      <c r="H1360" s="9">
        <f>IFERROR(__xludf.DUMMYFUNCTION("GOOGLEFINANCE(""ASX:M79"", ""low52"")"),0.1)</f>
        <v>0.1</v>
      </c>
      <c r="I1360" s="9">
        <f>IFERROR(__xludf.DUMMYFUNCTION("GOOGLEFINANCE(""ASX:M79"", ""marketcap"")"),6.4274986E7)</f>
        <v>64274986</v>
      </c>
      <c r="J1360" s="5"/>
      <c r="K1360" s="5"/>
      <c r="L1360" s="5"/>
      <c r="M1360" s="5"/>
      <c r="N1360" s="11" t="s">
        <v>19</v>
      </c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>
      <c r="A1361" s="6" t="s">
        <v>2724</v>
      </c>
      <c r="B1361" s="6" t="s">
        <v>2725</v>
      </c>
      <c r="C1361" s="5" t="s">
        <v>62</v>
      </c>
      <c r="D1361" s="7">
        <f>IFERROR(__xludf.DUMMYFUNCTION("GOOGLEFINANCE(""ASX:M7T"", ""price"")"),0.59)</f>
        <v>0.59</v>
      </c>
      <c r="E1361" s="8">
        <f>IFERROR(__xludf.DUMMYFUNCTION("GOOGLEFINANCE(""ASX:M7T"", ""closeyest"")"),0.63)</f>
        <v>0.63</v>
      </c>
      <c r="F1361" s="5" t="str">
        <f>IFERROR(__xludf.DUMMYFUNCTION("GOOGLEFINANCE(""ASX:M7T"", ""pe"")"),"#N/A")</f>
        <v>#N/A</v>
      </c>
      <c r="G1361" s="9">
        <f>IFERROR(__xludf.DUMMYFUNCTION("GOOGLEFINANCE(""ASX:M7T"", ""high52"")"),0.69)</f>
        <v>0.69</v>
      </c>
      <c r="H1361" s="9">
        <f>IFERROR(__xludf.DUMMYFUNCTION("GOOGLEFINANCE(""ASX:M7T"", ""low52"")"),0.28)</f>
        <v>0.28</v>
      </c>
      <c r="I1361" s="9">
        <f>IFERROR(__xludf.DUMMYFUNCTION("GOOGLEFINANCE(""ASX:M7T"", ""marketcap"")"),1.38631113E8)</f>
        <v>138631113</v>
      </c>
      <c r="J1361" s="5"/>
      <c r="K1361" s="5"/>
      <c r="L1361" s="5"/>
      <c r="M1361" s="5"/>
      <c r="N1361" s="11" t="s">
        <v>19</v>
      </c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>
      <c r="A1362" s="6" t="s">
        <v>2726</v>
      </c>
      <c r="B1362" s="6" t="s">
        <v>2727</v>
      </c>
      <c r="C1362" s="5" t="s">
        <v>1344</v>
      </c>
      <c r="D1362" s="7">
        <f>IFERROR(__xludf.DUMMYFUNCTION("GOOGLEFINANCE(""ASX:MA1"", ""price"")"),2.0)</f>
        <v>2</v>
      </c>
      <c r="E1362" s="8">
        <f>IFERROR(__xludf.DUMMYFUNCTION("GOOGLEFINANCE(""ASX:MA1"", ""closeyest"")"),2.02)</f>
        <v>2.02</v>
      </c>
      <c r="F1362" s="5" t="str">
        <f>IFERROR(__xludf.DUMMYFUNCTION("GOOGLEFINANCE(""ASX:MA1"", ""pe"")"),"#N/A")</f>
        <v>#N/A</v>
      </c>
      <c r="G1362" s="9">
        <f>IFERROR(__xludf.DUMMYFUNCTION("GOOGLEFINANCE(""ASX:MA1"", ""high52"")"),2.06)</f>
        <v>2.06</v>
      </c>
      <c r="H1362" s="9">
        <f>IFERROR(__xludf.DUMMYFUNCTION("GOOGLEFINANCE(""ASX:MA1"", ""low52"")"),1.91)</f>
        <v>1.91</v>
      </c>
      <c r="I1362" s="9">
        <f>IFERROR(__xludf.DUMMYFUNCTION("GOOGLEFINANCE(""ASX:MA1"", ""marketcap"")"),9.039886E7)</f>
        <v>90398860</v>
      </c>
      <c r="J1362" s="5"/>
      <c r="K1362" s="5"/>
      <c r="L1362" s="5"/>
      <c r="M1362" s="5"/>
      <c r="N1362" s="11" t="s">
        <v>19</v>
      </c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>
      <c r="A1363" s="6" t="s">
        <v>2728</v>
      </c>
      <c r="B1363" s="6" t="s">
        <v>2729</v>
      </c>
      <c r="C1363" s="5" t="s">
        <v>161</v>
      </c>
      <c r="D1363" s="7">
        <f>IFERROR(__xludf.DUMMYFUNCTION("GOOGLEFINANCE(""ASX:MAD"", ""price"")"),7.55)</f>
        <v>7.55</v>
      </c>
      <c r="E1363" s="8">
        <f>IFERROR(__xludf.DUMMYFUNCTION("GOOGLEFINANCE(""ASX:MAD"", ""closeyest"")"),7.44)</f>
        <v>7.44</v>
      </c>
      <c r="F1363" s="9">
        <f>IFERROR(__xludf.DUMMYFUNCTION("GOOGLEFINANCE(""ASX:MAD"", ""pe"")"),27.92)</f>
        <v>27.92</v>
      </c>
      <c r="G1363" s="9">
        <f>IFERROR(__xludf.DUMMYFUNCTION("GOOGLEFINANCE(""ASX:MAD"", ""high52"")"),9.63)</f>
        <v>9.63</v>
      </c>
      <c r="H1363" s="9">
        <f>IFERROR(__xludf.DUMMYFUNCTION("GOOGLEFINANCE(""ASX:MAD"", ""low52"")"),5.11)</f>
        <v>5.11</v>
      </c>
      <c r="I1363" s="9">
        <f>IFERROR(__xludf.DUMMYFUNCTION("GOOGLEFINANCE(""ASX:MAD"", ""marketcap"")"),1.536135873E9)</f>
        <v>1536135873</v>
      </c>
      <c r="J1363" s="5"/>
      <c r="K1363" s="5"/>
      <c r="L1363" s="5"/>
      <c r="M1363" s="5"/>
      <c r="N1363" s="10">
        <v>27.81</v>
      </c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>
      <c r="A1364" s="6" t="s">
        <v>2730</v>
      </c>
      <c r="B1364" s="6" t="s">
        <v>2731</v>
      </c>
      <c r="C1364" s="5" t="s">
        <v>36</v>
      </c>
      <c r="D1364" s="7" t="str">
        <f>IFERROR(__xludf.DUMMYFUNCTION("GOOGLEFINANCE(""ASX:MAET"", ""price"")"),"#N/A")</f>
        <v>#N/A</v>
      </c>
      <c r="E1364" s="8" t="str">
        <f>IFERROR(__xludf.DUMMYFUNCTION("GOOGLEFINANCE(""ASX:MAET"", ""closeyest"")"),"#N/A")</f>
        <v>#N/A</v>
      </c>
      <c r="F1364" s="5" t="str">
        <f>IFERROR(__xludf.DUMMYFUNCTION("GOOGLEFINANCE(""ASX:MAET"", ""pe"")"),"#N/A")</f>
        <v>#N/A</v>
      </c>
      <c r="G1364" s="5" t="str">
        <f>IFERROR(__xludf.DUMMYFUNCTION("GOOGLEFINANCE(""ASX:MAET"", ""high52"")"),"#N/A")</f>
        <v>#N/A</v>
      </c>
      <c r="H1364" s="5" t="str">
        <f>IFERROR(__xludf.DUMMYFUNCTION("GOOGLEFINANCE(""ASX:MAET"", ""low52"")"),"#N/A")</f>
        <v>#N/A</v>
      </c>
      <c r="I1364" s="9" t="str">
        <f>IFERROR(__xludf.DUMMYFUNCTION("GOOGLEFINANCE(""ASX:MAET"", ""marketcap"")"),"#N/A")</f>
        <v>#N/A</v>
      </c>
      <c r="J1364" s="12">
        <v>6.4</v>
      </c>
      <c r="K1364" s="12">
        <v>6.35</v>
      </c>
      <c r="L1364" s="12">
        <v>7.39</v>
      </c>
      <c r="M1364" s="12">
        <v>5.81</v>
      </c>
      <c r="N1364" s="11" t="s">
        <v>19</v>
      </c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>
      <c r="A1365" s="6" t="s">
        <v>2732</v>
      </c>
      <c r="B1365" s="6" t="s">
        <v>2733</v>
      </c>
      <c r="C1365" s="5" t="s">
        <v>171</v>
      </c>
      <c r="D1365" s="7">
        <f>IFERROR(__xludf.DUMMYFUNCTION("GOOGLEFINANCE(""ASX:MAF"", ""price"")"),10.95)</f>
        <v>10.95</v>
      </c>
      <c r="E1365" s="8">
        <f>IFERROR(__xludf.DUMMYFUNCTION("GOOGLEFINANCE(""ASX:MAF"", ""closeyest"")"),10.9)</f>
        <v>10.9</v>
      </c>
      <c r="F1365" s="9">
        <f>IFERROR(__xludf.DUMMYFUNCTION("GOOGLEFINANCE(""ASX:MAF"", ""pe"")"),51.7)</f>
        <v>51.7</v>
      </c>
      <c r="G1365" s="9">
        <f>IFERROR(__xludf.DUMMYFUNCTION("GOOGLEFINANCE(""ASX:MAF"", ""high52"")"),11.64)</f>
        <v>11.64</v>
      </c>
      <c r="H1365" s="9">
        <f>IFERROR(__xludf.DUMMYFUNCTION("GOOGLEFINANCE(""ASX:MAF"", ""low52"")"),5.3)</f>
        <v>5.3</v>
      </c>
      <c r="I1365" s="9">
        <f>IFERROR(__xludf.DUMMYFUNCTION("GOOGLEFINANCE(""ASX:MAF"", ""marketcap"")"),2.133796897E9)</f>
        <v>2133796897</v>
      </c>
      <c r="J1365" s="5"/>
      <c r="K1365" s="5"/>
      <c r="L1365" s="5"/>
      <c r="M1365" s="5"/>
      <c r="N1365" s="10">
        <v>52.17</v>
      </c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>
      <c r="A1366" s="6" t="s">
        <v>2734</v>
      </c>
      <c r="B1366" s="6" t="s">
        <v>2735</v>
      </c>
      <c r="C1366" s="5" t="s">
        <v>18</v>
      </c>
      <c r="D1366" s="7">
        <f>IFERROR(__xludf.DUMMYFUNCTION("GOOGLEFINANCE(""ASX:MAG"", ""price"")"),0.05)</f>
        <v>0.05</v>
      </c>
      <c r="E1366" s="8">
        <f>IFERROR(__xludf.DUMMYFUNCTION("GOOGLEFINANCE(""ASX:MAG"", ""closeyest"")"),0.05)</f>
        <v>0.05</v>
      </c>
      <c r="F1366" s="5" t="str">
        <f>IFERROR(__xludf.DUMMYFUNCTION("GOOGLEFINANCE(""ASX:MAG"", ""pe"")"),"#N/A")</f>
        <v>#N/A</v>
      </c>
      <c r="G1366" s="9">
        <f>IFERROR(__xludf.DUMMYFUNCTION("GOOGLEFINANCE(""ASX:MAG"", ""high52"")"),0.08)</f>
        <v>0.08</v>
      </c>
      <c r="H1366" s="9">
        <f>IFERROR(__xludf.DUMMYFUNCTION("GOOGLEFINANCE(""ASX:MAG"", ""low52"")"),0.03)</f>
        <v>0.03</v>
      </c>
      <c r="I1366" s="9">
        <f>IFERROR(__xludf.DUMMYFUNCTION("GOOGLEFINANCE(""ASX:MAG"", ""marketcap"")"),2.6116012E7)</f>
        <v>26116012</v>
      </c>
      <c r="J1366" s="5"/>
      <c r="K1366" s="5"/>
      <c r="L1366" s="5"/>
      <c r="M1366" s="5"/>
      <c r="N1366" s="11" t="s">
        <v>19</v>
      </c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>
      <c r="A1367" s="6" t="s">
        <v>2736</v>
      </c>
      <c r="B1367" s="6" t="s">
        <v>2737</v>
      </c>
      <c r="C1367" s="5" t="s">
        <v>396</v>
      </c>
      <c r="D1367" s="7">
        <f>IFERROR(__xludf.DUMMYFUNCTION("GOOGLEFINANCE(""ASX:MAH"", ""price"")"),0.69)</f>
        <v>0.69</v>
      </c>
      <c r="E1367" s="8">
        <f>IFERROR(__xludf.DUMMYFUNCTION("GOOGLEFINANCE(""ASX:MAH"", ""closeyest"")"),0.67)</f>
        <v>0.67</v>
      </c>
      <c r="F1367" s="9">
        <f>IFERROR(__xludf.DUMMYFUNCTION("GOOGLEFINANCE(""ASX:MAH"", ""pe"")"),20.08)</f>
        <v>20.08</v>
      </c>
      <c r="G1367" s="9">
        <f>IFERROR(__xludf.DUMMYFUNCTION("GOOGLEFINANCE(""ASX:MAH"", ""high52"")"),0.7)</f>
        <v>0.7</v>
      </c>
      <c r="H1367" s="9">
        <f>IFERROR(__xludf.DUMMYFUNCTION("GOOGLEFINANCE(""ASX:MAH"", ""low52"")"),0.23)</f>
        <v>0.23</v>
      </c>
      <c r="I1367" s="9">
        <f>IFERROR(__xludf.DUMMYFUNCTION("GOOGLEFINANCE(""ASX:MAH"", ""marketcap"")"),1.475843754E9)</f>
        <v>1475843754</v>
      </c>
      <c r="J1367" s="5"/>
      <c r="K1367" s="5"/>
      <c r="L1367" s="5"/>
      <c r="M1367" s="5"/>
      <c r="N1367" s="10">
        <v>19.35</v>
      </c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>
      <c r="A1368" s="6" t="s">
        <v>2738</v>
      </c>
      <c r="B1368" s="6" t="s">
        <v>2739</v>
      </c>
      <c r="C1368" s="5" t="s">
        <v>171</v>
      </c>
      <c r="D1368" s="7">
        <f>IFERROR(__xludf.DUMMYFUNCTION("GOOGLEFINANCE(""ASX:MAM"", ""price"")"),0.6)</f>
        <v>0.6</v>
      </c>
      <c r="E1368" s="8">
        <f>IFERROR(__xludf.DUMMYFUNCTION("GOOGLEFINANCE(""ASX:MAM"", ""closeyest"")"),0.61)</f>
        <v>0.61</v>
      </c>
      <c r="F1368" s="9">
        <f>IFERROR(__xludf.DUMMYFUNCTION("GOOGLEFINANCE(""ASX:MAM"", ""pe"")"),11.17)</f>
        <v>11.17</v>
      </c>
      <c r="G1368" s="9">
        <f>IFERROR(__xludf.DUMMYFUNCTION("GOOGLEFINANCE(""ASX:MAM"", ""high52"")"),0.63)</f>
        <v>0.63</v>
      </c>
      <c r="H1368" s="9">
        <f>IFERROR(__xludf.DUMMYFUNCTION("GOOGLEFINANCE(""ASX:MAM"", ""low52"")"),0.43)</f>
        <v>0.43</v>
      </c>
      <c r="I1368" s="9">
        <f>IFERROR(__xludf.DUMMYFUNCTION("GOOGLEFINANCE(""ASX:MAM"", ""marketcap"")"),7.9623243E7)</f>
        <v>79623243</v>
      </c>
      <c r="J1368" s="5"/>
      <c r="K1368" s="5"/>
      <c r="L1368" s="5"/>
      <c r="M1368" s="5"/>
      <c r="N1368" s="10">
        <v>11.17</v>
      </c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>
      <c r="A1369" s="6" t="s">
        <v>2740</v>
      </c>
      <c r="B1369" s="6" t="s">
        <v>2741</v>
      </c>
      <c r="C1369" s="5" t="s">
        <v>39</v>
      </c>
      <c r="D1369" s="7">
        <f>IFERROR(__xludf.DUMMYFUNCTION("GOOGLEFINANCE(""ASX:MAN"", ""price"")"),0.02)</f>
        <v>0.02</v>
      </c>
      <c r="E1369" s="8">
        <f>IFERROR(__xludf.DUMMYFUNCTION("GOOGLEFINANCE(""ASX:MAN"", ""closeyest"")"),0.02)</f>
        <v>0.02</v>
      </c>
      <c r="F1369" s="5" t="str">
        <f>IFERROR(__xludf.DUMMYFUNCTION("GOOGLEFINANCE(""ASX:MAN"", ""pe"")"),"#N/A")</f>
        <v>#N/A</v>
      </c>
      <c r="G1369" s="9">
        <f>IFERROR(__xludf.DUMMYFUNCTION("GOOGLEFINANCE(""ASX:MAN"", ""high52"")"),0.03)</f>
        <v>0.03</v>
      </c>
      <c r="H1369" s="9">
        <f>IFERROR(__xludf.DUMMYFUNCTION("GOOGLEFINANCE(""ASX:MAN"", ""low52"")"),0.02)</f>
        <v>0.02</v>
      </c>
      <c r="I1369" s="9">
        <f>IFERROR(__xludf.DUMMYFUNCTION("GOOGLEFINANCE(""ASX:MAN"", ""marketcap"")"),1.5869677E7)</f>
        <v>15869677</v>
      </c>
      <c r="J1369" s="5"/>
      <c r="K1369" s="5"/>
      <c r="L1369" s="5"/>
      <c r="M1369" s="5"/>
      <c r="N1369" s="11" t="s">
        <v>19</v>
      </c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>
      <c r="A1370" s="6" t="s">
        <v>2742</v>
      </c>
      <c r="B1370" s="6" t="s">
        <v>2743</v>
      </c>
      <c r="C1370" s="5" t="s">
        <v>164</v>
      </c>
      <c r="D1370" s="7">
        <f>IFERROR(__xludf.DUMMYFUNCTION("GOOGLEFINANCE(""ASX:MAP"", ""price"")"),0.08)</f>
        <v>0.08</v>
      </c>
      <c r="E1370" s="8">
        <f>IFERROR(__xludf.DUMMYFUNCTION("GOOGLEFINANCE(""ASX:MAP"", ""closeyest"")"),0.08)</f>
        <v>0.08</v>
      </c>
      <c r="F1370" s="5" t="str">
        <f>IFERROR(__xludf.DUMMYFUNCTION("GOOGLEFINANCE(""ASX:MAP"", ""pe"")"),"#N/A")</f>
        <v>#N/A</v>
      </c>
      <c r="G1370" s="9">
        <f>IFERROR(__xludf.DUMMYFUNCTION("GOOGLEFINANCE(""ASX:MAP"", ""high52"")"),0.33)</f>
        <v>0.33</v>
      </c>
      <c r="H1370" s="9">
        <f>IFERROR(__xludf.DUMMYFUNCTION("GOOGLEFINANCE(""ASX:MAP"", ""low52"")"),0.07)</f>
        <v>0.07</v>
      </c>
      <c r="I1370" s="9">
        <f>IFERROR(__xludf.DUMMYFUNCTION("GOOGLEFINANCE(""ASX:MAP"", ""marketcap"")"),4.3388611E7)</f>
        <v>43388611</v>
      </c>
      <c r="J1370" s="5"/>
      <c r="K1370" s="5"/>
      <c r="L1370" s="5"/>
      <c r="M1370" s="5"/>
      <c r="N1370" s="11" t="s">
        <v>19</v>
      </c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>
      <c r="A1371" s="6" t="s">
        <v>2744</v>
      </c>
      <c r="B1371" s="6" t="s">
        <v>2745</v>
      </c>
      <c r="C1371" s="5" t="s">
        <v>184</v>
      </c>
      <c r="D1371" s="7">
        <f>IFERROR(__xludf.DUMMYFUNCTION("GOOGLEFINANCE(""ASX:MAQ"", ""price"")"),67.37)</f>
        <v>67.37</v>
      </c>
      <c r="E1371" s="8">
        <f>IFERROR(__xludf.DUMMYFUNCTION("GOOGLEFINANCE(""ASX:MAQ"", ""closeyest"")"),67.3)</f>
        <v>67.3</v>
      </c>
      <c r="F1371" s="9">
        <f>IFERROR(__xludf.DUMMYFUNCTION("GOOGLEFINANCE(""ASX:MAQ"", ""pe"")"),50.12)</f>
        <v>50.12</v>
      </c>
      <c r="G1371" s="9">
        <f>IFERROR(__xludf.DUMMYFUNCTION("GOOGLEFINANCE(""ASX:MAQ"", ""high52"")"),91.39)</f>
        <v>91.39</v>
      </c>
      <c r="H1371" s="9">
        <f>IFERROR(__xludf.DUMMYFUNCTION("GOOGLEFINANCE(""ASX:MAQ"", ""low52"")"),52.66)</f>
        <v>52.66</v>
      </c>
      <c r="I1371" s="9">
        <f>IFERROR(__xludf.DUMMYFUNCTION("GOOGLEFINANCE(""ASX:MAQ"", ""marketcap"")"),1.736375587E9)</f>
        <v>1736375587</v>
      </c>
      <c r="J1371" s="5"/>
      <c r="K1371" s="5"/>
      <c r="L1371" s="5"/>
      <c r="M1371" s="5"/>
      <c r="N1371" s="10">
        <v>50.89</v>
      </c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>
      <c r="A1372" s="6" t="s">
        <v>2746</v>
      </c>
      <c r="B1372" s="6" t="s">
        <v>2747</v>
      </c>
      <c r="C1372" s="5" t="s">
        <v>88</v>
      </c>
      <c r="D1372" s="7">
        <f>IFERROR(__xludf.DUMMYFUNCTION("GOOGLEFINANCE(""ASX:MAT"", ""price"")"),0.14)</f>
        <v>0.14</v>
      </c>
      <c r="E1372" s="8">
        <f>IFERROR(__xludf.DUMMYFUNCTION("GOOGLEFINANCE(""ASX:MAT"", ""closeyest"")"),0.14)</f>
        <v>0.14</v>
      </c>
      <c r="F1372" s="9">
        <f>IFERROR(__xludf.DUMMYFUNCTION("GOOGLEFINANCE(""ASX:MAT"", ""pe"")"),62.5)</f>
        <v>62.5</v>
      </c>
      <c r="G1372" s="9">
        <f>IFERROR(__xludf.DUMMYFUNCTION("GOOGLEFINANCE(""ASX:MAT"", ""high52"")"),0.15)</f>
        <v>0.15</v>
      </c>
      <c r="H1372" s="9">
        <f>IFERROR(__xludf.DUMMYFUNCTION("GOOGLEFINANCE(""ASX:MAT"", ""low52"")"),0.04)</f>
        <v>0.04</v>
      </c>
      <c r="I1372" s="9">
        <f>IFERROR(__xludf.DUMMYFUNCTION("GOOGLEFINANCE(""ASX:MAT"", ""marketcap"")"),1.23054043E8)</f>
        <v>123054043</v>
      </c>
      <c r="J1372" s="5"/>
      <c r="K1372" s="5"/>
      <c r="L1372" s="5"/>
      <c r="M1372" s="5"/>
      <c r="N1372" s="10">
        <v>60.19</v>
      </c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>
      <c r="A1373" s="6" t="s">
        <v>2748</v>
      </c>
      <c r="B1373" s="6" t="s">
        <v>2749</v>
      </c>
      <c r="C1373" s="5" t="s">
        <v>18</v>
      </c>
      <c r="D1373" s="7">
        <f>IFERROR(__xludf.DUMMYFUNCTION("GOOGLEFINANCE(""ASX:MAU"", ""price"")"),1.3)</f>
        <v>1.3</v>
      </c>
      <c r="E1373" s="8">
        <f>IFERROR(__xludf.DUMMYFUNCTION("GOOGLEFINANCE(""ASX:MAU"", ""closeyest"")"),1.34)</f>
        <v>1.34</v>
      </c>
      <c r="F1373" s="5" t="str">
        <f>IFERROR(__xludf.DUMMYFUNCTION("GOOGLEFINANCE(""ASX:MAU"", ""pe"")"),"#N/A")</f>
        <v>#N/A</v>
      </c>
      <c r="G1373" s="9">
        <f>IFERROR(__xludf.DUMMYFUNCTION("GOOGLEFINANCE(""ASX:MAU"", ""high52"")"),1.83)</f>
        <v>1.83</v>
      </c>
      <c r="H1373" s="9">
        <f>IFERROR(__xludf.DUMMYFUNCTION("GOOGLEFINANCE(""ASX:MAU"", ""low52"")"),1.09)</f>
        <v>1.09</v>
      </c>
      <c r="I1373" s="9">
        <f>IFERROR(__xludf.DUMMYFUNCTION("GOOGLEFINANCE(""ASX:MAU"", ""marketcap"")"),4.02989065E8)</f>
        <v>402989065</v>
      </c>
      <c r="J1373" s="5"/>
      <c r="K1373" s="5"/>
      <c r="L1373" s="5"/>
      <c r="M1373" s="5"/>
      <c r="N1373" s="11" t="s">
        <v>19</v>
      </c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>
      <c r="A1374" s="6" t="s">
        <v>2750</v>
      </c>
      <c r="B1374" s="6" t="s">
        <v>2751</v>
      </c>
      <c r="C1374" s="5" t="s">
        <v>78</v>
      </c>
      <c r="D1374" s="7">
        <f>IFERROR(__xludf.DUMMYFUNCTION("GOOGLEFINANCE(""ASX:MAY"", ""price"")"),0.01)</f>
        <v>0.01</v>
      </c>
      <c r="E1374" s="8">
        <f>IFERROR(__xludf.DUMMYFUNCTION("GOOGLEFINANCE(""ASX:MAY"", ""closeyest"")"),0.01)</f>
        <v>0.01</v>
      </c>
      <c r="F1374" s="5" t="str">
        <f>IFERROR(__xludf.DUMMYFUNCTION("GOOGLEFINANCE(""ASX:MAY"", ""pe"")"),"#N/A")</f>
        <v>#N/A</v>
      </c>
      <c r="G1374" s="9">
        <f>IFERROR(__xludf.DUMMYFUNCTION("GOOGLEFINANCE(""ASX:MAY"", ""high52"")"),0.04)</f>
        <v>0.04</v>
      </c>
      <c r="H1374" s="9">
        <f>IFERROR(__xludf.DUMMYFUNCTION("GOOGLEFINANCE(""ASX:MAY"", ""low52"")"),0.01)</f>
        <v>0.01</v>
      </c>
      <c r="I1374" s="9">
        <f>IFERROR(__xludf.DUMMYFUNCTION("GOOGLEFINANCE(""ASX:MAY"", ""marketcap"")"),2.4204601E7)</f>
        <v>24204601</v>
      </c>
      <c r="J1374" s="5"/>
      <c r="K1374" s="5"/>
      <c r="L1374" s="5"/>
      <c r="M1374" s="5"/>
      <c r="N1374" s="11" t="s">
        <v>19</v>
      </c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>
      <c r="A1375" s="6" t="s">
        <v>2752</v>
      </c>
      <c r="B1375" s="6" t="s">
        <v>2753</v>
      </c>
      <c r="C1375" s="5" t="s">
        <v>399</v>
      </c>
      <c r="D1375" s="7">
        <f>IFERROR(__xludf.DUMMYFUNCTION("GOOGLEFINANCE(""ASX:MBH"", ""price"")"),0.09)</f>
        <v>0.09</v>
      </c>
      <c r="E1375" s="8">
        <f>IFERROR(__xludf.DUMMYFUNCTION("GOOGLEFINANCE(""ASX:MBH"", ""closeyest"")"),0.09)</f>
        <v>0.09</v>
      </c>
      <c r="F1375" s="5" t="str">
        <f>IFERROR(__xludf.DUMMYFUNCTION("GOOGLEFINANCE(""ASX:MBH"", ""pe"")"),"#N/A")</f>
        <v>#N/A</v>
      </c>
      <c r="G1375" s="9">
        <f>IFERROR(__xludf.DUMMYFUNCTION("GOOGLEFINANCE(""ASX:MBH"", ""high52"")"),0.12)</f>
        <v>0.12</v>
      </c>
      <c r="H1375" s="9">
        <f>IFERROR(__xludf.DUMMYFUNCTION("GOOGLEFINANCE(""ASX:MBH"", ""low52"")"),0.05)</f>
        <v>0.05</v>
      </c>
      <c r="I1375" s="9">
        <f>IFERROR(__xludf.DUMMYFUNCTION("GOOGLEFINANCE(""ASX:MBH"", ""marketcap"")"),3.6555899E7)</f>
        <v>36555899</v>
      </c>
      <c r="J1375" s="5"/>
      <c r="K1375" s="5"/>
      <c r="L1375" s="5"/>
      <c r="M1375" s="5"/>
      <c r="N1375" s="11" t="s">
        <v>19</v>
      </c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>
      <c r="A1376" s="6" t="s">
        <v>2754</v>
      </c>
      <c r="B1376" s="6" t="s">
        <v>2755</v>
      </c>
      <c r="C1376" s="5" t="s">
        <v>88</v>
      </c>
      <c r="D1376" s="7">
        <f>IFERROR(__xludf.DUMMYFUNCTION("GOOGLEFINANCE(""ASX:MBK"", ""price"")"),0.03)</f>
        <v>0.03</v>
      </c>
      <c r="E1376" s="8">
        <f>IFERROR(__xludf.DUMMYFUNCTION("GOOGLEFINANCE(""ASX:MBK"", ""closeyest"")"),0.03)</f>
        <v>0.03</v>
      </c>
      <c r="F1376" s="5" t="str">
        <f>IFERROR(__xludf.DUMMYFUNCTION("GOOGLEFINANCE(""ASX:MBK"", ""pe"")"),"#N/A")</f>
        <v>#N/A</v>
      </c>
      <c r="G1376" s="9">
        <f>IFERROR(__xludf.DUMMYFUNCTION("GOOGLEFINANCE(""ASX:MBK"", ""high52"")"),0.03)</f>
        <v>0.03</v>
      </c>
      <c r="H1376" s="9">
        <f>IFERROR(__xludf.DUMMYFUNCTION("GOOGLEFINANCE(""ASX:MBK"", ""low52"")"),0.01)</f>
        <v>0.01</v>
      </c>
      <c r="I1376" s="9">
        <f>IFERROR(__xludf.DUMMYFUNCTION("GOOGLEFINANCE(""ASX:MBK"", ""marketcap"")"),2.9276166E7)</f>
        <v>29276166</v>
      </c>
      <c r="J1376" s="5"/>
      <c r="K1376" s="5"/>
      <c r="L1376" s="5"/>
      <c r="M1376" s="5"/>
      <c r="N1376" s="11" t="s">
        <v>19</v>
      </c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>
      <c r="A1377" s="6" t="s">
        <v>2756</v>
      </c>
      <c r="B1377" s="6" t="s">
        <v>2757</v>
      </c>
      <c r="C1377" s="5" t="s">
        <v>2758</v>
      </c>
      <c r="D1377" s="7">
        <f>IFERROR(__xludf.DUMMYFUNCTION("GOOGLEFINANCE(""ASX:MC2"", ""price"")"),12.76)</f>
        <v>12.76</v>
      </c>
      <c r="E1377" s="8">
        <f>IFERROR(__xludf.DUMMYFUNCTION("GOOGLEFINANCE(""ASX:MC2"", ""closeyest"")"),12.5)</f>
        <v>12.5</v>
      </c>
      <c r="F1377" s="5" t="str">
        <f>IFERROR(__xludf.DUMMYFUNCTION("GOOGLEFINANCE(""ASX:MC2"", ""pe"")"),"#N/A")</f>
        <v>#N/A</v>
      </c>
      <c r="G1377" s="9">
        <f>IFERROR(__xludf.DUMMYFUNCTION("GOOGLEFINANCE(""ASX:MC2"", ""high52"")"),13.1)</f>
        <v>13.1</v>
      </c>
      <c r="H1377" s="9">
        <f>IFERROR(__xludf.DUMMYFUNCTION("GOOGLEFINANCE(""ASX:MC2"", ""low52"")"),9.7)</f>
        <v>9.7</v>
      </c>
      <c r="I1377" s="9">
        <f>IFERROR(__xludf.DUMMYFUNCTION("GOOGLEFINANCE(""ASX:MC2"", ""marketcap"")"),1.469616954E9)</f>
        <v>1469616954</v>
      </c>
      <c r="J1377" s="5"/>
      <c r="K1377" s="5"/>
      <c r="L1377" s="5"/>
      <c r="M1377" s="5"/>
      <c r="N1377" s="11" t="s">
        <v>19</v>
      </c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>
      <c r="A1378" s="6" t="s">
        <v>2759</v>
      </c>
      <c r="B1378" s="6" t="s">
        <v>2760</v>
      </c>
      <c r="C1378" s="5" t="s">
        <v>128</v>
      </c>
      <c r="D1378" s="7">
        <f>IFERROR(__xludf.DUMMYFUNCTION("GOOGLEFINANCE(""ASX:MCA"", ""price"")"),1.0)</f>
        <v>1</v>
      </c>
      <c r="E1378" s="8">
        <f>IFERROR(__xludf.DUMMYFUNCTION("GOOGLEFINANCE(""ASX:MCA"", ""closeyest"")"),1.01)</f>
        <v>1.01</v>
      </c>
      <c r="F1378" s="9">
        <f>IFERROR(__xludf.DUMMYFUNCTION("GOOGLEFINANCE(""ASX:MCA"", ""pe"")"),12.97)</f>
        <v>12.97</v>
      </c>
      <c r="G1378" s="9">
        <f>IFERROR(__xludf.DUMMYFUNCTION("GOOGLEFINANCE(""ASX:MCA"", ""high52"")"),1.43)</f>
        <v>1.43</v>
      </c>
      <c r="H1378" s="9">
        <f>IFERROR(__xludf.DUMMYFUNCTION("GOOGLEFINANCE(""ASX:MCA"", ""low52"")"),0.85)</f>
        <v>0.85</v>
      </c>
      <c r="I1378" s="9">
        <f>IFERROR(__xludf.DUMMYFUNCTION("GOOGLEFINANCE(""ASX:MCA"", ""marketcap"")"),1.233087E8)</f>
        <v>123308700</v>
      </c>
      <c r="J1378" s="5"/>
      <c r="K1378" s="5"/>
      <c r="L1378" s="5"/>
      <c r="M1378" s="5"/>
      <c r="N1378" s="10">
        <v>13.62</v>
      </c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>
      <c r="A1379" s="6" t="s">
        <v>2761</v>
      </c>
      <c r="B1379" s="6" t="s">
        <v>2762</v>
      </c>
      <c r="C1379" s="5" t="s">
        <v>36</v>
      </c>
      <c r="D1379" s="7" t="str">
        <f>IFERROR(__xludf.DUMMYFUNCTION("GOOGLEFINANCE(""ASX:MCCL"", ""price"")"),"#N/A")</f>
        <v>#N/A</v>
      </c>
      <c r="E1379" s="8" t="str">
        <f>IFERROR(__xludf.DUMMYFUNCTION("GOOGLEFINANCE(""ASX:MCCL"", ""closeyest"")"),"#N/A")</f>
        <v>#N/A</v>
      </c>
      <c r="F1379" s="5" t="str">
        <f>IFERROR(__xludf.DUMMYFUNCTION("GOOGLEFINANCE(""ASX:MCCL"", ""pe"")"),"#N/A")</f>
        <v>#N/A</v>
      </c>
      <c r="G1379" s="5" t="str">
        <f>IFERROR(__xludf.DUMMYFUNCTION("GOOGLEFINANCE(""ASX:MCCL"", ""high52"")"),"#N/A")</f>
        <v>#N/A</v>
      </c>
      <c r="H1379" s="5" t="str">
        <f>IFERROR(__xludf.DUMMYFUNCTION("GOOGLEFINANCE(""ASX:MCCL"", ""low52"")"),"#N/A")</f>
        <v>#N/A</v>
      </c>
      <c r="I1379" s="9" t="str">
        <f>IFERROR(__xludf.DUMMYFUNCTION("GOOGLEFINANCE(""ASX:MCCL"", ""marketcap"")"),"#N/A")</f>
        <v>#N/A</v>
      </c>
      <c r="J1379" s="12">
        <v>17.87</v>
      </c>
      <c r="K1379" s="12">
        <v>17.88</v>
      </c>
      <c r="L1379" s="12">
        <v>19.65</v>
      </c>
      <c r="M1379" s="12">
        <v>14.41</v>
      </c>
      <c r="N1379" s="11" t="s">
        <v>19</v>
      </c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>
      <c r="A1380" s="6" t="s">
        <v>2763</v>
      </c>
      <c r="B1380" s="6" t="s">
        <v>2764</v>
      </c>
      <c r="C1380" s="5" t="s">
        <v>2765</v>
      </c>
      <c r="D1380" s="7">
        <f>IFERROR(__xludf.DUMMYFUNCTION("GOOGLEFINANCE(""ASX:MCE"", ""price"")"),0.26)</f>
        <v>0.26</v>
      </c>
      <c r="E1380" s="8">
        <f>IFERROR(__xludf.DUMMYFUNCTION("GOOGLEFINANCE(""ASX:MCE"", ""closeyest"")"),0.25)</f>
        <v>0.25</v>
      </c>
      <c r="F1380" s="5" t="str">
        <f>IFERROR(__xludf.DUMMYFUNCTION("GOOGLEFINANCE(""ASX:MCE"", ""pe"")"),"#N/A")</f>
        <v>#N/A</v>
      </c>
      <c r="G1380" s="9">
        <f>IFERROR(__xludf.DUMMYFUNCTION("GOOGLEFINANCE(""ASX:MCE"", ""high52"")"),0.3)</f>
        <v>0.3</v>
      </c>
      <c r="H1380" s="9">
        <f>IFERROR(__xludf.DUMMYFUNCTION("GOOGLEFINANCE(""ASX:MCE"", ""low52"")"),0.15)</f>
        <v>0.15</v>
      </c>
      <c r="I1380" s="9">
        <f>IFERROR(__xludf.DUMMYFUNCTION("GOOGLEFINANCE(""ASX:MCE"", ""marketcap"")"),5.8418357E7)</f>
        <v>58418357</v>
      </c>
      <c r="J1380" s="5"/>
      <c r="K1380" s="5"/>
      <c r="L1380" s="5"/>
      <c r="M1380" s="5"/>
      <c r="N1380" s="11" t="s">
        <v>19</v>
      </c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>
      <c r="A1381" s="6" t="s">
        <v>2766</v>
      </c>
      <c r="B1381" s="6" t="s">
        <v>2767</v>
      </c>
      <c r="C1381" s="5" t="s">
        <v>36</v>
      </c>
      <c r="D1381" s="7" t="str">
        <f>IFERROR(__xludf.DUMMYFUNCTION("GOOGLEFINANCE(""ASX:MCGG"", ""price"")"),"#N/A")</f>
        <v>#N/A</v>
      </c>
      <c r="E1381" s="8" t="str">
        <f>IFERROR(__xludf.DUMMYFUNCTION("GOOGLEFINANCE(""ASX:MCGG"", ""closeyest"")"),"#N/A")</f>
        <v>#N/A</v>
      </c>
      <c r="F1381" s="5" t="str">
        <f>IFERROR(__xludf.DUMMYFUNCTION("GOOGLEFINANCE(""ASX:MCGG"", ""pe"")"),"#N/A")</f>
        <v>#N/A</v>
      </c>
      <c r="G1381" s="5" t="str">
        <f>IFERROR(__xludf.DUMMYFUNCTION("GOOGLEFINANCE(""ASX:MCGG"", ""high52"")"),"#N/A")</f>
        <v>#N/A</v>
      </c>
      <c r="H1381" s="5" t="str">
        <f>IFERROR(__xludf.DUMMYFUNCTION("GOOGLEFINANCE(""ASX:MCGG"", ""low52"")"),"#N/A")</f>
        <v>#N/A</v>
      </c>
      <c r="I1381" s="9" t="str">
        <f>IFERROR(__xludf.DUMMYFUNCTION("GOOGLEFINANCE(""ASX:MCGG"", ""marketcap"")"),"#N/A")</f>
        <v>#N/A</v>
      </c>
      <c r="J1381" s="12">
        <v>15.43</v>
      </c>
      <c r="K1381" s="12">
        <v>15.42</v>
      </c>
      <c r="L1381" s="12">
        <v>17.03</v>
      </c>
      <c r="M1381" s="12">
        <v>13.07</v>
      </c>
      <c r="N1381" s="11" t="s">
        <v>19</v>
      </c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>
      <c r="A1382" s="6" t="s">
        <v>2768</v>
      </c>
      <c r="B1382" s="6" t="s">
        <v>2769</v>
      </c>
      <c r="C1382" s="5" t="s">
        <v>314</v>
      </c>
      <c r="D1382" s="7">
        <f>IFERROR(__xludf.DUMMYFUNCTION("GOOGLEFINANCE(""ASX:MCM"", ""price"")"),0.2)</f>
        <v>0.2</v>
      </c>
      <c r="E1382" s="8">
        <f>IFERROR(__xludf.DUMMYFUNCTION("GOOGLEFINANCE(""ASX:MCM"", ""closeyest"")"),0.2)</f>
        <v>0.2</v>
      </c>
      <c r="F1382" s="5" t="str">
        <f>IFERROR(__xludf.DUMMYFUNCTION("GOOGLEFINANCE(""ASX:MCM"", ""pe"")"),"#N/A")</f>
        <v>#N/A</v>
      </c>
      <c r="G1382" s="9">
        <f>IFERROR(__xludf.DUMMYFUNCTION("GOOGLEFINANCE(""ASX:MCM"", ""high52"")"),0.28)</f>
        <v>0.28</v>
      </c>
      <c r="H1382" s="9">
        <f>IFERROR(__xludf.DUMMYFUNCTION("GOOGLEFINANCE(""ASX:MCM"", ""low52"")"),0.08)</f>
        <v>0.08</v>
      </c>
      <c r="I1382" s="9">
        <f>IFERROR(__xludf.DUMMYFUNCTION("GOOGLEFINANCE(""ASX:MCM"", ""marketcap"")"),1.348564E8)</f>
        <v>134856400</v>
      </c>
      <c r="J1382" s="5"/>
      <c r="K1382" s="5"/>
      <c r="L1382" s="5"/>
      <c r="M1382" s="5"/>
      <c r="N1382" s="11" t="s">
        <v>19</v>
      </c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>
      <c r="A1383" s="6" t="s">
        <v>2770</v>
      </c>
      <c r="B1383" s="6" t="s">
        <v>2771</v>
      </c>
      <c r="C1383" s="5" t="s">
        <v>106</v>
      </c>
      <c r="D1383" s="7">
        <f>IFERROR(__xludf.DUMMYFUNCTION("GOOGLEFINANCE(""ASX:MCO"", ""price"")"),0.01)</f>
        <v>0.01</v>
      </c>
      <c r="E1383" s="8">
        <f>IFERROR(__xludf.DUMMYFUNCTION("GOOGLEFINANCE(""ASX:MCO"", ""closeyest"")"),0.01)</f>
        <v>0.01</v>
      </c>
      <c r="F1383" s="5" t="str">
        <f>IFERROR(__xludf.DUMMYFUNCTION("GOOGLEFINANCE(""ASX:MCO"", ""pe"")"),"#N/A")</f>
        <v>#N/A</v>
      </c>
      <c r="G1383" s="9">
        <f>IFERROR(__xludf.DUMMYFUNCTION("GOOGLEFINANCE(""ASX:MCO"", ""high52"")"),0.03)</f>
        <v>0.03</v>
      </c>
      <c r="H1383" s="9">
        <f>IFERROR(__xludf.DUMMYFUNCTION("GOOGLEFINANCE(""ASX:MCO"", ""low52"")"),0.01)</f>
        <v>0.01</v>
      </c>
      <c r="I1383" s="9">
        <f>IFERROR(__xludf.DUMMYFUNCTION("GOOGLEFINANCE(""ASX:MCO"", ""marketcap"")"),8631623.0)</f>
        <v>8631623</v>
      </c>
      <c r="J1383" s="5"/>
      <c r="K1383" s="5"/>
      <c r="L1383" s="5"/>
      <c r="M1383" s="5"/>
      <c r="N1383" s="11" t="s">
        <v>19</v>
      </c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>
      <c r="A1384" s="6" t="s">
        <v>2772</v>
      </c>
      <c r="B1384" s="6" t="s">
        <v>2773</v>
      </c>
      <c r="C1384" s="5" t="s">
        <v>2774</v>
      </c>
      <c r="D1384" s="7">
        <f>IFERROR(__xludf.DUMMYFUNCTION("GOOGLEFINANCE(""ASX:MCP"", ""price"")"),0.23)</f>
        <v>0.23</v>
      </c>
      <c r="E1384" s="8">
        <f>IFERROR(__xludf.DUMMYFUNCTION("GOOGLEFINANCE(""ASX:MCP"", ""closeyest"")"),0.25)</f>
        <v>0.25</v>
      </c>
      <c r="F1384" s="5" t="str">
        <f>IFERROR(__xludf.DUMMYFUNCTION("GOOGLEFINANCE(""ASX:MCP"", ""pe"")"),"#N/A")</f>
        <v>#N/A</v>
      </c>
      <c r="G1384" s="9">
        <f>IFERROR(__xludf.DUMMYFUNCTION("GOOGLEFINANCE(""ASX:MCP"", ""high52"")"),0.34)</f>
        <v>0.34</v>
      </c>
      <c r="H1384" s="9">
        <f>IFERROR(__xludf.DUMMYFUNCTION("GOOGLEFINANCE(""ASX:MCP"", ""low52"")"),0.21)</f>
        <v>0.21</v>
      </c>
      <c r="I1384" s="9">
        <f>IFERROR(__xludf.DUMMYFUNCTION("GOOGLEFINANCE(""ASX:MCP"", ""marketcap"")"),3.3108293E7)</f>
        <v>33108293</v>
      </c>
      <c r="J1384" s="5"/>
      <c r="K1384" s="5"/>
      <c r="L1384" s="5"/>
      <c r="M1384" s="5"/>
      <c r="N1384" s="11" t="s">
        <v>19</v>
      </c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>
      <c r="A1385" s="6" t="s">
        <v>2775</v>
      </c>
      <c r="B1385" s="6" t="s">
        <v>2776</v>
      </c>
      <c r="C1385" s="5" t="s">
        <v>954</v>
      </c>
      <c r="D1385" s="7">
        <f>IFERROR(__xludf.DUMMYFUNCTION("GOOGLEFINANCE(""ASX:MCY"", ""price"")"),5.64)</f>
        <v>5.64</v>
      </c>
      <c r="E1385" s="8">
        <f>IFERROR(__xludf.DUMMYFUNCTION("GOOGLEFINANCE(""ASX:MCY"", ""closeyest"")"),5.56)</f>
        <v>5.56</v>
      </c>
      <c r="F1385" s="5" t="str">
        <f>IFERROR(__xludf.DUMMYFUNCTION("GOOGLEFINANCE(""ASX:MCY"", ""pe"")"),"#N/A")</f>
        <v>#N/A</v>
      </c>
      <c r="G1385" s="9">
        <f>IFERROR(__xludf.DUMMYFUNCTION("GOOGLEFINANCE(""ASX:MCY"", ""high52"")"),6.3)</f>
        <v>6.3</v>
      </c>
      <c r="H1385" s="9">
        <f>IFERROR(__xludf.DUMMYFUNCTION("GOOGLEFINANCE(""ASX:MCY"", ""low52"")"),5.0)</f>
        <v>5</v>
      </c>
      <c r="I1385" s="9">
        <f>IFERROR(__xludf.DUMMYFUNCTION("GOOGLEFINANCE(""ASX:MCY"", ""marketcap"")"),9.218104E9)</f>
        <v>9218104000</v>
      </c>
      <c r="J1385" s="5"/>
      <c r="K1385" s="5"/>
      <c r="L1385" s="5"/>
      <c r="M1385" s="5"/>
      <c r="N1385" s="11" t="s">
        <v>19</v>
      </c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>
      <c r="A1386" s="6" t="s">
        <v>2777</v>
      </c>
      <c r="B1386" s="6" t="s">
        <v>2778</v>
      </c>
      <c r="C1386" s="5" t="s">
        <v>88</v>
      </c>
      <c r="D1386" s="7">
        <f>IFERROR(__xludf.DUMMYFUNCTION("GOOGLEFINANCE(""ASX:MDI"", ""price"")"),0.04)</f>
        <v>0.04</v>
      </c>
      <c r="E1386" s="8">
        <f>IFERROR(__xludf.DUMMYFUNCTION("GOOGLEFINANCE(""ASX:MDI"", ""closeyest"")"),0.04)</f>
        <v>0.04</v>
      </c>
      <c r="F1386" s="5" t="str">
        <f>IFERROR(__xludf.DUMMYFUNCTION("GOOGLEFINANCE(""ASX:MDI"", ""pe"")"),"#N/A")</f>
        <v>#N/A</v>
      </c>
      <c r="G1386" s="9">
        <f>IFERROR(__xludf.DUMMYFUNCTION("GOOGLEFINANCE(""ASX:MDI"", ""high52"")"),0.05)</f>
        <v>0.05</v>
      </c>
      <c r="H1386" s="9">
        <f>IFERROR(__xludf.DUMMYFUNCTION("GOOGLEFINANCE(""ASX:MDI"", ""low52"")"),0.01)</f>
        <v>0.01</v>
      </c>
      <c r="I1386" s="9">
        <f>IFERROR(__xludf.DUMMYFUNCTION("GOOGLEFINANCE(""ASX:MDI"", ""marketcap"")"),4.3706159E7)</f>
        <v>43706159</v>
      </c>
      <c r="J1386" s="5"/>
      <c r="K1386" s="5"/>
      <c r="L1386" s="5"/>
      <c r="M1386" s="5"/>
      <c r="N1386" s="11" t="s">
        <v>19</v>
      </c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>
      <c r="A1387" s="6" t="s">
        <v>2779</v>
      </c>
      <c r="B1387" s="6" t="s">
        <v>2780</v>
      </c>
      <c r="C1387" s="5" t="s">
        <v>18</v>
      </c>
      <c r="D1387" s="7">
        <f>IFERROR(__xludf.DUMMYFUNCTION("GOOGLEFINANCE(""ASX:MDX"", ""price"")"),0.04)</f>
        <v>0.04</v>
      </c>
      <c r="E1387" s="8">
        <f>IFERROR(__xludf.DUMMYFUNCTION("GOOGLEFINANCE(""ASX:MDX"", ""closeyest"")"),0.04)</f>
        <v>0.04</v>
      </c>
      <c r="F1387" s="5" t="str">
        <f>IFERROR(__xludf.DUMMYFUNCTION("GOOGLEFINANCE(""ASX:MDX"", ""pe"")"),"#N/A")</f>
        <v>#N/A</v>
      </c>
      <c r="G1387" s="9">
        <f>IFERROR(__xludf.DUMMYFUNCTION("GOOGLEFINANCE(""ASX:MDX"", ""high52"")"),0.1)</f>
        <v>0.1</v>
      </c>
      <c r="H1387" s="9">
        <f>IFERROR(__xludf.DUMMYFUNCTION("GOOGLEFINANCE(""ASX:MDX"", ""low52"")"),0.04)</f>
        <v>0.04</v>
      </c>
      <c r="I1387" s="9">
        <f>IFERROR(__xludf.DUMMYFUNCTION("GOOGLEFINANCE(""ASX:MDX"", ""marketcap"")"),9.9018569E7)</f>
        <v>99018569</v>
      </c>
      <c r="J1387" s="5"/>
      <c r="K1387" s="5"/>
      <c r="L1387" s="5"/>
      <c r="M1387" s="5"/>
      <c r="N1387" s="11" t="s">
        <v>19</v>
      </c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>
      <c r="A1388" s="6" t="s">
        <v>2781</v>
      </c>
      <c r="B1388" s="6" t="s">
        <v>2782</v>
      </c>
      <c r="C1388" s="5" t="s">
        <v>171</v>
      </c>
      <c r="D1388" s="7">
        <f>IFERROR(__xludf.DUMMYFUNCTION("GOOGLEFINANCE(""ASX:MEC"", ""price"")"),1.18)</f>
        <v>1.18</v>
      </c>
      <c r="E1388" s="8">
        <f>IFERROR(__xludf.DUMMYFUNCTION("GOOGLEFINANCE(""ASX:MEC"", ""closeyest"")"),1.17)</f>
        <v>1.17</v>
      </c>
      <c r="F1388" s="9">
        <f>IFERROR(__xludf.DUMMYFUNCTION("GOOGLEFINANCE(""ASX:MEC"", ""pe"")"),7.81)</f>
        <v>7.81</v>
      </c>
      <c r="G1388" s="9">
        <f>IFERROR(__xludf.DUMMYFUNCTION("GOOGLEFINANCE(""ASX:MEC"", ""high52"")"),1.2)</f>
        <v>1.2</v>
      </c>
      <c r="H1388" s="9">
        <f>IFERROR(__xludf.DUMMYFUNCTION("GOOGLEFINANCE(""ASX:MEC"", ""low52"")"),0.97)</f>
        <v>0.97</v>
      </c>
      <c r="I1388" s="9">
        <f>IFERROR(__xludf.DUMMYFUNCTION("GOOGLEFINANCE(""ASX:MEC"", ""marketcap"")"),3.7439474E7)</f>
        <v>37439474</v>
      </c>
      <c r="J1388" s="5"/>
      <c r="K1388" s="5"/>
      <c r="L1388" s="5"/>
      <c r="M1388" s="5"/>
      <c r="N1388" s="10">
        <v>7.71</v>
      </c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>
      <c r="A1389" s="6" t="s">
        <v>2783</v>
      </c>
      <c r="B1389" s="6" t="s">
        <v>2784</v>
      </c>
      <c r="C1389" s="5" t="s">
        <v>18</v>
      </c>
      <c r="D1389" s="7">
        <f>IFERROR(__xludf.DUMMYFUNCTION("GOOGLEFINANCE(""ASX:MEG"", ""price"")"),0.03)</f>
        <v>0.03</v>
      </c>
      <c r="E1389" s="8">
        <f>IFERROR(__xludf.DUMMYFUNCTION("GOOGLEFINANCE(""ASX:MEG"", ""closeyest"")"),0.03)</f>
        <v>0.03</v>
      </c>
      <c r="F1389" s="5" t="str">
        <f>IFERROR(__xludf.DUMMYFUNCTION("GOOGLEFINANCE(""ASX:MEG"", ""pe"")"),"#N/A")</f>
        <v>#N/A</v>
      </c>
      <c r="G1389" s="9">
        <f>IFERROR(__xludf.DUMMYFUNCTION("GOOGLEFINANCE(""ASX:MEG"", ""high52"")"),0.05)</f>
        <v>0.05</v>
      </c>
      <c r="H1389" s="9">
        <f>IFERROR(__xludf.DUMMYFUNCTION("GOOGLEFINANCE(""ASX:MEG"", ""low52"")"),0.01)</f>
        <v>0.01</v>
      </c>
      <c r="I1389" s="9">
        <f>IFERROR(__xludf.DUMMYFUNCTION("GOOGLEFINANCE(""ASX:MEG"", ""marketcap"")"),1.6873853E7)</f>
        <v>16873853</v>
      </c>
      <c r="J1389" s="5"/>
      <c r="K1389" s="5"/>
      <c r="L1389" s="5"/>
      <c r="M1389" s="5"/>
      <c r="N1389" s="11" t="s">
        <v>19</v>
      </c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>
      <c r="A1390" s="6" t="s">
        <v>2785</v>
      </c>
      <c r="B1390" s="6" t="s">
        <v>2786</v>
      </c>
      <c r="C1390" s="5" t="s">
        <v>18</v>
      </c>
      <c r="D1390" s="7">
        <f>IFERROR(__xludf.DUMMYFUNCTION("GOOGLEFINANCE(""ASX:MEI"", ""price"")"),0.2)</f>
        <v>0.2</v>
      </c>
      <c r="E1390" s="8">
        <f>IFERROR(__xludf.DUMMYFUNCTION("GOOGLEFINANCE(""ASX:MEI"", ""closeyest"")"),0.19)</f>
        <v>0.19</v>
      </c>
      <c r="F1390" s="5" t="str">
        <f>IFERROR(__xludf.DUMMYFUNCTION("GOOGLEFINANCE(""ASX:MEI"", ""pe"")"),"#N/A")</f>
        <v>#N/A</v>
      </c>
      <c r="G1390" s="9">
        <f>IFERROR(__xludf.DUMMYFUNCTION("GOOGLEFINANCE(""ASX:MEI"", ""high52"")"),0.26)</f>
        <v>0.26</v>
      </c>
      <c r="H1390" s="9">
        <f>IFERROR(__xludf.DUMMYFUNCTION("GOOGLEFINANCE(""ASX:MEI"", ""low52"")"),0.06)</f>
        <v>0.06</v>
      </c>
      <c r="I1390" s="9">
        <f>IFERROR(__xludf.DUMMYFUNCTION("GOOGLEFINANCE(""ASX:MEI"", ""marketcap"")"),5.28703007E8)</f>
        <v>528703007</v>
      </c>
      <c r="J1390" s="9">
        <v>0.004</v>
      </c>
      <c r="K1390" s="5"/>
      <c r="L1390" s="5"/>
      <c r="M1390" s="5"/>
      <c r="N1390" s="11" t="s">
        <v>19</v>
      </c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>
      <c r="A1391" s="6" t="s">
        <v>2787</v>
      </c>
      <c r="B1391" s="6" t="s">
        <v>2788</v>
      </c>
      <c r="C1391" s="5" t="s">
        <v>88</v>
      </c>
      <c r="D1391" s="7">
        <f>IFERROR(__xludf.DUMMYFUNCTION("GOOGLEFINANCE(""ASX:MEK"", ""price"")"),0.28)</f>
        <v>0.28</v>
      </c>
      <c r="E1391" s="8">
        <f>IFERROR(__xludf.DUMMYFUNCTION("GOOGLEFINANCE(""ASX:MEK"", ""closeyest"")"),0.28)</f>
        <v>0.28</v>
      </c>
      <c r="F1391" s="5" t="str">
        <f>IFERROR(__xludf.DUMMYFUNCTION("GOOGLEFINANCE(""ASX:MEK"", ""pe"")"),"#N/A")</f>
        <v>#N/A</v>
      </c>
      <c r="G1391" s="9">
        <f>IFERROR(__xludf.DUMMYFUNCTION("GOOGLEFINANCE(""ASX:MEK"", ""high52"")"),0.3)</f>
        <v>0.3</v>
      </c>
      <c r="H1391" s="9">
        <f>IFERROR(__xludf.DUMMYFUNCTION("GOOGLEFINANCE(""ASX:MEK"", ""low52"")"),0.08)</f>
        <v>0.08</v>
      </c>
      <c r="I1391" s="9">
        <f>IFERROR(__xludf.DUMMYFUNCTION("GOOGLEFINANCE(""ASX:MEK"", ""marketcap"")"),8.39578069E8)</f>
        <v>839578069</v>
      </c>
      <c r="J1391" s="9">
        <v>0.085</v>
      </c>
      <c r="K1391" s="9">
        <v>0.085</v>
      </c>
      <c r="L1391" s="9">
        <v>0.12</v>
      </c>
      <c r="M1391" s="9">
        <v>0.065</v>
      </c>
      <c r="N1391" s="11" t="s">
        <v>19</v>
      </c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>
      <c r="A1392" s="6" t="s">
        <v>2789</v>
      </c>
      <c r="B1392" s="6" t="s">
        <v>2790</v>
      </c>
      <c r="C1392" s="5" t="s">
        <v>78</v>
      </c>
      <c r="D1392" s="7">
        <f>IFERROR(__xludf.DUMMYFUNCTION("GOOGLEFINANCE(""ASX:MEL"", ""price"")"),0.03)</f>
        <v>0.03</v>
      </c>
      <c r="E1392" s="8">
        <f>IFERROR(__xludf.DUMMYFUNCTION("GOOGLEFINANCE(""ASX:MEL"", ""closeyest"")"),0.02)</f>
        <v>0.02</v>
      </c>
      <c r="F1392" s="5" t="str">
        <f>IFERROR(__xludf.DUMMYFUNCTION("GOOGLEFINANCE(""ASX:MEL"", ""pe"")"),"#N/A")</f>
        <v>#N/A</v>
      </c>
      <c r="G1392" s="9">
        <f>IFERROR(__xludf.DUMMYFUNCTION("GOOGLEFINANCE(""ASX:MEL"", ""high52"")"),0.23)</f>
        <v>0.23</v>
      </c>
      <c r="H1392" s="9">
        <f>IFERROR(__xludf.DUMMYFUNCTION("GOOGLEFINANCE(""ASX:MEL"", ""low52"")"),0.02)</f>
        <v>0.02</v>
      </c>
      <c r="I1392" s="9">
        <f>IFERROR(__xludf.DUMMYFUNCTION("GOOGLEFINANCE(""ASX:MEL"", ""marketcap"")"),1234534.0)</f>
        <v>1234534</v>
      </c>
      <c r="J1392" s="5"/>
      <c r="K1392" s="5"/>
      <c r="L1392" s="5"/>
      <c r="M1392" s="5"/>
      <c r="N1392" s="11" t="s">
        <v>19</v>
      </c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>
      <c r="A1393" s="6" t="s">
        <v>2791</v>
      </c>
      <c r="B1393" s="6" t="s">
        <v>2792</v>
      </c>
      <c r="C1393" s="5" t="s">
        <v>62</v>
      </c>
      <c r="D1393" s="7">
        <f>IFERROR(__xludf.DUMMYFUNCTION("GOOGLEFINANCE(""ASX:MEM"", ""price"")"),0.01)</f>
        <v>0.01</v>
      </c>
      <c r="E1393" s="8">
        <f>IFERROR(__xludf.DUMMYFUNCTION("GOOGLEFINANCE(""ASX:MEM"", ""closeyest"")"),0.01)</f>
        <v>0.01</v>
      </c>
      <c r="F1393" s="5" t="str">
        <f>IFERROR(__xludf.DUMMYFUNCTION("GOOGLEFINANCE(""ASX:MEM"", ""pe"")"),"#N/A")</f>
        <v>#N/A</v>
      </c>
      <c r="G1393" s="9">
        <f>IFERROR(__xludf.DUMMYFUNCTION("GOOGLEFINANCE(""ASX:MEM"", ""high52"")"),0.01)</f>
        <v>0.01</v>
      </c>
      <c r="H1393" s="9">
        <f>IFERROR(__xludf.DUMMYFUNCTION("GOOGLEFINANCE(""ASX:MEM"", ""low52"")"),0.0)</f>
        <v>0</v>
      </c>
      <c r="I1393" s="9">
        <f>IFERROR(__xludf.DUMMYFUNCTION("GOOGLEFINANCE(""ASX:MEM"", ""marketcap"")"),1.1286246E7)</f>
        <v>11286246</v>
      </c>
      <c r="J1393" s="5"/>
      <c r="K1393" s="5"/>
      <c r="L1393" s="5"/>
      <c r="M1393" s="5"/>
      <c r="N1393" s="11" t="s">
        <v>19</v>
      </c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>
      <c r="A1394" s="6" t="s">
        <v>2793</v>
      </c>
      <c r="B1394" s="6" t="s">
        <v>2794</v>
      </c>
      <c r="C1394" s="5" t="s">
        <v>18</v>
      </c>
      <c r="D1394" s="7">
        <f>IFERROR(__xludf.DUMMYFUNCTION("GOOGLEFINANCE(""ASX:MEU"", ""price"")"),0.15)</f>
        <v>0.15</v>
      </c>
      <c r="E1394" s="8">
        <f>IFERROR(__xludf.DUMMYFUNCTION("GOOGLEFINANCE(""ASX:MEU"", ""closeyest"")"),0.16)</f>
        <v>0.16</v>
      </c>
      <c r="F1394" s="5" t="str">
        <f>IFERROR(__xludf.DUMMYFUNCTION("GOOGLEFINANCE(""ASX:MEU"", ""pe"")"),"#N/A")</f>
        <v>#N/A</v>
      </c>
      <c r="G1394" s="9">
        <f>IFERROR(__xludf.DUMMYFUNCTION("GOOGLEFINANCE(""ASX:MEU"", ""high52"")"),0.17)</f>
        <v>0.17</v>
      </c>
      <c r="H1394" s="9">
        <f>IFERROR(__xludf.DUMMYFUNCTION("GOOGLEFINANCE(""ASX:MEU"", ""low52"")"),0.03)</f>
        <v>0.03</v>
      </c>
      <c r="I1394" s="9">
        <f>IFERROR(__xludf.DUMMYFUNCTION("GOOGLEFINANCE(""ASX:MEU"", ""marketcap"")"),1.71513156E8)</f>
        <v>171513156</v>
      </c>
      <c r="J1394" s="5"/>
      <c r="K1394" s="5"/>
      <c r="L1394" s="5"/>
      <c r="M1394" s="5"/>
      <c r="N1394" s="11" t="s">
        <v>19</v>
      </c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>
      <c r="A1395" s="6" t="s">
        <v>2795</v>
      </c>
      <c r="B1395" s="6" t="s">
        <v>2796</v>
      </c>
      <c r="C1395" s="5" t="s">
        <v>28</v>
      </c>
      <c r="D1395" s="7">
        <f>IFERROR(__xludf.DUMMYFUNCTION("GOOGLEFINANCE(""ASX:MEX"", ""price"")"),0.2)</f>
        <v>0.2</v>
      </c>
      <c r="E1395" s="8">
        <f>IFERROR(__xludf.DUMMYFUNCTION("GOOGLEFINANCE(""ASX:MEX"", ""closeyest"")"),0.2)</f>
        <v>0.2</v>
      </c>
      <c r="F1395" s="5" t="str">
        <f>IFERROR(__xludf.DUMMYFUNCTION("GOOGLEFINANCE(""ASX:MEX"", ""pe"")"),"#N/A")</f>
        <v>#N/A</v>
      </c>
      <c r="G1395" s="9">
        <f>IFERROR(__xludf.DUMMYFUNCTION("GOOGLEFINANCE(""ASX:MEX"", ""high52"")"),0.22)</f>
        <v>0.22</v>
      </c>
      <c r="H1395" s="9">
        <f>IFERROR(__xludf.DUMMYFUNCTION("GOOGLEFINANCE(""ASX:MEX"", ""low52"")"),0.15)</f>
        <v>0.15</v>
      </c>
      <c r="I1395" s="9">
        <f>IFERROR(__xludf.DUMMYFUNCTION("GOOGLEFINANCE(""ASX:MEX"", ""marketcap"")"),3.74319E7)</f>
        <v>37431900</v>
      </c>
      <c r="J1395" s="5"/>
      <c r="K1395" s="5"/>
      <c r="L1395" s="5"/>
      <c r="M1395" s="5"/>
      <c r="N1395" s="11" t="s">
        <v>19</v>
      </c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>
      <c r="A1396" s="6" t="s">
        <v>2795</v>
      </c>
      <c r="B1396" s="6" t="s">
        <v>2796</v>
      </c>
      <c r="C1396" s="5" t="s">
        <v>28</v>
      </c>
      <c r="D1396" s="7">
        <f>IFERROR(__xludf.DUMMYFUNCTION("GOOGLEFINANCE(""ASX:MEX"", ""price"")"),0.2)</f>
        <v>0.2</v>
      </c>
      <c r="E1396" s="8">
        <f>IFERROR(__xludf.DUMMYFUNCTION("GOOGLEFINANCE(""ASX:MEX"", ""closeyest"")"),0.2)</f>
        <v>0.2</v>
      </c>
      <c r="F1396" s="5" t="str">
        <f>IFERROR(__xludf.DUMMYFUNCTION("GOOGLEFINANCE(""ASX:MEX"", ""pe"")"),"#N/A")</f>
        <v>#N/A</v>
      </c>
      <c r="G1396" s="9">
        <f>IFERROR(__xludf.DUMMYFUNCTION("GOOGLEFINANCE(""ASX:MEX"", ""high52"")"),0.22)</f>
        <v>0.22</v>
      </c>
      <c r="H1396" s="9">
        <f>IFERROR(__xludf.DUMMYFUNCTION("GOOGLEFINANCE(""ASX:MEX"", ""low52"")"),0.15)</f>
        <v>0.15</v>
      </c>
      <c r="I1396" s="9">
        <f>IFERROR(__xludf.DUMMYFUNCTION("GOOGLEFINANCE(""ASX:MEX"", ""marketcap"")"),3.74319E7)</f>
        <v>37431900</v>
      </c>
      <c r="J1396" s="5"/>
      <c r="K1396" s="5"/>
      <c r="L1396" s="5"/>
      <c r="M1396" s="5"/>
      <c r="N1396" s="11" t="s">
        <v>19</v>
      </c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>
      <c r="A1397" s="13" t="s">
        <v>2795</v>
      </c>
      <c r="B1397" s="13" t="s">
        <v>2796</v>
      </c>
      <c r="C1397" s="14" t="s">
        <v>28</v>
      </c>
      <c r="D1397" s="15">
        <f>IFERROR(__xludf.DUMMYFUNCTION("GOOGLEFINANCE(""ASX:MEX"", ""price"")"),0.2)</f>
        <v>0.2</v>
      </c>
      <c r="E1397" s="8">
        <f>IFERROR(__xludf.DUMMYFUNCTION("GOOGLEFINANCE(""ASX:MEX"", ""closeyest"")"),0.2)</f>
        <v>0.2</v>
      </c>
      <c r="F1397" s="5" t="str">
        <f>IFERROR(__xludf.DUMMYFUNCTION("GOOGLEFINANCE(""ASX:MEX"", ""pe"")"),"#N/A")</f>
        <v>#N/A</v>
      </c>
      <c r="G1397" s="9">
        <f>IFERROR(__xludf.DUMMYFUNCTION("GOOGLEFINANCE(""ASX:MEX"", ""high52"")"),0.22)</f>
        <v>0.22</v>
      </c>
      <c r="H1397" s="9">
        <f>IFERROR(__xludf.DUMMYFUNCTION("GOOGLEFINANCE(""ASX:MEX"", ""low52"")"),0.15)</f>
        <v>0.15</v>
      </c>
      <c r="I1397" s="9">
        <f>IFERROR(__xludf.DUMMYFUNCTION("GOOGLEFINANCE(""ASX:MEX"", ""marketcap"")"),3.74319E7)</f>
        <v>37431900</v>
      </c>
      <c r="J1397" s="5"/>
      <c r="K1397" s="5"/>
      <c r="L1397" s="5"/>
      <c r="M1397" s="5"/>
      <c r="N1397" s="11" t="s">
        <v>19</v>
      </c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>
      <c r="A1398" s="6" t="s">
        <v>2797</v>
      </c>
      <c r="B1398" s="6" t="s">
        <v>2798</v>
      </c>
      <c r="C1398" s="5" t="s">
        <v>954</v>
      </c>
      <c r="D1398" s="7">
        <f>IFERROR(__xludf.DUMMYFUNCTION("GOOGLEFINANCE(""ASX:MEZ"", ""price"")"),4.79)</f>
        <v>4.79</v>
      </c>
      <c r="E1398" s="8">
        <f>IFERROR(__xludf.DUMMYFUNCTION("GOOGLEFINANCE(""ASX:MEZ"", ""closeyest"")"),4.87)</f>
        <v>4.87</v>
      </c>
      <c r="F1398" s="5" t="str">
        <f>IFERROR(__xludf.DUMMYFUNCTION("GOOGLEFINANCE(""ASX:MEZ"", ""pe"")"),"#N/A")</f>
        <v>#N/A</v>
      </c>
      <c r="G1398" s="9">
        <f>IFERROR(__xludf.DUMMYFUNCTION("GOOGLEFINANCE(""ASX:MEZ"", ""high52"")"),5.59)</f>
        <v>5.59</v>
      </c>
      <c r="H1398" s="9">
        <f>IFERROR(__xludf.DUMMYFUNCTION("GOOGLEFINANCE(""ASX:MEZ"", ""low52"")"),4.67)</f>
        <v>4.67</v>
      </c>
      <c r="I1398" s="9">
        <f>IFERROR(__xludf.DUMMYFUNCTION("GOOGLEFINANCE(""ASX:MEZ"", ""marketcap"")"),1.483086E10)</f>
        <v>14830860000</v>
      </c>
      <c r="J1398" s="9">
        <v>0.004</v>
      </c>
      <c r="K1398" s="9">
        <v>0.0045</v>
      </c>
      <c r="L1398" s="9">
        <v>0.006</v>
      </c>
      <c r="M1398" s="9">
        <v>0.002</v>
      </c>
      <c r="N1398" s="11" t="s">
        <v>19</v>
      </c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>
      <c r="A1399" s="6" t="s">
        <v>2799</v>
      </c>
      <c r="B1399" s="6" t="s">
        <v>2800</v>
      </c>
      <c r="C1399" s="5" t="s">
        <v>246</v>
      </c>
      <c r="D1399" s="7">
        <f>IFERROR(__xludf.DUMMYFUNCTION("GOOGLEFINANCE(""ASX:MFD"", ""price"")"),0.49)</f>
        <v>0.49</v>
      </c>
      <c r="E1399" s="8">
        <f>IFERROR(__xludf.DUMMYFUNCTION("GOOGLEFINANCE(""ASX:MFD"", ""closeyest"")"),0.49)</f>
        <v>0.49</v>
      </c>
      <c r="F1399" s="5" t="str">
        <f>IFERROR(__xludf.DUMMYFUNCTION("GOOGLEFINANCE(""ASX:MFD"", ""pe"")"),"#N/A")</f>
        <v>#N/A</v>
      </c>
      <c r="G1399" s="9">
        <f>IFERROR(__xludf.DUMMYFUNCTION("GOOGLEFINANCE(""ASX:MFD"", ""high52"")"),0.51)</f>
        <v>0.51</v>
      </c>
      <c r="H1399" s="9">
        <f>IFERROR(__xludf.DUMMYFUNCTION("GOOGLEFINANCE(""ASX:MFD"", ""low52"")"),0.3)</f>
        <v>0.3</v>
      </c>
      <c r="I1399" s="9">
        <f>IFERROR(__xludf.DUMMYFUNCTION("GOOGLEFINANCE(""ASX:MFD"", ""marketcap"")"),3.6958059E7)</f>
        <v>36958059</v>
      </c>
      <c r="J1399" s="5"/>
      <c r="K1399" s="5"/>
      <c r="L1399" s="5"/>
      <c r="M1399" s="5"/>
      <c r="N1399" s="11" t="s">
        <v>19</v>
      </c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>
      <c r="A1400" s="6" t="s">
        <v>2801</v>
      </c>
      <c r="B1400" s="6" t="s">
        <v>2802</v>
      </c>
      <c r="C1400" s="5" t="s">
        <v>171</v>
      </c>
      <c r="D1400" s="7">
        <f>IFERROR(__xludf.DUMMYFUNCTION("GOOGLEFINANCE(""ASX:MFF"", ""price"")"),5.01)</f>
        <v>5.01</v>
      </c>
      <c r="E1400" s="8">
        <f>IFERROR(__xludf.DUMMYFUNCTION("GOOGLEFINANCE(""ASX:MFF"", ""closeyest"")"),4.96)</f>
        <v>4.96</v>
      </c>
      <c r="F1400" s="9">
        <f>IFERROR(__xludf.DUMMYFUNCTION("GOOGLEFINANCE(""ASX:MFF"", ""pe"")"),6.75)</f>
        <v>6.75</v>
      </c>
      <c r="G1400" s="9">
        <f>IFERROR(__xludf.DUMMYFUNCTION("GOOGLEFINANCE(""ASX:MFF"", ""high52"")"),5.07)</f>
        <v>5.07</v>
      </c>
      <c r="H1400" s="9">
        <f>IFERROR(__xludf.DUMMYFUNCTION("GOOGLEFINANCE(""ASX:MFF"", ""low52"")"),3.75)</f>
        <v>3.75</v>
      </c>
      <c r="I1400" s="9">
        <f>IFERROR(__xludf.DUMMYFUNCTION("GOOGLEFINANCE(""ASX:MFF"", ""marketcap"")"),2.951821493E9)</f>
        <v>2951821493</v>
      </c>
      <c r="J1400" s="5"/>
      <c r="K1400" s="5"/>
      <c r="L1400" s="5"/>
      <c r="M1400" s="5"/>
      <c r="N1400" s="10">
        <v>6.67</v>
      </c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>
      <c r="A1401" s="6" t="s">
        <v>2803</v>
      </c>
      <c r="B1401" s="6" t="s">
        <v>2804</v>
      </c>
      <c r="C1401" s="5" t="s">
        <v>171</v>
      </c>
      <c r="D1401" s="7">
        <f>IFERROR(__xludf.DUMMYFUNCTION("GOOGLEFINANCE(""ASX:MFG"", ""price"")"),9.3)</f>
        <v>9.3</v>
      </c>
      <c r="E1401" s="8">
        <f>IFERROR(__xludf.DUMMYFUNCTION("GOOGLEFINANCE(""ASX:MFG"", ""closeyest"")"),9.18)</f>
        <v>9.18</v>
      </c>
      <c r="F1401" s="9">
        <f>IFERROR(__xludf.DUMMYFUNCTION("GOOGLEFINANCE(""ASX:MFG"", ""pe"")"),10.03)</f>
        <v>10.03</v>
      </c>
      <c r="G1401" s="9">
        <f>IFERROR(__xludf.DUMMYFUNCTION("GOOGLEFINANCE(""ASX:MFG"", ""high52"")"),12.64)</f>
        <v>12.64</v>
      </c>
      <c r="H1401" s="9">
        <f>IFERROR(__xludf.DUMMYFUNCTION("GOOGLEFINANCE(""ASX:MFG"", ""low52"")"),6.29)</f>
        <v>6.29</v>
      </c>
      <c r="I1401" s="9">
        <f>IFERROR(__xludf.DUMMYFUNCTION("GOOGLEFINANCE(""ASX:MFG"", ""marketcap"")"),1.563599732E9)</f>
        <v>1563599732</v>
      </c>
      <c r="J1401" s="9">
        <v>5.74</v>
      </c>
      <c r="K1401" s="9">
        <v>5.75</v>
      </c>
      <c r="L1401" s="9">
        <v>5.88</v>
      </c>
      <c r="M1401" s="9">
        <v>4.56</v>
      </c>
      <c r="N1401" s="10">
        <v>10.69</v>
      </c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>
      <c r="A1402" s="6" t="s">
        <v>2805</v>
      </c>
      <c r="B1402" s="6" t="s">
        <v>2806</v>
      </c>
      <c r="C1402" s="5" t="s">
        <v>36</v>
      </c>
      <c r="D1402" s="7" t="str">
        <f>IFERROR(__xludf.DUMMYFUNCTION("GOOGLEFINANCE(""ASX:MFOA"", ""price"")"),"#N/A")</f>
        <v>#N/A</v>
      </c>
      <c r="E1402" s="8" t="str">
        <f>IFERROR(__xludf.DUMMYFUNCTION("GOOGLEFINANCE(""ASX:MFOA"", ""closeyest"")"),"#N/A")</f>
        <v>#N/A</v>
      </c>
      <c r="F1402" s="5" t="str">
        <f>IFERROR(__xludf.DUMMYFUNCTION("GOOGLEFINANCE(""ASX:MFOA"", ""pe"")"),"#N/A")</f>
        <v>#N/A</v>
      </c>
      <c r="G1402" s="5" t="str">
        <f>IFERROR(__xludf.DUMMYFUNCTION("GOOGLEFINANCE(""ASX:MFOA"", ""high52"")"),"#N/A")</f>
        <v>#N/A</v>
      </c>
      <c r="H1402" s="5" t="str">
        <f>IFERROR(__xludf.DUMMYFUNCTION("GOOGLEFINANCE(""ASX:MFOA"", ""low52"")"),"#N/A")</f>
        <v>#N/A</v>
      </c>
      <c r="I1402" s="9" t="str">
        <f>IFERROR(__xludf.DUMMYFUNCTION("GOOGLEFINANCE(""ASX:MFOA"", ""marketcap"")"),"#N/A")</f>
        <v>#N/A</v>
      </c>
      <c r="J1402" s="10">
        <v>11.35</v>
      </c>
      <c r="K1402" s="10">
        <v>11.27</v>
      </c>
      <c r="L1402" s="10">
        <v>11.61</v>
      </c>
      <c r="M1402" s="10">
        <v>9.83</v>
      </c>
      <c r="N1402" s="11" t="s">
        <v>19</v>
      </c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>
      <c r="A1403" s="6" t="s">
        <v>2807</v>
      </c>
      <c r="B1403" s="6" t="s">
        <v>2808</v>
      </c>
      <c r="C1403" s="5" t="s">
        <v>18</v>
      </c>
      <c r="D1403" s="7">
        <f>IFERROR(__xludf.DUMMYFUNCTION("GOOGLEFINANCE(""ASX:MGA"", ""price"")"),0.09)</f>
        <v>0.09</v>
      </c>
      <c r="E1403" s="8">
        <f>IFERROR(__xludf.DUMMYFUNCTION("GOOGLEFINANCE(""ASX:MGA"", ""closeyest"")"),0.09)</f>
        <v>0.09</v>
      </c>
      <c r="F1403" s="5" t="str">
        <f>IFERROR(__xludf.DUMMYFUNCTION("GOOGLEFINANCE(""ASX:MGA"", ""pe"")"),"#N/A")</f>
        <v>#N/A</v>
      </c>
      <c r="G1403" s="9">
        <f>IFERROR(__xludf.DUMMYFUNCTION("GOOGLEFINANCE(""ASX:MGA"", ""high52"")"),0.09)</f>
        <v>0.09</v>
      </c>
      <c r="H1403" s="9">
        <f>IFERROR(__xludf.DUMMYFUNCTION("GOOGLEFINANCE(""ASX:MGA"", ""low52"")"),0.04)</f>
        <v>0.04</v>
      </c>
      <c r="I1403" s="9">
        <f>IFERROR(__xludf.DUMMYFUNCTION("GOOGLEFINANCE(""ASX:MGA"", ""marketcap"")"),1.2304485E7)</f>
        <v>12304485</v>
      </c>
      <c r="J1403" s="5"/>
      <c r="K1403" s="5"/>
      <c r="L1403" s="5"/>
      <c r="M1403" s="5"/>
      <c r="N1403" s="11" t="s">
        <v>19</v>
      </c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>
      <c r="A1404" s="6" t="s">
        <v>2809</v>
      </c>
      <c r="B1404" s="6" t="s">
        <v>2810</v>
      </c>
      <c r="C1404" s="5" t="s">
        <v>123</v>
      </c>
      <c r="D1404" s="7">
        <f>IFERROR(__xludf.DUMMYFUNCTION("GOOGLEFINANCE(""ASX:MGH"", ""price"")"),5.74)</f>
        <v>5.74</v>
      </c>
      <c r="E1404" s="8">
        <f>IFERROR(__xludf.DUMMYFUNCTION("GOOGLEFINANCE(""ASX:MGH"", ""closeyest"")"),5.8)</f>
        <v>5.8</v>
      </c>
      <c r="F1404" s="9">
        <f>IFERROR(__xludf.DUMMYFUNCTION("GOOGLEFINANCE(""ASX:MGH"", ""pe"")"),27.9)</f>
        <v>27.9</v>
      </c>
      <c r="G1404" s="9">
        <f>IFERROR(__xludf.DUMMYFUNCTION("GOOGLEFINANCE(""ASX:MGH"", ""high52"")"),5.87)</f>
        <v>5.87</v>
      </c>
      <c r="H1404" s="9">
        <f>IFERROR(__xludf.DUMMYFUNCTION("GOOGLEFINANCE(""ASX:MGH"", ""low52"")"),3.3)</f>
        <v>3.3</v>
      </c>
      <c r="I1404" s="9">
        <f>IFERROR(__xludf.DUMMYFUNCTION("GOOGLEFINANCE(""ASX:MGH"", ""marketcap"")"),2.08818379E9)</f>
        <v>2088183790</v>
      </c>
      <c r="J1404" s="5"/>
      <c r="K1404" s="5"/>
      <c r="L1404" s="5"/>
      <c r="M1404" s="5"/>
      <c r="N1404" s="10">
        <v>26.98</v>
      </c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>
      <c r="A1405" s="6" t="s">
        <v>2811</v>
      </c>
      <c r="B1405" s="6" t="s">
        <v>2812</v>
      </c>
      <c r="C1405" s="5" t="s">
        <v>39</v>
      </c>
      <c r="D1405" s="7">
        <f>IFERROR(__xludf.DUMMYFUNCTION("GOOGLEFINANCE(""ASX:MGL"", ""price"")"),0.22)</f>
        <v>0.22</v>
      </c>
      <c r="E1405" s="8">
        <f>IFERROR(__xludf.DUMMYFUNCTION("GOOGLEFINANCE(""ASX:MGL"", ""closeyest"")"),0.23)</f>
        <v>0.23</v>
      </c>
      <c r="F1405" s="5" t="str">
        <f>IFERROR(__xludf.DUMMYFUNCTION("GOOGLEFINANCE(""ASX:MGL"", ""pe"")"),"#N/A")</f>
        <v>#N/A</v>
      </c>
      <c r="G1405" s="9">
        <f>IFERROR(__xludf.DUMMYFUNCTION("GOOGLEFINANCE(""ASX:MGL"", ""high52"")"),0.26)</f>
        <v>0.26</v>
      </c>
      <c r="H1405" s="9">
        <f>IFERROR(__xludf.DUMMYFUNCTION("GOOGLEFINANCE(""ASX:MGL"", ""low52"")"),0.17)</f>
        <v>0.17</v>
      </c>
      <c r="I1405" s="9">
        <f>IFERROR(__xludf.DUMMYFUNCTION("GOOGLEFINANCE(""ASX:MGL"", ""marketcap"")"),1.25316E7)</f>
        <v>12531600</v>
      </c>
      <c r="J1405" s="5"/>
      <c r="K1405" s="5"/>
      <c r="L1405" s="5"/>
      <c r="M1405" s="5"/>
      <c r="N1405" s="11" t="s">
        <v>19</v>
      </c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>
      <c r="A1406" s="6" t="s">
        <v>2813</v>
      </c>
      <c r="B1406" s="6" t="s">
        <v>2814</v>
      </c>
      <c r="C1406" s="5" t="s">
        <v>36</v>
      </c>
      <c r="D1406" s="7" t="str">
        <f>IFERROR(__xludf.DUMMYFUNCTION("GOOGLEFINANCE(""ASX:MGOC"", ""price"")"),"#N/A")</f>
        <v>#N/A</v>
      </c>
      <c r="E1406" s="8" t="str">
        <f>IFERROR(__xludf.DUMMYFUNCTION("GOOGLEFINANCE(""ASX:MGOC"", ""closeyest"")"),"#N/A")</f>
        <v>#N/A</v>
      </c>
      <c r="F1406" s="5" t="str">
        <f>IFERROR(__xludf.DUMMYFUNCTION("GOOGLEFINANCE(""ASX:MGOC"", ""pe"")"),"#N/A")</f>
        <v>#N/A</v>
      </c>
      <c r="G1406" s="5" t="str">
        <f>IFERROR(__xludf.DUMMYFUNCTION("GOOGLEFINANCE(""ASX:MGOC"", ""high52"")"),"#N/A")</f>
        <v>#N/A</v>
      </c>
      <c r="H1406" s="5" t="str">
        <f>IFERROR(__xludf.DUMMYFUNCTION("GOOGLEFINANCE(""ASX:MGOC"", ""low52"")"),"#N/A")</f>
        <v>#N/A</v>
      </c>
      <c r="I1406" s="9" t="str">
        <f>IFERROR(__xludf.DUMMYFUNCTION("GOOGLEFINANCE(""ASX:MGOC"", ""marketcap"")"),"#N/A")</f>
        <v>#N/A</v>
      </c>
      <c r="J1406" s="12">
        <v>2.95</v>
      </c>
      <c r="K1406" s="12">
        <v>2.95</v>
      </c>
      <c r="L1406" s="12">
        <v>3.33</v>
      </c>
      <c r="M1406" s="12">
        <v>2.8</v>
      </c>
      <c r="N1406" s="11" t="s">
        <v>19</v>
      </c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>
      <c r="A1407" s="6" t="s">
        <v>2815</v>
      </c>
      <c r="B1407" s="6" t="s">
        <v>2816</v>
      </c>
      <c r="C1407" s="5" t="s">
        <v>1968</v>
      </c>
      <c r="D1407" s="7">
        <f>IFERROR(__xludf.DUMMYFUNCTION("GOOGLEFINANCE(""ASX:MGR"", ""price"")"),2.04)</f>
        <v>2.04</v>
      </c>
      <c r="E1407" s="8">
        <f>IFERROR(__xludf.DUMMYFUNCTION("GOOGLEFINANCE(""ASX:MGR"", ""closeyest"")"),2.02)</f>
        <v>2.02</v>
      </c>
      <c r="F1407" s="9">
        <f>IFERROR(__xludf.DUMMYFUNCTION("GOOGLEFINANCE(""ASX:MGR"", ""pe"")"),118.4)</f>
        <v>118.4</v>
      </c>
      <c r="G1407" s="9">
        <f>IFERROR(__xludf.DUMMYFUNCTION("GOOGLEFINANCE(""ASX:MGR"", ""high52"")"),2.46)</f>
        <v>2.46</v>
      </c>
      <c r="H1407" s="9">
        <f>IFERROR(__xludf.DUMMYFUNCTION("GOOGLEFINANCE(""ASX:MGR"", ""low52"")"),1.81)</f>
        <v>1.81</v>
      </c>
      <c r="I1407" s="9">
        <f>IFERROR(__xludf.DUMMYFUNCTION("GOOGLEFINANCE(""ASX:MGR"", ""marketcap"")"),8.049554249E9)</f>
        <v>8049554249</v>
      </c>
      <c r="J1407" s="9">
        <v>0.185</v>
      </c>
      <c r="K1407" s="9">
        <v>0.185</v>
      </c>
      <c r="L1407" s="9">
        <v>0.27</v>
      </c>
      <c r="M1407" s="9">
        <v>0.091</v>
      </c>
      <c r="N1407" s="10">
        <v>118.4</v>
      </c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>
      <c r="A1408" s="6" t="s">
        <v>2817</v>
      </c>
      <c r="B1408" s="6" t="s">
        <v>2818</v>
      </c>
      <c r="C1408" s="5" t="s">
        <v>18</v>
      </c>
      <c r="D1408" s="7">
        <f>IFERROR(__xludf.DUMMYFUNCTION("GOOGLEFINANCE(""ASX:MGT"", ""price"")"),0.06)</f>
        <v>0.06</v>
      </c>
      <c r="E1408" s="8">
        <f>IFERROR(__xludf.DUMMYFUNCTION("GOOGLEFINANCE(""ASX:MGT"", ""closeyest"")"),0.05)</f>
        <v>0.05</v>
      </c>
      <c r="F1408" s="5" t="str">
        <f>IFERROR(__xludf.DUMMYFUNCTION("GOOGLEFINANCE(""ASX:MGT"", ""pe"")"),"#N/A")</f>
        <v>#N/A</v>
      </c>
      <c r="G1408" s="9">
        <f>IFERROR(__xludf.DUMMYFUNCTION("GOOGLEFINANCE(""ASX:MGT"", ""high52"")"),0.29)</f>
        <v>0.29</v>
      </c>
      <c r="H1408" s="9">
        <f>IFERROR(__xludf.DUMMYFUNCTION("GOOGLEFINANCE(""ASX:MGT"", ""low52"")"),0.05)</f>
        <v>0.05</v>
      </c>
      <c r="I1408" s="9">
        <f>IFERROR(__xludf.DUMMYFUNCTION("GOOGLEFINANCE(""ASX:MGT"", ""marketcap"")"),1.0393431E7)</f>
        <v>10393431</v>
      </c>
      <c r="J1408" s="5"/>
      <c r="K1408" s="5"/>
      <c r="L1408" s="5"/>
      <c r="M1408" s="5"/>
      <c r="N1408" s="11" t="s">
        <v>19</v>
      </c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>
      <c r="A1409" s="6" t="s">
        <v>2819</v>
      </c>
      <c r="B1409" s="6" t="s">
        <v>2820</v>
      </c>
      <c r="C1409" s="5" t="s">
        <v>18</v>
      </c>
      <c r="D1409" s="7">
        <f>IFERROR(__xludf.DUMMYFUNCTION("GOOGLEFINANCE(""ASX:MGU"", ""price"")"),0.01)</f>
        <v>0.01</v>
      </c>
      <c r="E1409" s="8">
        <f>IFERROR(__xludf.DUMMYFUNCTION("GOOGLEFINANCE(""ASX:MGU"", ""closeyest"")"),0.01)</f>
        <v>0.01</v>
      </c>
      <c r="F1409" s="5" t="str">
        <f>IFERROR(__xludf.DUMMYFUNCTION("GOOGLEFINANCE(""ASX:MGU"", ""pe"")"),"#N/A")</f>
        <v>#N/A</v>
      </c>
      <c r="G1409" s="9">
        <f>IFERROR(__xludf.DUMMYFUNCTION("GOOGLEFINANCE(""ASX:MGU"", ""high52"")"),0.01)</f>
        <v>0.01</v>
      </c>
      <c r="H1409" s="9">
        <f>IFERROR(__xludf.DUMMYFUNCTION("GOOGLEFINANCE(""ASX:MGU"", ""low52"")"),0.0)</f>
        <v>0</v>
      </c>
      <c r="I1409" s="9">
        <f>IFERROR(__xludf.DUMMYFUNCTION("GOOGLEFINANCE(""ASX:MGU"", ""marketcap"")"),9579114.0)</f>
        <v>9579114</v>
      </c>
      <c r="J1409" s="5"/>
      <c r="K1409" s="5"/>
      <c r="L1409" s="5"/>
      <c r="M1409" s="5"/>
      <c r="N1409" s="11" t="s">
        <v>19</v>
      </c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>
      <c r="A1410" s="6" t="s">
        <v>2821</v>
      </c>
      <c r="B1410" s="6" t="s">
        <v>2822</v>
      </c>
      <c r="C1410" s="5" t="s">
        <v>212</v>
      </c>
      <c r="D1410" s="7">
        <f>IFERROR(__xludf.DUMMYFUNCTION("GOOGLEFINANCE(""ASX:MGX"", ""price"")"),0.46)</f>
        <v>0.46</v>
      </c>
      <c r="E1410" s="8">
        <f>IFERROR(__xludf.DUMMYFUNCTION("GOOGLEFINANCE(""ASX:MGX"", ""closeyest"")"),0.46)</f>
        <v>0.46</v>
      </c>
      <c r="F1410" s="5" t="str">
        <f>IFERROR(__xludf.DUMMYFUNCTION("GOOGLEFINANCE(""ASX:MGX"", ""pe"")"),"#N/A")</f>
        <v>#N/A</v>
      </c>
      <c r="G1410" s="9">
        <f>IFERROR(__xludf.DUMMYFUNCTION("GOOGLEFINANCE(""ASX:MGX"", ""high52"")"),0.48)</f>
        <v>0.48</v>
      </c>
      <c r="H1410" s="9">
        <f>IFERROR(__xludf.DUMMYFUNCTION("GOOGLEFINANCE(""ASX:MGX"", ""low52"")"),0.26)</f>
        <v>0.26</v>
      </c>
      <c r="I1410" s="9">
        <f>IFERROR(__xludf.DUMMYFUNCTION("GOOGLEFINANCE(""ASX:MGX"", ""marketcap"")"),5.31257105E8)</f>
        <v>531257105</v>
      </c>
      <c r="J1410" s="9">
        <v>1.765</v>
      </c>
      <c r="K1410" s="9">
        <v>1.765</v>
      </c>
      <c r="L1410" s="9">
        <v>1.81</v>
      </c>
      <c r="M1410" s="9">
        <v>1.225</v>
      </c>
      <c r="N1410" s="11" t="s">
        <v>19</v>
      </c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>
      <c r="A1411" s="6" t="s">
        <v>2821</v>
      </c>
      <c r="B1411" s="6" t="s">
        <v>2822</v>
      </c>
      <c r="C1411" s="5" t="s">
        <v>212</v>
      </c>
      <c r="D1411" s="7">
        <f>IFERROR(__xludf.DUMMYFUNCTION("GOOGLEFINANCE(""ASX:MGX"", ""price"")"),0.46)</f>
        <v>0.46</v>
      </c>
      <c r="E1411" s="8">
        <f>IFERROR(__xludf.DUMMYFUNCTION("GOOGLEFINANCE(""ASX:MGX"", ""closeyest"")"),0.46)</f>
        <v>0.46</v>
      </c>
      <c r="F1411" s="5" t="str">
        <f>IFERROR(__xludf.DUMMYFUNCTION("GOOGLEFINANCE(""ASX:MGX"", ""pe"")"),"#N/A")</f>
        <v>#N/A</v>
      </c>
      <c r="G1411" s="9">
        <f>IFERROR(__xludf.DUMMYFUNCTION("GOOGLEFINANCE(""ASX:MGX"", ""high52"")"),0.48)</f>
        <v>0.48</v>
      </c>
      <c r="H1411" s="9">
        <f>IFERROR(__xludf.DUMMYFUNCTION("GOOGLEFINANCE(""ASX:MGX"", ""low52"")"),0.26)</f>
        <v>0.26</v>
      </c>
      <c r="I1411" s="9">
        <f>IFERROR(__xludf.DUMMYFUNCTION("GOOGLEFINANCE(""ASX:MGX"", ""marketcap"")"),5.31257105E8)</f>
        <v>531257105</v>
      </c>
      <c r="J1411" s="9">
        <v>1.765</v>
      </c>
      <c r="K1411" s="9">
        <v>1.765</v>
      </c>
      <c r="L1411" s="9">
        <v>1.81</v>
      </c>
      <c r="M1411" s="9">
        <v>1.225</v>
      </c>
      <c r="N1411" s="11" t="s">
        <v>19</v>
      </c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>
      <c r="A1412" s="6" t="s">
        <v>2823</v>
      </c>
      <c r="B1412" s="6" t="s">
        <v>2824</v>
      </c>
      <c r="C1412" s="5" t="s">
        <v>18</v>
      </c>
      <c r="D1412" s="7">
        <f>IFERROR(__xludf.DUMMYFUNCTION("GOOGLEFINANCE(""ASX:MHC"", ""price"")"),0.03)</f>
        <v>0.03</v>
      </c>
      <c r="E1412" s="8">
        <f>IFERROR(__xludf.DUMMYFUNCTION("GOOGLEFINANCE(""ASX:MHC"", ""closeyest"")"),0.03)</f>
        <v>0.03</v>
      </c>
      <c r="F1412" s="5" t="str">
        <f>IFERROR(__xludf.DUMMYFUNCTION("GOOGLEFINANCE(""ASX:MHC"", ""pe"")"),"#N/A")</f>
        <v>#N/A</v>
      </c>
      <c r="G1412" s="9">
        <f>IFERROR(__xludf.DUMMYFUNCTION("GOOGLEFINANCE(""ASX:MHC"", ""high52"")"),0.04)</f>
        <v>0.04</v>
      </c>
      <c r="H1412" s="9">
        <f>IFERROR(__xludf.DUMMYFUNCTION("GOOGLEFINANCE(""ASX:MHC"", ""low52"")"),0.02)</f>
        <v>0.02</v>
      </c>
      <c r="I1412" s="9">
        <f>IFERROR(__xludf.DUMMYFUNCTION("GOOGLEFINANCE(""ASX:MHC"", ""marketcap"")"),1.5194516E7)</f>
        <v>15194516</v>
      </c>
      <c r="J1412" s="5"/>
      <c r="K1412" s="5"/>
      <c r="L1412" s="5"/>
      <c r="M1412" s="5"/>
      <c r="N1412" s="11" t="s">
        <v>19</v>
      </c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>
      <c r="A1413" s="6" t="s">
        <v>2825</v>
      </c>
      <c r="B1413" s="6" t="s">
        <v>2826</v>
      </c>
      <c r="C1413" s="5" t="s">
        <v>36</v>
      </c>
      <c r="D1413" s="7" t="str">
        <f>IFERROR(__xludf.DUMMYFUNCTION("GOOGLEFINANCE(""ASX:MHG"", ""price"")"),"#N/A")</f>
        <v>#N/A</v>
      </c>
      <c r="E1413" s="8" t="str">
        <f>IFERROR(__xludf.DUMMYFUNCTION("GOOGLEFINANCE(""ASX:MHG"", ""closeyest"")"),"#N/A")</f>
        <v>#N/A</v>
      </c>
      <c r="F1413" s="5" t="str">
        <f>IFERROR(__xludf.DUMMYFUNCTION("GOOGLEFINANCE(""ASX:MHG"", ""pe"")"),"#N/A")</f>
        <v>#N/A</v>
      </c>
      <c r="G1413" s="5" t="str">
        <f>IFERROR(__xludf.DUMMYFUNCTION("GOOGLEFINANCE(""ASX:MHG"", ""high52"")"),"#N/A")</f>
        <v>#N/A</v>
      </c>
      <c r="H1413" s="5" t="str">
        <f>IFERROR(__xludf.DUMMYFUNCTION("GOOGLEFINANCE(""ASX:MHG"", ""low52"")"),"#N/A")</f>
        <v>#N/A</v>
      </c>
      <c r="I1413" s="9" t="str">
        <f>IFERROR(__xludf.DUMMYFUNCTION("GOOGLEFINANCE(""ASX:MHG"", ""marketcap"")"),"#N/A")</f>
        <v>#N/A</v>
      </c>
      <c r="J1413" s="12">
        <v>4.0</v>
      </c>
      <c r="K1413" s="12">
        <v>3.97</v>
      </c>
      <c r="L1413" s="12">
        <v>4.19</v>
      </c>
      <c r="M1413" s="12">
        <v>3.39</v>
      </c>
      <c r="N1413" s="11" t="s">
        <v>19</v>
      </c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>
      <c r="A1414" s="6" t="s">
        <v>2827</v>
      </c>
      <c r="B1414" s="6" t="s">
        <v>2828</v>
      </c>
      <c r="C1414" s="5" t="s">
        <v>620</v>
      </c>
      <c r="D1414" s="7">
        <f>IFERROR(__xludf.DUMMYFUNCTION("GOOGLEFINANCE(""ASX:MHJ"", ""price"")"),0.38)</f>
        <v>0.38</v>
      </c>
      <c r="E1414" s="8">
        <f>IFERROR(__xludf.DUMMYFUNCTION("GOOGLEFINANCE(""ASX:MHJ"", ""closeyest"")"),0.39)</f>
        <v>0.39</v>
      </c>
      <c r="F1414" s="9">
        <f>IFERROR(__xludf.DUMMYFUNCTION("GOOGLEFINANCE(""ASX:MHJ"", ""pe"")"),71.16)</f>
        <v>71.16</v>
      </c>
      <c r="G1414" s="9">
        <f>IFERROR(__xludf.DUMMYFUNCTION("GOOGLEFINANCE(""ASX:MHJ"", ""high52"")"),0.58)</f>
        <v>0.58</v>
      </c>
      <c r="H1414" s="9">
        <f>IFERROR(__xludf.DUMMYFUNCTION("GOOGLEFINANCE(""ASX:MHJ"", ""low52"")"),0.32)</f>
        <v>0.32</v>
      </c>
      <c r="I1414" s="9">
        <f>IFERROR(__xludf.DUMMYFUNCTION("GOOGLEFINANCE(""ASX:MHJ"", ""marketcap"")"),1.46240224E8)</f>
        <v>146240224</v>
      </c>
      <c r="J1414" s="5"/>
      <c r="K1414" s="5"/>
      <c r="L1414" s="5"/>
      <c r="M1414" s="5"/>
      <c r="N1414" s="10">
        <v>71.16</v>
      </c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>
      <c r="A1415" s="6" t="s">
        <v>2829</v>
      </c>
      <c r="B1415" s="6" t="s">
        <v>2830</v>
      </c>
      <c r="C1415" s="5" t="s">
        <v>18</v>
      </c>
      <c r="D1415" s="7">
        <f>IFERROR(__xludf.DUMMYFUNCTION("GOOGLEFINANCE(""ASX:MHK"", ""price"")"),0.12)</f>
        <v>0.12</v>
      </c>
      <c r="E1415" s="8">
        <f>IFERROR(__xludf.DUMMYFUNCTION("GOOGLEFINANCE(""ASX:MHK"", ""closeyest"")"),0.1)</f>
        <v>0.1</v>
      </c>
      <c r="F1415" s="5" t="str">
        <f>IFERROR(__xludf.DUMMYFUNCTION("GOOGLEFINANCE(""ASX:MHK"", ""pe"")"),"#N/A")</f>
        <v>#N/A</v>
      </c>
      <c r="G1415" s="9">
        <f>IFERROR(__xludf.DUMMYFUNCTION("GOOGLEFINANCE(""ASX:MHK"", ""high52"")"),0.53)</f>
        <v>0.53</v>
      </c>
      <c r="H1415" s="9">
        <f>IFERROR(__xludf.DUMMYFUNCTION("GOOGLEFINANCE(""ASX:MHK"", ""low52"")"),0.1)</f>
        <v>0.1</v>
      </c>
      <c r="I1415" s="9">
        <f>IFERROR(__xludf.DUMMYFUNCTION("GOOGLEFINANCE(""ASX:MHK"", ""marketcap"")"),1.4807111E7)</f>
        <v>14807111</v>
      </c>
      <c r="J1415" s="5"/>
      <c r="K1415" s="5"/>
      <c r="L1415" s="5"/>
      <c r="M1415" s="5"/>
      <c r="N1415" s="11" t="s">
        <v>19</v>
      </c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>
      <c r="A1416" s="6" t="s">
        <v>2831</v>
      </c>
      <c r="B1416" s="6" t="s">
        <v>2832</v>
      </c>
      <c r="C1416" s="5" t="s">
        <v>18</v>
      </c>
      <c r="D1416" s="7">
        <f>IFERROR(__xludf.DUMMYFUNCTION("GOOGLEFINANCE(""ASX:MHM"", ""price"")"),0.18)</f>
        <v>0.18</v>
      </c>
      <c r="E1416" s="8">
        <f>IFERROR(__xludf.DUMMYFUNCTION("GOOGLEFINANCE(""ASX:MHM"", ""closeyest"")"),0.18)</f>
        <v>0.18</v>
      </c>
      <c r="F1416" s="5" t="str">
        <f>IFERROR(__xludf.DUMMYFUNCTION("GOOGLEFINANCE(""ASX:MHM"", ""pe"")"),"#N/A")</f>
        <v>#N/A</v>
      </c>
      <c r="G1416" s="9">
        <f>IFERROR(__xludf.DUMMYFUNCTION("GOOGLEFINANCE(""ASX:MHM"", ""high52"")"),0.35)</f>
        <v>0.35</v>
      </c>
      <c r="H1416" s="9">
        <f>IFERROR(__xludf.DUMMYFUNCTION("GOOGLEFINANCE(""ASX:MHM"", ""low52"")"),0.13)</f>
        <v>0.13</v>
      </c>
      <c r="I1416" s="9">
        <f>IFERROR(__xludf.DUMMYFUNCTION("GOOGLEFINANCE(""ASX:MHM"", ""marketcap"")"),7229250.0)</f>
        <v>7229250</v>
      </c>
      <c r="J1416" s="5"/>
      <c r="K1416" s="5"/>
      <c r="L1416" s="5"/>
      <c r="M1416" s="5"/>
      <c r="N1416" s="11" t="s">
        <v>19</v>
      </c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>
      <c r="A1417" s="6" t="s">
        <v>2833</v>
      </c>
      <c r="B1417" s="6" t="s">
        <v>2834</v>
      </c>
      <c r="C1417" s="5" t="s">
        <v>36</v>
      </c>
      <c r="D1417" s="7">
        <f>IFERROR(__xludf.DUMMYFUNCTION("GOOGLEFINANCE(""ASX:MHOT"", ""price"")"),143.44)</f>
        <v>143.44</v>
      </c>
      <c r="E1417" s="8">
        <f>IFERROR(__xludf.DUMMYFUNCTION("GOOGLEFINANCE(""ASX:MHOT"", ""closeyest"")"),143.44)</f>
        <v>143.44</v>
      </c>
      <c r="F1417" s="5" t="str">
        <f>IFERROR(__xludf.DUMMYFUNCTION("GOOGLEFINANCE(""ASX:MHOT"", ""pe"")"),"#N/A")</f>
        <v>#N/A</v>
      </c>
      <c r="G1417" s="9">
        <f>IFERROR(__xludf.DUMMYFUNCTION("GOOGLEFINANCE(""ASX:MHOT"", ""high52"")"),143.79)</f>
        <v>143.79</v>
      </c>
      <c r="H1417" s="9">
        <f>IFERROR(__xludf.DUMMYFUNCTION("GOOGLEFINANCE(""ASX:MHOT"", ""low52"")"),110.0)</f>
        <v>110</v>
      </c>
      <c r="I1417" s="9" t="str">
        <f>IFERROR(__xludf.DUMMYFUNCTION("GOOGLEFINANCE(""ASX:MHOT"", ""marketcap"")"),"#N/A")</f>
        <v>#N/A</v>
      </c>
      <c r="J1417" s="5"/>
      <c r="K1417" s="5"/>
      <c r="L1417" s="5"/>
      <c r="M1417" s="5"/>
      <c r="N1417" s="11" t="s">
        <v>19</v>
      </c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>
      <c r="A1418" s="6" t="s">
        <v>2835</v>
      </c>
      <c r="B1418" s="6" t="s">
        <v>2836</v>
      </c>
      <c r="C1418" s="5" t="s">
        <v>18</v>
      </c>
      <c r="D1418" s="7">
        <f>IFERROR(__xludf.DUMMYFUNCTION("GOOGLEFINANCE(""ASX:MI6"", ""price"")"),0.43)</f>
        <v>0.43</v>
      </c>
      <c r="E1418" s="8">
        <f>IFERROR(__xludf.DUMMYFUNCTION("GOOGLEFINANCE(""ASX:MI6"", ""closeyest"")"),0.44)</f>
        <v>0.44</v>
      </c>
      <c r="F1418" s="5" t="str">
        <f>IFERROR(__xludf.DUMMYFUNCTION("GOOGLEFINANCE(""ASX:MI6"", ""pe"")"),"#N/A")</f>
        <v>#N/A</v>
      </c>
      <c r="G1418" s="9">
        <f>IFERROR(__xludf.DUMMYFUNCTION("GOOGLEFINANCE(""ASX:MI6"", ""high52"")"),0.45)</f>
        <v>0.45</v>
      </c>
      <c r="H1418" s="9">
        <f>IFERROR(__xludf.DUMMYFUNCTION("GOOGLEFINANCE(""ASX:MI6"", ""low52"")"),0.1)</f>
        <v>0.1</v>
      </c>
      <c r="I1418" s="9">
        <f>IFERROR(__xludf.DUMMYFUNCTION("GOOGLEFINANCE(""ASX:MI6"", ""marketcap"")"),8.78731674E8)</f>
        <v>878731674</v>
      </c>
      <c r="J1418" s="5"/>
      <c r="K1418" s="5"/>
      <c r="L1418" s="5"/>
      <c r="M1418" s="5"/>
      <c r="N1418" s="11" t="s">
        <v>19</v>
      </c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>
      <c r="A1419" s="6" t="s">
        <v>2837</v>
      </c>
      <c r="B1419" s="6" t="s">
        <v>2838</v>
      </c>
      <c r="C1419" s="5" t="s">
        <v>36</v>
      </c>
      <c r="D1419" s="7" t="str">
        <f>IFERROR(__xludf.DUMMYFUNCTION("GOOGLEFINANCE(""ASX:MICH"", ""price"")"),"#N/A")</f>
        <v>#N/A</v>
      </c>
      <c r="E1419" s="8" t="str">
        <f>IFERROR(__xludf.DUMMYFUNCTION("GOOGLEFINANCE(""ASX:MICH"", ""closeyest"")"),"#N/A")</f>
        <v>#N/A</v>
      </c>
      <c r="F1419" s="5" t="str">
        <f>IFERROR(__xludf.DUMMYFUNCTION("GOOGLEFINANCE(""ASX:MICH"", ""pe"")"),"#N/A")</f>
        <v>#N/A</v>
      </c>
      <c r="G1419" s="5" t="str">
        <f>IFERROR(__xludf.DUMMYFUNCTION("GOOGLEFINANCE(""ASX:MICH"", ""high52"")"),"#N/A")</f>
        <v>#N/A</v>
      </c>
      <c r="H1419" s="5" t="str">
        <f>IFERROR(__xludf.DUMMYFUNCTION("GOOGLEFINANCE(""ASX:MICH"", ""low52"")"),"#N/A")</f>
        <v>#N/A</v>
      </c>
      <c r="I1419" s="9" t="str">
        <f>IFERROR(__xludf.DUMMYFUNCTION("GOOGLEFINANCE(""ASX:MICH"", ""marketcap"")"),"#N/A")</f>
        <v>#N/A</v>
      </c>
      <c r="J1419" s="12">
        <v>3.17</v>
      </c>
      <c r="K1419" s="12">
        <v>3.15</v>
      </c>
      <c r="L1419" s="12">
        <v>3.27</v>
      </c>
      <c r="M1419" s="12">
        <v>2.7</v>
      </c>
      <c r="N1419" s="11" t="s">
        <v>19</v>
      </c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>
      <c r="A1420" s="6" t="s">
        <v>2839</v>
      </c>
      <c r="B1420" s="6" t="s">
        <v>2840</v>
      </c>
      <c r="C1420" s="5" t="s">
        <v>36</v>
      </c>
      <c r="D1420" s="7">
        <f>IFERROR(__xludf.DUMMYFUNCTION("GOOGLEFINANCE(""ASX:MIDS"", ""price"")"),9.57)</f>
        <v>9.57</v>
      </c>
      <c r="E1420" s="8">
        <f>IFERROR(__xludf.DUMMYFUNCTION("GOOGLEFINANCE(""ASX:MIDS"", ""closeyest"")"),9.61)</f>
        <v>9.61</v>
      </c>
      <c r="F1420" s="5" t="str">
        <f>IFERROR(__xludf.DUMMYFUNCTION("GOOGLEFINANCE(""ASX:MIDS"", ""pe"")"),"#N/A")</f>
        <v>#N/A</v>
      </c>
      <c r="G1420" s="9">
        <f>IFERROR(__xludf.DUMMYFUNCTION("GOOGLEFINANCE(""ASX:MIDS"", ""high52"")"),9.67)</f>
        <v>9.67</v>
      </c>
      <c r="H1420" s="9">
        <f>IFERROR(__xludf.DUMMYFUNCTION("GOOGLEFINANCE(""ASX:MIDS"", ""low52"")"),8.64)</f>
        <v>8.64</v>
      </c>
      <c r="I1420" s="9" t="str">
        <f>IFERROR(__xludf.DUMMYFUNCTION("GOOGLEFINANCE(""ASX:MIDS"", ""marketcap"")"),"#N/A")</f>
        <v>#N/A</v>
      </c>
      <c r="J1420" s="5"/>
      <c r="K1420" s="5"/>
      <c r="L1420" s="5"/>
      <c r="M1420" s="5"/>
      <c r="N1420" s="11" t="s">
        <v>19</v>
      </c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>
      <c r="A1421" s="6" t="s">
        <v>2841</v>
      </c>
      <c r="B1421" s="6" t="s">
        <v>2842</v>
      </c>
      <c r="C1421" s="5" t="s">
        <v>18</v>
      </c>
      <c r="D1421" s="7">
        <f>IFERROR(__xludf.DUMMYFUNCTION("GOOGLEFINANCE(""ASX:MIN"", ""price"")"),57.26)</f>
        <v>57.26</v>
      </c>
      <c r="E1421" s="8">
        <f>IFERROR(__xludf.DUMMYFUNCTION("GOOGLEFINANCE(""ASX:MIN"", ""closeyest"")"),57.77)</f>
        <v>57.77</v>
      </c>
      <c r="F1421" s="5" t="str">
        <f>IFERROR(__xludf.DUMMYFUNCTION("GOOGLEFINANCE(""ASX:MIN"", ""pe"")"),"#N/A")</f>
        <v>#N/A</v>
      </c>
      <c r="G1421" s="9">
        <f>IFERROR(__xludf.DUMMYFUNCTION("GOOGLEFINANCE(""ASX:MIN"", ""high52"")"),57.97)</f>
        <v>57.97</v>
      </c>
      <c r="H1421" s="9">
        <f>IFERROR(__xludf.DUMMYFUNCTION("GOOGLEFINANCE(""ASX:MIN"", ""low52"")"),14.05)</f>
        <v>14.05</v>
      </c>
      <c r="I1421" s="9">
        <f>IFERROR(__xludf.DUMMYFUNCTION("GOOGLEFINANCE(""ASX:MIN"", ""marketcap"")"),1.131639081E10)</f>
        <v>11316390810</v>
      </c>
      <c r="J1421" s="5"/>
      <c r="K1421" s="5"/>
      <c r="L1421" s="5"/>
      <c r="M1421" s="5"/>
      <c r="N1421" s="11" t="s">
        <v>19</v>
      </c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>
      <c r="A1422" s="6" t="s">
        <v>2843</v>
      </c>
      <c r="B1422" s="6" t="s">
        <v>2844</v>
      </c>
      <c r="C1422" s="5" t="s">
        <v>18</v>
      </c>
      <c r="D1422" s="7">
        <f>IFERROR(__xludf.DUMMYFUNCTION("GOOGLEFINANCE(""ASX:MIO"", ""price"")"),0.03)</f>
        <v>0.03</v>
      </c>
      <c r="E1422" s="8">
        <f>IFERROR(__xludf.DUMMYFUNCTION("GOOGLEFINANCE(""ASX:MIO"", ""closeyest"")"),0.03)</f>
        <v>0.03</v>
      </c>
      <c r="F1422" s="5" t="str">
        <f>IFERROR(__xludf.DUMMYFUNCTION("GOOGLEFINANCE(""ASX:MIO"", ""pe"")"),"#N/A")</f>
        <v>#N/A</v>
      </c>
      <c r="G1422" s="9">
        <f>IFERROR(__xludf.DUMMYFUNCTION("GOOGLEFINANCE(""ASX:MIO"", ""high52"")"),0.08)</f>
        <v>0.08</v>
      </c>
      <c r="H1422" s="9">
        <f>IFERROR(__xludf.DUMMYFUNCTION("GOOGLEFINANCE(""ASX:MIO"", ""low52"")"),0.01)</f>
        <v>0.01</v>
      </c>
      <c r="I1422" s="9">
        <f>IFERROR(__xludf.DUMMYFUNCTION("GOOGLEFINANCE(""ASX:MIO"", ""marketcap"")"),7944870.0)</f>
        <v>7944870</v>
      </c>
      <c r="J1422" s="5"/>
      <c r="K1422" s="5"/>
      <c r="L1422" s="5"/>
      <c r="M1422" s="5"/>
      <c r="N1422" s="11" t="s">
        <v>19</v>
      </c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>
      <c r="A1423" s="6" t="s">
        <v>2845</v>
      </c>
      <c r="B1423" s="6" t="s">
        <v>2846</v>
      </c>
      <c r="C1423" s="5" t="s">
        <v>171</v>
      </c>
      <c r="D1423" s="7">
        <f>IFERROR(__xludf.DUMMYFUNCTION("GOOGLEFINANCE(""ASX:MIR"", ""price"")"),3.14)</f>
        <v>3.14</v>
      </c>
      <c r="E1423" s="8">
        <f>IFERROR(__xludf.DUMMYFUNCTION("GOOGLEFINANCE(""ASX:MIR"", ""closeyest"")"),3.13)</f>
        <v>3.13</v>
      </c>
      <c r="F1423" s="9">
        <f>IFERROR(__xludf.DUMMYFUNCTION("GOOGLEFINANCE(""ASX:MIR"", ""pe"")"),77.61)</f>
        <v>77.61</v>
      </c>
      <c r="G1423" s="9">
        <f>IFERROR(__xludf.DUMMYFUNCTION("GOOGLEFINANCE(""ASX:MIR"", ""high52"")"),3.52)</f>
        <v>3.52</v>
      </c>
      <c r="H1423" s="9">
        <f>IFERROR(__xludf.DUMMYFUNCTION("GOOGLEFINANCE(""ASX:MIR"", ""low52"")"),3.02)</f>
        <v>3.02</v>
      </c>
      <c r="I1423" s="9">
        <f>IFERROR(__xludf.DUMMYFUNCTION("GOOGLEFINANCE(""ASX:MIR"", ""marketcap"")"),7.00970169E8)</f>
        <v>700970169</v>
      </c>
      <c r="J1423" s="5"/>
      <c r="K1423" s="5"/>
      <c r="L1423" s="5"/>
      <c r="M1423" s="5"/>
      <c r="N1423" s="10">
        <v>77.11</v>
      </c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>
      <c r="A1424" s="6" t="s">
        <v>2847</v>
      </c>
      <c r="B1424" s="6" t="s">
        <v>2848</v>
      </c>
      <c r="C1424" s="5" t="s">
        <v>36</v>
      </c>
      <c r="D1424" s="7" t="str">
        <f>IFERROR(__xludf.DUMMYFUNCTION("GOOGLEFINANCE(""ASX:MKAX"", ""price"")"),"#N/A")</f>
        <v>#N/A</v>
      </c>
      <c r="E1424" s="8" t="str">
        <f>IFERROR(__xludf.DUMMYFUNCTION("GOOGLEFINANCE(""ASX:MKAX"", ""closeyest"")"),"#N/A")</f>
        <v>#N/A</v>
      </c>
      <c r="F1424" s="5" t="str">
        <f>IFERROR(__xludf.DUMMYFUNCTION("GOOGLEFINANCE(""ASX:MKAX"", ""pe"")"),"#N/A")</f>
        <v>#N/A</v>
      </c>
      <c r="G1424" s="5" t="str">
        <f>IFERROR(__xludf.DUMMYFUNCTION("GOOGLEFINANCE(""ASX:MKAX"", ""high52"")"),"#N/A")</f>
        <v>#N/A</v>
      </c>
      <c r="H1424" s="5" t="str">
        <f>IFERROR(__xludf.DUMMYFUNCTION("GOOGLEFINANCE(""ASX:MKAX"", ""low52"")"),"#N/A")</f>
        <v>#N/A</v>
      </c>
      <c r="I1424" s="9" t="str">
        <f>IFERROR(__xludf.DUMMYFUNCTION("GOOGLEFINANCE(""ASX:MKAX"", ""marketcap"")"),"#N/A")</f>
        <v>#N/A</v>
      </c>
      <c r="J1424" s="12">
        <v>3.85</v>
      </c>
      <c r="K1424" s="12">
        <v>3.8</v>
      </c>
      <c r="L1424" s="12">
        <v>4.78</v>
      </c>
      <c r="M1424" s="12">
        <v>3.25</v>
      </c>
      <c r="N1424" s="11" t="s">
        <v>19</v>
      </c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>
      <c r="A1425" s="6" t="s">
        <v>2849</v>
      </c>
      <c r="B1425" s="6" t="s">
        <v>2850</v>
      </c>
      <c r="C1425" s="5" t="s">
        <v>18</v>
      </c>
      <c r="D1425" s="7">
        <f>IFERROR(__xludf.DUMMYFUNCTION("GOOGLEFINANCE(""ASX:MKR"", ""price"")"),0.14)</f>
        <v>0.14</v>
      </c>
      <c r="E1425" s="8">
        <f>IFERROR(__xludf.DUMMYFUNCTION("GOOGLEFINANCE(""ASX:MKR"", ""closeyest"")"),0.11)</f>
        <v>0.11</v>
      </c>
      <c r="F1425" s="5" t="str">
        <f>IFERROR(__xludf.DUMMYFUNCTION("GOOGLEFINANCE(""ASX:MKR"", ""pe"")"),"#N/A")</f>
        <v>#N/A</v>
      </c>
      <c r="G1425" s="9">
        <f>IFERROR(__xludf.DUMMYFUNCTION("GOOGLEFINANCE(""ASX:MKR"", ""high52"")"),0.14)</f>
        <v>0.14</v>
      </c>
      <c r="H1425" s="9">
        <f>IFERROR(__xludf.DUMMYFUNCTION("GOOGLEFINANCE(""ASX:MKR"", ""low52"")"),0.02)</f>
        <v>0.02</v>
      </c>
      <c r="I1425" s="9">
        <f>IFERROR(__xludf.DUMMYFUNCTION("GOOGLEFINANCE(""ASX:MKR"", ""marketcap"")"),2.03661194E8)</f>
        <v>203661194</v>
      </c>
      <c r="J1425" s="5"/>
      <c r="K1425" s="5"/>
      <c r="L1425" s="5"/>
      <c r="M1425" s="5"/>
      <c r="N1425" s="11" t="s">
        <v>19</v>
      </c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>
      <c r="A1426" s="6" t="s">
        <v>2851</v>
      </c>
      <c r="B1426" s="6" t="s">
        <v>2852</v>
      </c>
      <c r="C1426" s="5" t="s">
        <v>18</v>
      </c>
      <c r="D1426" s="7">
        <f>IFERROR(__xludf.DUMMYFUNCTION("GOOGLEFINANCE(""ASX:ML8"", ""price"")"),0.18)</f>
        <v>0.18</v>
      </c>
      <c r="E1426" s="8">
        <f>IFERROR(__xludf.DUMMYFUNCTION("GOOGLEFINANCE(""ASX:ML8"", ""closeyest"")"),0.18)</f>
        <v>0.18</v>
      </c>
      <c r="F1426" s="5" t="str">
        <f>IFERROR(__xludf.DUMMYFUNCTION("GOOGLEFINANCE(""ASX:ML8"", ""pe"")"),"#N/A")</f>
        <v>#N/A</v>
      </c>
      <c r="G1426" s="9">
        <f>IFERROR(__xludf.DUMMYFUNCTION("GOOGLEFINANCE(""ASX:ML8"", ""high52"")"),0.18)</f>
        <v>0.18</v>
      </c>
      <c r="H1426" s="9">
        <f>IFERROR(__xludf.DUMMYFUNCTION("GOOGLEFINANCE(""ASX:ML8"", ""low52"")"),0.16)</f>
        <v>0.16</v>
      </c>
      <c r="I1426" s="9" t="str">
        <f>IFERROR(__xludf.DUMMYFUNCTION("GOOGLEFINANCE(""ASX:ML8"", ""marketcap"")"),"#N/A")</f>
        <v>#N/A</v>
      </c>
      <c r="J1426" s="5"/>
      <c r="K1426" s="5"/>
      <c r="L1426" s="5"/>
      <c r="M1426" s="5"/>
      <c r="N1426" s="11" t="s">
        <v>19</v>
      </c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>
      <c r="A1427" s="6" t="s">
        <v>2853</v>
      </c>
      <c r="B1427" s="6" t="s">
        <v>2854</v>
      </c>
      <c r="C1427" s="5" t="s">
        <v>396</v>
      </c>
      <c r="D1427" s="7">
        <f>IFERROR(__xludf.DUMMYFUNCTION("GOOGLEFINANCE(""ASX:MLG"", ""price"")"),0.9)</f>
        <v>0.9</v>
      </c>
      <c r="E1427" s="8">
        <f>IFERROR(__xludf.DUMMYFUNCTION("GOOGLEFINANCE(""ASX:MLG"", ""closeyest"")"),0.91)</f>
        <v>0.91</v>
      </c>
      <c r="F1427" s="9">
        <f>IFERROR(__xludf.DUMMYFUNCTION("GOOGLEFINANCE(""ASX:MLG"", ""pe"")"),12.29)</f>
        <v>12.29</v>
      </c>
      <c r="G1427" s="9">
        <f>IFERROR(__xludf.DUMMYFUNCTION("GOOGLEFINANCE(""ASX:MLG"", ""high52"")"),1.09)</f>
        <v>1.09</v>
      </c>
      <c r="H1427" s="9">
        <f>IFERROR(__xludf.DUMMYFUNCTION("GOOGLEFINANCE(""ASX:MLG"", ""low52"")"),0.54)</f>
        <v>0.54</v>
      </c>
      <c r="I1427" s="9">
        <f>IFERROR(__xludf.DUMMYFUNCTION("GOOGLEFINANCE(""ASX:MLG"", ""marketcap"")"),1.38666911E8)</f>
        <v>138666911</v>
      </c>
      <c r="J1427" s="5"/>
      <c r="K1427" s="5"/>
      <c r="L1427" s="5"/>
      <c r="M1427" s="5"/>
      <c r="N1427" s="10">
        <v>11.87</v>
      </c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>
      <c r="A1428" s="6" t="s">
        <v>2855</v>
      </c>
      <c r="B1428" s="6" t="s">
        <v>2856</v>
      </c>
      <c r="C1428" s="5" t="s">
        <v>18</v>
      </c>
      <c r="D1428" s="7">
        <f>IFERROR(__xludf.DUMMYFUNCTION("GOOGLEFINANCE(""ASX:MLS"", ""price"")"),0.03)</f>
        <v>0.03</v>
      </c>
      <c r="E1428" s="8">
        <f>IFERROR(__xludf.DUMMYFUNCTION("GOOGLEFINANCE(""ASX:MLS"", ""closeyest"")"),0.03)</f>
        <v>0.03</v>
      </c>
      <c r="F1428" s="5" t="str">
        <f>IFERROR(__xludf.DUMMYFUNCTION("GOOGLEFINANCE(""ASX:MLS"", ""pe"")"),"#N/A")</f>
        <v>#N/A</v>
      </c>
      <c r="G1428" s="9">
        <f>IFERROR(__xludf.DUMMYFUNCTION("GOOGLEFINANCE(""ASX:MLS"", ""high52"")"),0.04)</f>
        <v>0.04</v>
      </c>
      <c r="H1428" s="9">
        <f>IFERROR(__xludf.DUMMYFUNCTION("GOOGLEFINANCE(""ASX:MLS"", ""low52"")"),0.02)</f>
        <v>0.02</v>
      </c>
      <c r="I1428" s="9">
        <f>IFERROR(__xludf.DUMMYFUNCTION("GOOGLEFINANCE(""ASX:MLS"", ""marketcap"")"),1.7122237E7)</f>
        <v>17122237</v>
      </c>
      <c r="J1428" s="5"/>
      <c r="K1428" s="5"/>
      <c r="L1428" s="5"/>
      <c r="M1428" s="5"/>
      <c r="N1428" s="11" t="s">
        <v>19</v>
      </c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>
      <c r="A1429" s="6" t="s">
        <v>2857</v>
      </c>
      <c r="B1429" s="6" t="s">
        <v>2858</v>
      </c>
      <c r="C1429" s="5" t="s">
        <v>18</v>
      </c>
      <c r="D1429" s="7">
        <f>IFERROR(__xludf.DUMMYFUNCTION("GOOGLEFINANCE(""ASX:MLX"", ""price"")"),1.12)</f>
        <v>1.12</v>
      </c>
      <c r="E1429" s="8">
        <f>IFERROR(__xludf.DUMMYFUNCTION("GOOGLEFINANCE(""ASX:MLX"", ""closeyest"")"),1.12)</f>
        <v>1.12</v>
      </c>
      <c r="F1429" s="9">
        <f>IFERROR(__xludf.DUMMYFUNCTION("GOOGLEFINANCE(""ASX:MLX"", ""pe"")"),7.2)</f>
        <v>7.2</v>
      </c>
      <c r="G1429" s="9">
        <f>IFERROR(__xludf.DUMMYFUNCTION("GOOGLEFINANCE(""ASX:MLX"", ""high52"")"),1.18)</f>
        <v>1.18</v>
      </c>
      <c r="H1429" s="9">
        <f>IFERROR(__xludf.DUMMYFUNCTION("GOOGLEFINANCE(""ASX:MLX"", ""low52"")"),0.4)</f>
        <v>0.4</v>
      </c>
      <c r="I1429" s="9">
        <f>IFERROR(__xludf.DUMMYFUNCTION("GOOGLEFINANCE(""ASX:MLX"", ""marketcap"")"),9.88515812E8)</f>
        <v>988515812</v>
      </c>
      <c r="J1429" s="5"/>
      <c r="K1429" s="5"/>
      <c r="L1429" s="5"/>
      <c r="M1429" s="5"/>
      <c r="N1429" s="10">
        <v>7.13</v>
      </c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>
      <c r="A1430" s="6" t="s">
        <v>2859</v>
      </c>
      <c r="B1430" s="6" t="s">
        <v>2860</v>
      </c>
      <c r="C1430" s="5" t="s">
        <v>18</v>
      </c>
      <c r="D1430" s="7">
        <f>IFERROR(__xludf.DUMMYFUNCTION("GOOGLEFINANCE(""ASX:MM1"", ""price"")"),0.6)</f>
        <v>0.6</v>
      </c>
      <c r="E1430" s="8">
        <f>IFERROR(__xludf.DUMMYFUNCTION("GOOGLEFINANCE(""ASX:MM1"", ""closeyest"")"),0.62)</f>
        <v>0.62</v>
      </c>
      <c r="F1430" s="5" t="str">
        <f>IFERROR(__xludf.DUMMYFUNCTION("GOOGLEFINANCE(""ASX:MM1"", ""pe"")"),"#N/A")</f>
        <v>#N/A</v>
      </c>
      <c r="G1430" s="9">
        <f>IFERROR(__xludf.DUMMYFUNCTION("GOOGLEFINANCE(""ASX:MM1"", ""high52"")"),0.62)</f>
        <v>0.62</v>
      </c>
      <c r="H1430" s="9">
        <f>IFERROR(__xludf.DUMMYFUNCTION("GOOGLEFINANCE(""ASX:MM1"", ""low52"")"),0.07)</f>
        <v>0.07</v>
      </c>
      <c r="I1430" s="9">
        <f>IFERROR(__xludf.DUMMYFUNCTION("GOOGLEFINANCE(""ASX:MM1"", ""marketcap"")"),1.21108804E8)</f>
        <v>121108804</v>
      </c>
      <c r="J1430" s="5"/>
      <c r="K1430" s="5"/>
      <c r="L1430" s="5"/>
      <c r="M1430" s="5"/>
      <c r="N1430" s="11" t="s">
        <v>19</v>
      </c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>
      <c r="A1431" s="6" t="s">
        <v>2861</v>
      </c>
      <c r="B1431" s="6" t="s">
        <v>2862</v>
      </c>
      <c r="C1431" s="5" t="s">
        <v>88</v>
      </c>
      <c r="D1431" s="7">
        <f>IFERROR(__xludf.DUMMYFUNCTION("GOOGLEFINANCE(""ASX:MM8"", ""price"")"),0.41)</f>
        <v>0.41</v>
      </c>
      <c r="E1431" s="8">
        <f>IFERROR(__xludf.DUMMYFUNCTION("GOOGLEFINANCE(""ASX:MM8"", ""closeyest"")"),0.41)</f>
        <v>0.41</v>
      </c>
      <c r="F1431" s="5" t="str">
        <f>IFERROR(__xludf.DUMMYFUNCTION("GOOGLEFINANCE(""ASX:MM8"", ""pe"")"),"#N/A")</f>
        <v>#N/A</v>
      </c>
      <c r="G1431" s="9">
        <f>IFERROR(__xludf.DUMMYFUNCTION("GOOGLEFINANCE(""ASX:MM8"", ""high52"")"),0.6)</f>
        <v>0.6</v>
      </c>
      <c r="H1431" s="9">
        <f>IFERROR(__xludf.DUMMYFUNCTION("GOOGLEFINANCE(""ASX:MM8"", ""low52"")"),0.11)</f>
        <v>0.11</v>
      </c>
      <c r="I1431" s="9">
        <f>IFERROR(__xludf.DUMMYFUNCTION("GOOGLEFINANCE(""ASX:MM8"", ""marketcap"")"),3.09794666E8)</f>
        <v>309794666</v>
      </c>
      <c r="J1431" s="5"/>
      <c r="K1431" s="5"/>
      <c r="L1431" s="5"/>
      <c r="M1431" s="5"/>
      <c r="N1431" s="11" t="s">
        <v>19</v>
      </c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>
      <c r="A1432" s="6" t="s">
        <v>2863</v>
      </c>
      <c r="B1432" s="6" t="s">
        <v>2864</v>
      </c>
      <c r="C1432" s="5" t="s">
        <v>18</v>
      </c>
      <c r="D1432" s="7">
        <f>IFERROR(__xludf.DUMMYFUNCTION("GOOGLEFINANCE(""ASX:MMA"", ""price"")"),0.48)</f>
        <v>0.48</v>
      </c>
      <c r="E1432" s="8">
        <f>IFERROR(__xludf.DUMMYFUNCTION("GOOGLEFINANCE(""ASX:MMA"", ""closeyest"")"),0.47)</f>
        <v>0.47</v>
      </c>
      <c r="F1432" s="5" t="str">
        <f>IFERROR(__xludf.DUMMYFUNCTION("GOOGLEFINANCE(""ASX:MMA"", ""pe"")"),"#N/A")</f>
        <v>#N/A</v>
      </c>
      <c r="G1432" s="9">
        <f>IFERROR(__xludf.DUMMYFUNCTION("GOOGLEFINANCE(""ASX:MMA"", ""high52"")"),0.48)</f>
        <v>0.48</v>
      </c>
      <c r="H1432" s="9">
        <f>IFERROR(__xludf.DUMMYFUNCTION("GOOGLEFINANCE(""ASX:MMA"", ""low52"")"),0.2)</f>
        <v>0.2</v>
      </c>
      <c r="I1432" s="9">
        <f>IFERROR(__xludf.DUMMYFUNCTION("GOOGLEFINANCE(""ASX:MMA"", ""marketcap"")"),1.19437371E8)</f>
        <v>119437371</v>
      </c>
      <c r="J1432" s="5"/>
      <c r="K1432" s="5"/>
      <c r="L1432" s="5"/>
      <c r="M1432" s="5"/>
      <c r="N1432" s="11" t="s">
        <v>19</v>
      </c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>
      <c r="A1433" s="6" t="s">
        <v>2865</v>
      </c>
      <c r="B1433" s="6" t="s">
        <v>2866</v>
      </c>
      <c r="C1433" s="5" t="s">
        <v>241</v>
      </c>
      <c r="D1433" s="7">
        <f>IFERROR(__xludf.DUMMYFUNCTION("GOOGLEFINANCE(""ASX:MME"", ""price"")"),0.12)</f>
        <v>0.12</v>
      </c>
      <c r="E1433" s="8">
        <f>IFERROR(__xludf.DUMMYFUNCTION("GOOGLEFINANCE(""ASX:MME"", ""closeyest"")"),0.12)</f>
        <v>0.12</v>
      </c>
      <c r="F1433" s="5" t="str">
        <f>IFERROR(__xludf.DUMMYFUNCTION("GOOGLEFINANCE(""ASX:MME"", ""pe"")"),"#N/A")</f>
        <v>#N/A</v>
      </c>
      <c r="G1433" s="9">
        <f>IFERROR(__xludf.DUMMYFUNCTION("GOOGLEFINANCE(""ASX:MME"", ""high52"")"),0.24)</f>
        <v>0.24</v>
      </c>
      <c r="H1433" s="9">
        <f>IFERROR(__xludf.DUMMYFUNCTION("GOOGLEFINANCE(""ASX:MME"", ""low52"")"),0.1)</f>
        <v>0.1</v>
      </c>
      <c r="I1433" s="9">
        <f>IFERROR(__xludf.DUMMYFUNCTION("GOOGLEFINANCE(""ASX:MME"", ""marketcap"")"),8.9419114E7)</f>
        <v>89419114</v>
      </c>
      <c r="J1433" s="5"/>
      <c r="K1433" s="5"/>
      <c r="L1433" s="5"/>
      <c r="M1433" s="5"/>
      <c r="N1433" s="11" t="s">
        <v>19</v>
      </c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>
      <c r="A1434" s="6" t="s">
        <v>2867</v>
      </c>
      <c r="B1434" s="6" t="s">
        <v>2868</v>
      </c>
      <c r="C1434" s="5" t="s">
        <v>75</v>
      </c>
      <c r="D1434" s="7">
        <f>IFERROR(__xludf.DUMMYFUNCTION("GOOGLEFINANCE(""ASX:MMI"", ""price"")"),0.07)</f>
        <v>0.07</v>
      </c>
      <c r="E1434" s="8">
        <f>IFERROR(__xludf.DUMMYFUNCTION("GOOGLEFINANCE(""ASX:MMI"", ""closeyest"")"),0.08)</f>
        <v>0.08</v>
      </c>
      <c r="F1434" s="9">
        <f>IFERROR(__xludf.DUMMYFUNCTION("GOOGLEFINANCE(""ASX:MMI"", ""pe"")"),3.05)</f>
        <v>3.05</v>
      </c>
      <c r="G1434" s="9">
        <f>IFERROR(__xludf.DUMMYFUNCTION("GOOGLEFINANCE(""ASX:MMI"", ""high52"")"),0.1)</f>
        <v>0.1</v>
      </c>
      <c r="H1434" s="9">
        <f>IFERROR(__xludf.DUMMYFUNCTION("GOOGLEFINANCE(""ASX:MMI"", ""low52"")"),0.04)</f>
        <v>0.04</v>
      </c>
      <c r="I1434" s="9">
        <f>IFERROR(__xludf.DUMMYFUNCTION("GOOGLEFINANCE(""ASX:MMI"", ""marketcap"")"),4.23477773E8)</f>
        <v>423477773</v>
      </c>
      <c r="J1434" s="5"/>
      <c r="K1434" s="5"/>
      <c r="L1434" s="5"/>
      <c r="M1434" s="5"/>
      <c r="N1434" s="10">
        <v>3.17</v>
      </c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>
      <c r="A1435" s="6" t="s">
        <v>2869</v>
      </c>
      <c r="B1435" s="6" t="s">
        <v>2870</v>
      </c>
      <c r="C1435" s="5" t="s">
        <v>36</v>
      </c>
      <c r="D1435" s="7" t="str">
        <f>IFERROR(__xludf.DUMMYFUNCTION("GOOGLEFINANCE(""ASX:MMKT"", ""price"")"),"#N/A")</f>
        <v>#N/A</v>
      </c>
      <c r="E1435" s="8" t="str">
        <f>IFERROR(__xludf.DUMMYFUNCTION("GOOGLEFINANCE(""ASX:MMKT"", ""closeyest"")"),"#N/A")</f>
        <v>#N/A</v>
      </c>
      <c r="F1435" s="5" t="str">
        <f>IFERROR(__xludf.DUMMYFUNCTION("GOOGLEFINANCE(""ASX:MMKT"", ""pe"")"),"#N/A")</f>
        <v>#N/A</v>
      </c>
      <c r="G1435" s="5" t="str">
        <f>IFERROR(__xludf.DUMMYFUNCTION("GOOGLEFINANCE(""ASX:MMKT"", ""high52"")"),"#N/A")</f>
        <v>#N/A</v>
      </c>
      <c r="H1435" s="5" t="str">
        <f>IFERROR(__xludf.DUMMYFUNCTION("GOOGLEFINANCE(""ASX:MMKT"", ""low52"")"),"#N/A")</f>
        <v>#N/A</v>
      </c>
      <c r="I1435" s="9" t="str">
        <f>IFERROR(__xludf.DUMMYFUNCTION("GOOGLEFINANCE(""ASX:MMKT"", ""marketcap"")"),"#N/A")</f>
        <v>#N/A</v>
      </c>
      <c r="J1435" s="10">
        <v>50.05</v>
      </c>
      <c r="K1435" s="10">
        <v>50.05</v>
      </c>
      <c r="L1435" s="10">
        <v>50.23</v>
      </c>
      <c r="M1435" s="10">
        <v>49.99</v>
      </c>
      <c r="N1435" s="11" t="s">
        <v>19</v>
      </c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>
      <c r="A1436" s="6" t="s">
        <v>2871</v>
      </c>
      <c r="B1436" s="6" t="s">
        <v>2872</v>
      </c>
      <c r="C1436" s="5" t="s">
        <v>39</v>
      </c>
      <c r="D1436" s="7">
        <f>IFERROR(__xludf.DUMMYFUNCTION("GOOGLEFINANCE(""ASX:MML"", ""price"")"),0.03)</f>
        <v>0.03</v>
      </c>
      <c r="E1436" s="8">
        <f>IFERROR(__xludf.DUMMYFUNCTION("GOOGLEFINANCE(""ASX:MML"", ""closeyest"")"),0.03)</f>
        <v>0.03</v>
      </c>
      <c r="F1436" s="5" t="str">
        <f>IFERROR(__xludf.DUMMYFUNCTION("GOOGLEFINANCE(""ASX:MML"", ""pe"")"),"#N/A")</f>
        <v>#N/A</v>
      </c>
      <c r="G1436" s="9">
        <f>IFERROR(__xludf.DUMMYFUNCTION("GOOGLEFINANCE(""ASX:MML"", ""high52"")"),0.04)</f>
        <v>0.04</v>
      </c>
      <c r="H1436" s="9">
        <f>IFERROR(__xludf.DUMMYFUNCTION("GOOGLEFINANCE(""ASX:MML"", ""low52"")"),0.01)</f>
        <v>0.01</v>
      </c>
      <c r="I1436" s="9">
        <f>IFERROR(__xludf.DUMMYFUNCTION("GOOGLEFINANCE(""ASX:MML"", ""marketcap"")"),1.10894E7)</f>
        <v>11089400</v>
      </c>
      <c r="J1436" s="5"/>
      <c r="K1436" s="5"/>
      <c r="L1436" s="5"/>
      <c r="M1436" s="5"/>
      <c r="N1436" s="11" t="s">
        <v>19</v>
      </c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>
      <c r="A1437" s="6" t="s">
        <v>2873</v>
      </c>
      <c r="B1437" s="6" t="s">
        <v>2874</v>
      </c>
      <c r="C1437" s="5" t="s">
        <v>171</v>
      </c>
      <c r="D1437" s="7">
        <f>IFERROR(__xludf.DUMMYFUNCTION("GOOGLEFINANCE(""ASX:MMR"", ""price"")"),0.01)</f>
        <v>0.01</v>
      </c>
      <c r="E1437" s="8">
        <f>IFERROR(__xludf.DUMMYFUNCTION("GOOGLEFINANCE(""ASX:MMR"", ""closeyest"")"),0.01)</f>
        <v>0.01</v>
      </c>
      <c r="F1437" s="9">
        <f>IFERROR(__xludf.DUMMYFUNCTION("GOOGLEFINANCE(""ASX:MMR"", ""pe"")"),45.45)</f>
        <v>45.45</v>
      </c>
      <c r="G1437" s="9">
        <f>IFERROR(__xludf.DUMMYFUNCTION("GOOGLEFINANCE(""ASX:MMR"", ""high52"")"),0.01)</f>
        <v>0.01</v>
      </c>
      <c r="H1437" s="9">
        <f>IFERROR(__xludf.DUMMYFUNCTION("GOOGLEFINANCE(""ASX:MMR"", ""low52"")"),0.0)</f>
        <v>0</v>
      </c>
      <c r="I1437" s="9">
        <f>IFERROR(__xludf.DUMMYFUNCTION("GOOGLEFINANCE(""ASX:MMR"", ""marketcap"")"),4679974.0)</f>
        <v>4679974</v>
      </c>
      <c r="J1437" s="9">
        <v>0.013</v>
      </c>
      <c r="K1437" s="9">
        <v>0.013</v>
      </c>
      <c r="L1437" s="9">
        <v>0.035</v>
      </c>
      <c r="M1437" s="9">
        <v>0.013</v>
      </c>
      <c r="N1437" s="10">
        <v>45.45</v>
      </c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>
      <c r="A1438" s="6" t="s">
        <v>2875</v>
      </c>
      <c r="B1438" s="6" t="s">
        <v>2876</v>
      </c>
      <c r="C1438" s="5" t="s">
        <v>241</v>
      </c>
      <c r="D1438" s="7">
        <f>IFERROR(__xludf.DUMMYFUNCTION("GOOGLEFINANCE(""ASX:MMS"", ""price"")"),17.21)</f>
        <v>17.21</v>
      </c>
      <c r="E1438" s="8">
        <f>IFERROR(__xludf.DUMMYFUNCTION("GOOGLEFINANCE(""ASX:MMS"", ""closeyest"")"),17.1)</f>
        <v>17.1</v>
      </c>
      <c r="F1438" s="9">
        <f>IFERROR(__xludf.DUMMYFUNCTION("GOOGLEFINANCE(""ASX:MMS"", ""pe"")"),12.58)</f>
        <v>12.58</v>
      </c>
      <c r="G1438" s="9">
        <f>IFERROR(__xludf.DUMMYFUNCTION("GOOGLEFINANCE(""ASX:MMS"", ""high52"")"),20.1)</f>
        <v>20.1</v>
      </c>
      <c r="H1438" s="9">
        <f>IFERROR(__xludf.DUMMYFUNCTION("GOOGLEFINANCE(""ASX:MMS"", ""low52"")"),13.01)</f>
        <v>13.01</v>
      </c>
      <c r="I1438" s="9">
        <f>IFERROR(__xludf.DUMMYFUNCTION("GOOGLEFINANCE(""ASX:MMS"", ""marketcap"")"),1.198556826E9)</f>
        <v>1198556826</v>
      </c>
      <c r="J1438" s="5"/>
      <c r="K1438" s="5"/>
      <c r="L1438" s="5"/>
      <c r="M1438" s="5"/>
      <c r="N1438" s="10">
        <v>12.54</v>
      </c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>
      <c r="A1439" s="6" t="s">
        <v>2877</v>
      </c>
      <c r="B1439" s="6" t="s">
        <v>2878</v>
      </c>
      <c r="C1439" s="5" t="s">
        <v>267</v>
      </c>
      <c r="D1439" s="7">
        <f>IFERROR(__xludf.DUMMYFUNCTION("GOOGLEFINANCE(""ASX:MNB"", ""price"")"),0.03)</f>
        <v>0.03</v>
      </c>
      <c r="E1439" s="8">
        <f>IFERROR(__xludf.DUMMYFUNCTION("GOOGLEFINANCE(""ASX:MNB"", ""closeyest"")"),0.03)</f>
        <v>0.03</v>
      </c>
      <c r="F1439" s="5" t="str">
        <f>IFERROR(__xludf.DUMMYFUNCTION("GOOGLEFINANCE(""ASX:MNB"", ""pe"")"),"#N/A")</f>
        <v>#N/A</v>
      </c>
      <c r="G1439" s="9">
        <f>IFERROR(__xludf.DUMMYFUNCTION("GOOGLEFINANCE(""ASX:MNB"", ""high52"")"),0.07)</f>
        <v>0.07</v>
      </c>
      <c r="H1439" s="9">
        <f>IFERROR(__xludf.DUMMYFUNCTION("GOOGLEFINANCE(""ASX:MNB"", ""low52"")"),0.02)</f>
        <v>0.02</v>
      </c>
      <c r="I1439" s="9">
        <f>IFERROR(__xludf.DUMMYFUNCTION("GOOGLEFINANCE(""ASX:MNB"", ""marketcap"")"),2.276905E7)</f>
        <v>22769050</v>
      </c>
      <c r="J1439" s="5"/>
      <c r="K1439" s="5"/>
      <c r="L1439" s="5"/>
      <c r="M1439" s="5"/>
      <c r="N1439" s="11" t="s">
        <v>19</v>
      </c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>
      <c r="A1440" s="6" t="s">
        <v>2879</v>
      </c>
      <c r="B1440" s="6" t="s">
        <v>2880</v>
      </c>
      <c r="C1440" s="5" t="s">
        <v>620</v>
      </c>
      <c r="D1440" s="7">
        <f>IFERROR(__xludf.DUMMYFUNCTION("GOOGLEFINANCE(""ASX:MNC"", ""price"")"),0.11)</f>
        <v>0.11</v>
      </c>
      <c r="E1440" s="8">
        <f>IFERROR(__xludf.DUMMYFUNCTION("GOOGLEFINANCE(""ASX:MNC"", ""closeyest"")"),0.11)</f>
        <v>0.11</v>
      </c>
      <c r="F1440" s="5" t="str">
        <f>IFERROR(__xludf.DUMMYFUNCTION("GOOGLEFINANCE(""ASX:MNC"", ""pe"")"),"#N/A")</f>
        <v>#N/A</v>
      </c>
      <c r="G1440" s="9">
        <f>IFERROR(__xludf.DUMMYFUNCTION("GOOGLEFINANCE(""ASX:MNC"", ""high52"")"),0.28)</f>
        <v>0.28</v>
      </c>
      <c r="H1440" s="9">
        <f>IFERROR(__xludf.DUMMYFUNCTION("GOOGLEFINANCE(""ASX:MNC"", ""low52"")"),0.11)</f>
        <v>0.11</v>
      </c>
      <c r="I1440" s="9">
        <f>IFERROR(__xludf.DUMMYFUNCTION("GOOGLEFINANCE(""ASX:MNC"", ""marketcap"")"),5613866.0)</f>
        <v>5613866</v>
      </c>
      <c r="J1440" s="5"/>
      <c r="K1440" s="5"/>
      <c r="L1440" s="5"/>
      <c r="M1440" s="5"/>
      <c r="N1440" s="11" t="s">
        <v>19</v>
      </c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>
      <c r="A1441" s="6" t="s">
        <v>2881</v>
      </c>
      <c r="B1441" s="6" t="s">
        <v>2882</v>
      </c>
      <c r="C1441" s="5" t="s">
        <v>123</v>
      </c>
      <c r="D1441" s="7">
        <f>IFERROR(__xludf.DUMMYFUNCTION("GOOGLEFINANCE(""ASX:MND"", ""price"")"),26.79)</f>
        <v>26.79</v>
      </c>
      <c r="E1441" s="8">
        <f>IFERROR(__xludf.DUMMYFUNCTION("GOOGLEFINANCE(""ASX:MND"", ""closeyest"")"),27.64)</f>
        <v>27.64</v>
      </c>
      <c r="F1441" s="9">
        <f>IFERROR(__xludf.DUMMYFUNCTION("GOOGLEFINANCE(""ASX:MND"", ""pe"")"),31.85)</f>
        <v>31.85</v>
      </c>
      <c r="G1441" s="9">
        <f>IFERROR(__xludf.DUMMYFUNCTION("GOOGLEFINANCE(""ASX:MND"", ""high52"")"),28.18)</f>
        <v>28.18</v>
      </c>
      <c r="H1441" s="9">
        <f>IFERROR(__xludf.DUMMYFUNCTION("GOOGLEFINANCE(""ASX:MND"", ""low52"")"),13.36)</f>
        <v>13.36</v>
      </c>
      <c r="I1441" s="9">
        <f>IFERROR(__xludf.DUMMYFUNCTION("GOOGLEFINANCE(""ASX:MND"", ""marketcap"")"),2.679696631E9)</f>
        <v>2679696631</v>
      </c>
      <c r="J1441" s="5"/>
      <c r="K1441" s="5"/>
      <c r="L1441" s="5"/>
      <c r="M1441" s="5"/>
      <c r="N1441" s="10">
        <v>31.55</v>
      </c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>
      <c r="A1442" s="6" t="s">
        <v>2883</v>
      </c>
      <c r="B1442" s="6" t="s">
        <v>2884</v>
      </c>
      <c r="C1442" s="5" t="s">
        <v>36</v>
      </c>
      <c r="D1442" s="7">
        <f>IFERROR(__xludf.DUMMYFUNCTION("GOOGLEFINANCE(""ASX:MNRS"", ""price"")"),16.49)</f>
        <v>16.49</v>
      </c>
      <c r="E1442" s="8">
        <f>IFERROR(__xludf.DUMMYFUNCTION("GOOGLEFINANCE(""ASX:MNRS"", ""closeyest"")"),15.98)</f>
        <v>15.98</v>
      </c>
      <c r="F1442" s="5" t="str">
        <f>IFERROR(__xludf.DUMMYFUNCTION("GOOGLEFINANCE(""ASX:MNRS"", ""pe"")"),"#N/A")</f>
        <v>#N/A</v>
      </c>
      <c r="G1442" s="9">
        <f>IFERROR(__xludf.DUMMYFUNCTION("GOOGLEFINANCE(""ASX:MNRS"", ""high52"")"),16.66)</f>
        <v>16.66</v>
      </c>
      <c r="H1442" s="9">
        <f>IFERROR(__xludf.DUMMYFUNCTION("GOOGLEFINANCE(""ASX:MNRS"", ""low52"")"),6.26)</f>
        <v>6.26</v>
      </c>
      <c r="I1442" s="9" t="str">
        <f>IFERROR(__xludf.DUMMYFUNCTION("GOOGLEFINANCE(""ASX:MNRS"", ""marketcap"")"),"#N/A")</f>
        <v>#N/A</v>
      </c>
      <c r="J1442" s="5"/>
      <c r="K1442" s="5"/>
      <c r="L1442" s="5"/>
      <c r="M1442" s="5"/>
      <c r="N1442" s="11" t="s">
        <v>19</v>
      </c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>
      <c r="A1443" s="6" t="s">
        <v>2885</v>
      </c>
      <c r="B1443" s="6" t="s">
        <v>2886</v>
      </c>
      <c r="C1443" s="5" t="s">
        <v>36</v>
      </c>
      <c r="D1443" s="7">
        <f>IFERROR(__xludf.DUMMYFUNCTION("GOOGLEFINANCE(""ASX:MOAT"", ""price"")"),131.89)</f>
        <v>131.89</v>
      </c>
      <c r="E1443" s="8">
        <f>IFERROR(__xludf.DUMMYFUNCTION("GOOGLEFINANCE(""ASX:MOAT"", ""closeyest"")"),130.97)</f>
        <v>130.97</v>
      </c>
      <c r="F1443" s="5" t="str">
        <f>IFERROR(__xludf.DUMMYFUNCTION("GOOGLEFINANCE(""ASX:MOAT"", ""pe"")"),"#N/A")</f>
        <v>#N/A</v>
      </c>
      <c r="G1443" s="9">
        <f>IFERROR(__xludf.DUMMYFUNCTION("GOOGLEFINANCE(""ASX:MOAT"", ""high52"")"),137.99)</f>
        <v>137.99</v>
      </c>
      <c r="H1443" s="9">
        <f>IFERROR(__xludf.DUMMYFUNCTION("GOOGLEFINANCE(""ASX:MOAT"", ""low52"")"),110.21)</f>
        <v>110.21</v>
      </c>
      <c r="I1443" s="9" t="str">
        <f>IFERROR(__xludf.DUMMYFUNCTION("GOOGLEFINANCE(""ASX:MOAT"", ""marketcap"")"),"#N/A")</f>
        <v>#N/A</v>
      </c>
      <c r="J1443" s="5"/>
      <c r="K1443" s="5"/>
      <c r="L1443" s="5"/>
      <c r="M1443" s="5"/>
      <c r="N1443" s="11" t="s">
        <v>19</v>
      </c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>
      <c r="A1444" s="6" t="s">
        <v>2887</v>
      </c>
      <c r="B1444" s="6" t="s">
        <v>2888</v>
      </c>
      <c r="C1444" s="5" t="s">
        <v>36</v>
      </c>
      <c r="D1444" s="7" t="str">
        <f>IFERROR(__xludf.DUMMYFUNCTION("GOOGLEFINANCE(""ASX:MOGL"", ""price"")"),"#N/A")</f>
        <v>#N/A</v>
      </c>
      <c r="E1444" s="8" t="str">
        <f>IFERROR(__xludf.DUMMYFUNCTION("GOOGLEFINANCE(""ASX:MOGL"", ""closeyest"")"),"#N/A")</f>
        <v>#N/A</v>
      </c>
      <c r="F1444" s="5" t="str">
        <f>IFERROR(__xludf.DUMMYFUNCTION("GOOGLEFINANCE(""ASX:MOGL"", ""pe"")"),"#N/A")</f>
        <v>#N/A</v>
      </c>
      <c r="G1444" s="5" t="str">
        <f>IFERROR(__xludf.DUMMYFUNCTION("GOOGLEFINANCE(""ASX:MOGL"", ""high52"")"),"#N/A")</f>
        <v>#N/A</v>
      </c>
      <c r="H1444" s="5" t="str">
        <f>IFERROR(__xludf.DUMMYFUNCTION("GOOGLEFINANCE(""ASX:MOGL"", ""low52"")"),"#N/A")</f>
        <v>#N/A</v>
      </c>
      <c r="I1444" s="9" t="str">
        <f>IFERROR(__xludf.DUMMYFUNCTION("GOOGLEFINANCE(""ASX:MOGL"", ""marketcap"")"),"#N/A")</f>
        <v>#N/A</v>
      </c>
      <c r="J1444" s="12">
        <v>4.88</v>
      </c>
      <c r="K1444" s="12">
        <v>4.74</v>
      </c>
      <c r="L1444" s="12">
        <v>5.39</v>
      </c>
      <c r="M1444" s="12">
        <v>3.91</v>
      </c>
      <c r="N1444" s="11" t="s">
        <v>19</v>
      </c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>
      <c r="A1445" s="6" t="s">
        <v>2889</v>
      </c>
      <c r="B1445" s="6" t="s">
        <v>2890</v>
      </c>
      <c r="C1445" s="5" t="s">
        <v>88</v>
      </c>
      <c r="D1445" s="7">
        <f>IFERROR(__xludf.DUMMYFUNCTION("GOOGLEFINANCE(""ASX:MOH"", ""price"")"),0.01)</f>
        <v>0.01</v>
      </c>
      <c r="E1445" s="8">
        <f>IFERROR(__xludf.DUMMYFUNCTION("GOOGLEFINANCE(""ASX:MOH"", ""closeyest"")"),0.01)</f>
        <v>0.01</v>
      </c>
      <c r="F1445" s="5" t="str">
        <f>IFERROR(__xludf.DUMMYFUNCTION("GOOGLEFINANCE(""ASX:MOH"", ""pe"")"),"#N/A")</f>
        <v>#N/A</v>
      </c>
      <c r="G1445" s="9">
        <f>IFERROR(__xludf.DUMMYFUNCTION("GOOGLEFINANCE(""ASX:MOH"", ""high52"")"),0.01)</f>
        <v>0.01</v>
      </c>
      <c r="H1445" s="9">
        <f>IFERROR(__xludf.DUMMYFUNCTION("GOOGLEFINANCE(""ASX:MOH"", ""low52"")"),0.0)</f>
        <v>0</v>
      </c>
      <c r="I1445" s="9">
        <f>IFERROR(__xludf.DUMMYFUNCTION("GOOGLEFINANCE(""ASX:MOH"", ""marketcap"")"),6589248.0)</f>
        <v>6589248</v>
      </c>
      <c r="J1445" s="5"/>
      <c r="K1445" s="5"/>
      <c r="L1445" s="5"/>
      <c r="M1445" s="5"/>
      <c r="N1445" s="11" t="s">
        <v>19</v>
      </c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>
      <c r="A1446" s="6" t="s">
        <v>2891</v>
      </c>
      <c r="B1446" s="6" t="s">
        <v>2892</v>
      </c>
      <c r="C1446" s="5" t="s">
        <v>18</v>
      </c>
      <c r="D1446" s="7">
        <f>IFERROR(__xludf.DUMMYFUNCTION("GOOGLEFINANCE(""ASX:MOM"", ""price"")"),0.0)</f>
        <v>0</v>
      </c>
      <c r="E1446" s="8">
        <f>IFERROR(__xludf.DUMMYFUNCTION("GOOGLEFINANCE(""ASX:MOM"", ""closeyest"")"),0.0)</f>
        <v>0</v>
      </c>
      <c r="F1446" s="5" t="str">
        <f>IFERROR(__xludf.DUMMYFUNCTION("GOOGLEFINANCE(""ASX:MOM"", ""pe"")"),"#N/A")</f>
        <v>#N/A</v>
      </c>
      <c r="G1446" s="9">
        <f>IFERROR(__xludf.DUMMYFUNCTION("GOOGLEFINANCE(""ASX:MOM"", ""high52"")"),0.0)</f>
        <v>0</v>
      </c>
      <c r="H1446" s="9">
        <f>IFERROR(__xludf.DUMMYFUNCTION("GOOGLEFINANCE(""ASX:MOM"", ""low52"")"),0.0)</f>
        <v>0</v>
      </c>
      <c r="I1446" s="9">
        <f>IFERROR(__xludf.DUMMYFUNCTION("GOOGLEFINANCE(""ASX:MOM"", ""marketcap"")"),1339287.0)</f>
        <v>1339287</v>
      </c>
      <c r="J1446" s="12">
        <v>0.003</v>
      </c>
      <c r="K1446" s="12">
        <v>0.003</v>
      </c>
      <c r="L1446" s="12">
        <v>0.003</v>
      </c>
      <c r="M1446" s="12">
        <v>0.001</v>
      </c>
      <c r="N1446" s="11" t="s">
        <v>19</v>
      </c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>
      <c r="A1447" s="6" t="s">
        <v>2893</v>
      </c>
      <c r="B1447" s="6" t="s">
        <v>2894</v>
      </c>
      <c r="C1447" s="5" t="s">
        <v>1838</v>
      </c>
      <c r="D1447" s="7">
        <f>IFERROR(__xludf.DUMMYFUNCTION("GOOGLEFINANCE(""ASX:MOT"", ""price"")"),1.91)</f>
        <v>1.91</v>
      </c>
      <c r="E1447" s="8">
        <f>IFERROR(__xludf.DUMMYFUNCTION("GOOGLEFINANCE(""ASX:MOT"", ""closeyest"")"),1.92)</f>
        <v>1.92</v>
      </c>
      <c r="F1447" s="9">
        <f>IFERROR(__xludf.DUMMYFUNCTION("GOOGLEFINANCE(""ASX:MOT"", ""pe"")"),10.5)</f>
        <v>10.5</v>
      </c>
      <c r="G1447" s="9">
        <f>IFERROR(__xludf.DUMMYFUNCTION("GOOGLEFINANCE(""ASX:MOT"", ""high52"")"),2.14)</f>
        <v>2.14</v>
      </c>
      <c r="H1447" s="9">
        <f>IFERROR(__xludf.DUMMYFUNCTION("GOOGLEFINANCE(""ASX:MOT"", ""low52"")"),1.8)</f>
        <v>1.8</v>
      </c>
      <c r="I1447" s="9">
        <f>IFERROR(__xludf.DUMMYFUNCTION("GOOGLEFINANCE(""ASX:MOT"", ""marketcap"")"),6.33392297E8)</f>
        <v>633392297</v>
      </c>
      <c r="J1447" s="5"/>
      <c r="K1447" s="5"/>
      <c r="L1447" s="5"/>
      <c r="M1447" s="5"/>
      <c r="N1447" s="10">
        <v>10.37</v>
      </c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>
      <c r="A1448" s="6" t="s">
        <v>2895</v>
      </c>
      <c r="B1448" s="6" t="s">
        <v>2896</v>
      </c>
      <c r="C1448" s="5" t="s">
        <v>2897</v>
      </c>
      <c r="D1448" s="7">
        <f>IFERROR(__xludf.DUMMYFUNCTION("GOOGLEFINANCE(""ASX:MOV"", ""price"")"),0.26)</f>
        <v>0.26</v>
      </c>
      <c r="E1448" s="8">
        <f>IFERROR(__xludf.DUMMYFUNCTION("GOOGLEFINANCE(""ASX:MOV"", ""closeyest"")"),0.28)</f>
        <v>0.28</v>
      </c>
      <c r="F1448" s="5" t="str">
        <f>IFERROR(__xludf.DUMMYFUNCTION("GOOGLEFINANCE(""ASX:MOV"", ""pe"")"),"#N/A")</f>
        <v>#N/A</v>
      </c>
      <c r="G1448" s="9">
        <f>IFERROR(__xludf.DUMMYFUNCTION("GOOGLEFINANCE(""ASX:MOV"", ""high52"")"),0.29)</f>
        <v>0.29</v>
      </c>
      <c r="H1448" s="9">
        <f>IFERROR(__xludf.DUMMYFUNCTION("GOOGLEFINANCE(""ASX:MOV"", ""low52"")"),0.16)</f>
        <v>0.16</v>
      </c>
      <c r="I1448" s="9">
        <f>IFERROR(__xludf.DUMMYFUNCTION("GOOGLEFINANCE(""ASX:MOV"", ""marketcap"")"),3.330029E7)</f>
        <v>33300290</v>
      </c>
      <c r="J1448" s="5"/>
      <c r="K1448" s="5"/>
      <c r="L1448" s="5"/>
      <c r="M1448" s="5"/>
      <c r="N1448" s="11" t="s">
        <v>19</v>
      </c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>
      <c r="A1449" s="6" t="s">
        <v>2898</v>
      </c>
      <c r="B1449" s="6" t="s">
        <v>2899</v>
      </c>
      <c r="C1449" s="5" t="s">
        <v>184</v>
      </c>
      <c r="D1449" s="7">
        <f>IFERROR(__xludf.DUMMYFUNCTION("GOOGLEFINANCE(""ASX:MP1"", ""price"")"),12.38)</f>
        <v>12.38</v>
      </c>
      <c r="E1449" s="8">
        <f>IFERROR(__xludf.DUMMYFUNCTION("GOOGLEFINANCE(""ASX:MP1"", ""closeyest"")"),12.01)</f>
        <v>12.01</v>
      </c>
      <c r="F1449" s="5" t="str">
        <f>IFERROR(__xludf.DUMMYFUNCTION("GOOGLEFINANCE(""ASX:MP1"", ""pe"")"),"#N/A")</f>
        <v>#N/A</v>
      </c>
      <c r="G1449" s="9">
        <f>IFERROR(__xludf.DUMMYFUNCTION("GOOGLEFINANCE(""ASX:MP1"", ""high52"")"),17.87)</f>
        <v>17.87</v>
      </c>
      <c r="H1449" s="9">
        <f>IFERROR(__xludf.DUMMYFUNCTION("GOOGLEFINANCE(""ASX:MP1"", ""low52"")"),6.61)</f>
        <v>6.61</v>
      </c>
      <c r="I1449" s="9">
        <f>IFERROR(__xludf.DUMMYFUNCTION("GOOGLEFINANCE(""ASX:MP1"", ""marketcap"")"),2.197986074E9)</f>
        <v>2197986074</v>
      </c>
      <c r="J1449" s="5"/>
      <c r="K1449" s="5"/>
      <c r="L1449" s="5"/>
      <c r="M1449" s="5"/>
      <c r="N1449" s="11" t="s">
        <v>19</v>
      </c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>
      <c r="A1450" s="6" t="s">
        <v>2900</v>
      </c>
      <c r="B1450" s="6" t="s">
        <v>2901</v>
      </c>
      <c r="C1450" s="5" t="s">
        <v>88</v>
      </c>
      <c r="D1450" s="7">
        <f>IFERROR(__xludf.DUMMYFUNCTION("GOOGLEFINANCE(""ASX:MPK"", ""price"")"),0.95)</f>
        <v>0.95</v>
      </c>
      <c r="E1450" s="8">
        <f>IFERROR(__xludf.DUMMYFUNCTION("GOOGLEFINANCE(""ASX:MPK"", ""closeyest"")"),0.94)</f>
        <v>0.94</v>
      </c>
      <c r="F1450" s="5" t="str">
        <f>IFERROR(__xludf.DUMMYFUNCTION("GOOGLEFINANCE(""ASX:MPK"", ""pe"")"),"#N/A")</f>
        <v>#N/A</v>
      </c>
      <c r="G1450" s="9">
        <f>IFERROR(__xludf.DUMMYFUNCTION("GOOGLEFINANCE(""ASX:MPK"", ""high52"")"),1.05)</f>
        <v>1.05</v>
      </c>
      <c r="H1450" s="9">
        <f>IFERROR(__xludf.DUMMYFUNCTION("GOOGLEFINANCE(""ASX:MPK"", ""low52"")"),0.19)</f>
        <v>0.19</v>
      </c>
      <c r="I1450" s="9">
        <f>IFERROR(__xludf.DUMMYFUNCTION("GOOGLEFINANCE(""ASX:MPK"", ""marketcap"")"),1.25758623E8)</f>
        <v>125758623</v>
      </c>
      <c r="J1450" s="5"/>
      <c r="K1450" s="5"/>
      <c r="L1450" s="5"/>
      <c r="M1450" s="5"/>
      <c r="N1450" s="11" t="s">
        <v>19</v>
      </c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>
      <c r="A1451" s="6" t="s">
        <v>2902</v>
      </c>
      <c r="B1451" s="6" t="s">
        <v>2903</v>
      </c>
      <c r="C1451" s="5" t="s">
        <v>1008</v>
      </c>
      <c r="D1451" s="7">
        <f>IFERROR(__xludf.DUMMYFUNCTION("GOOGLEFINANCE(""ASX:MPL"", ""price"")"),4.75)</f>
        <v>4.75</v>
      </c>
      <c r="E1451" s="8">
        <f>IFERROR(__xludf.DUMMYFUNCTION("GOOGLEFINANCE(""ASX:MPL"", ""closeyest"")"),4.68)</f>
        <v>4.68</v>
      </c>
      <c r="F1451" s="9">
        <f>IFERROR(__xludf.DUMMYFUNCTION("GOOGLEFINANCE(""ASX:MPL"", ""pe"")"),26.12)</f>
        <v>26.12</v>
      </c>
      <c r="G1451" s="9">
        <f>IFERROR(__xludf.DUMMYFUNCTION("GOOGLEFINANCE(""ASX:MPL"", ""high52"")"),5.31)</f>
        <v>5.31</v>
      </c>
      <c r="H1451" s="9">
        <f>IFERROR(__xludf.DUMMYFUNCTION("GOOGLEFINANCE(""ASX:MPL"", ""low52"")"),3.71)</f>
        <v>3.71</v>
      </c>
      <c r="I1451" s="9">
        <f>IFERROR(__xludf.DUMMYFUNCTION("GOOGLEFINANCE(""ASX:MPL"", ""marketcap"")"),1.3081519E10)</f>
        <v>13081519000</v>
      </c>
      <c r="J1451" s="5"/>
      <c r="K1451" s="5"/>
      <c r="L1451" s="5"/>
      <c r="M1451" s="5"/>
      <c r="N1451" s="10">
        <v>26.45</v>
      </c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>
      <c r="A1452" s="6" t="s">
        <v>2904</v>
      </c>
      <c r="B1452" s="6" t="s">
        <v>2905</v>
      </c>
      <c r="C1452" s="5" t="s">
        <v>1666</v>
      </c>
      <c r="D1452" s="7">
        <f>IFERROR(__xludf.DUMMYFUNCTION("GOOGLEFINANCE(""ASX:MPP"", ""price"")"),0.04)</f>
        <v>0.04</v>
      </c>
      <c r="E1452" s="8">
        <f>IFERROR(__xludf.DUMMYFUNCTION("GOOGLEFINANCE(""ASX:MPP"", ""closeyest"")"),0.04)</f>
        <v>0.04</v>
      </c>
      <c r="F1452" s="5" t="str">
        <f>IFERROR(__xludf.DUMMYFUNCTION("GOOGLEFINANCE(""ASX:MPP"", ""pe"")"),"#N/A")</f>
        <v>#N/A</v>
      </c>
      <c r="G1452" s="9">
        <f>IFERROR(__xludf.DUMMYFUNCTION("GOOGLEFINANCE(""ASX:MPP"", ""high52"")"),0.06)</f>
        <v>0.06</v>
      </c>
      <c r="H1452" s="9">
        <f>IFERROR(__xludf.DUMMYFUNCTION("GOOGLEFINANCE(""ASX:MPP"", ""low52"")"),0.02)</f>
        <v>0.02</v>
      </c>
      <c r="I1452" s="9">
        <f>IFERROR(__xludf.DUMMYFUNCTION("GOOGLEFINANCE(""ASX:MPP"", ""marketcap"")"),4.710813E7)</f>
        <v>47108130</v>
      </c>
      <c r="J1452" s="5"/>
      <c r="K1452" s="5"/>
      <c r="L1452" s="5"/>
      <c r="M1452" s="5"/>
      <c r="N1452" s="11" t="s">
        <v>19</v>
      </c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>
      <c r="A1453" s="6" t="s">
        <v>2906</v>
      </c>
      <c r="B1453" s="6" t="s">
        <v>2907</v>
      </c>
      <c r="C1453" s="5" t="s">
        <v>2043</v>
      </c>
      <c r="D1453" s="7">
        <f>IFERROR(__xludf.DUMMYFUNCTION("GOOGLEFINANCE(""ASX:MPR"", ""price"")"),0.01)</f>
        <v>0.01</v>
      </c>
      <c r="E1453" s="8">
        <f>IFERROR(__xludf.DUMMYFUNCTION("GOOGLEFINANCE(""ASX:MPR"", ""closeyest"")"),0.01)</f>
        <v>0.01</v>
      </c>
      <c r="F1453" s="5" t="str">
        <f>IFERROR(__xludf.DUMMYFUNCTION("GOOGLEFINANCE(""ASX:MPR"", ""pe"")"),"#N/A")</f>
        <v>#N/A</v>
      </c>
      <c r="G1453" s="9">
        <f>IFERROR(__xludf.DUMMYFUNCTION("GOOGLEFINANCE(""ASX:MPR"", ""high52"")"),0.01)</f>
        <v>0.01</v>
      </c>
      <c r="H1453" s="9">
        <f>IFERROR(__xludf.DUMMYFUNCTION("GOOGLEFINANCE(""ASX:MPR"", ""low52"")"),0.01)</f>
        <v>0.01</v>
      </c>
      <c r="I1453" s="9">
        <f>IFERROR(__xludf.DUMMYFUNCTION("GOOGLEFINANCE(""ASX:MPR"", ""marketcap"")"),859259.0)</f>
        <v>859259</v>
      </c>
      <c r="J1453" s="5"/>
      <c r="K1453" s="5"/>
      <c r="L1453" s="5"/>
      <c r="M1453" s="5"/>
      <c r="N1453" s="11" t="s">
        <v>19</v>
      </c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>
      <c r="A1454" s="6" t="s">
        <v>2908</v>
      </c>
      <c r="B1454" s="6" t="s">
        <v>2909</v>
      </c>
      <c r="C1454" s="5" t="s">
        <v>39</v>
      </c>
      <c r="D1454" s="7">
        <f>IFERROR(__xludf.DUMMYFUNCTION("GOOGLEFINANCE(""ASX:MPW"", ""price"")"),1.95)</f>
        <v>1.95</v>
      </c>
      <c r="E1454" s="8">
        <f>IFERROR(__xludf.DUMMYFUNCTION("GOOGLEFINANCE(""ASX:MPW"", ""closeyest"")"),1.85)</f>
        <v>1.85</v>
      </c>
      <c r="F1454" s="5" t="str">
        <f>IFERROR(__xludf.DUMMYFUNCTION("GOOGLEFINANCE(""ASX:MPW"", ""pe"")"),"#N/A")</f>
        <v>#N/A</v>
      </c>
      <c r="G1454" s="9">
        <f>IFERROR(__xludf.DUMMYFUNCTION("GOOGLEFINANCE(""ASX:MPW"", ""high52"")"),4.97)</f>
        <v>4.97</v>
      </c>
      <c r="H1454" s="9">
        <f>IFERROR(__xludf.DUMMYFUNCTION("GOOGLEFINANCE(""ASX:MPW"", ""low52"")"),0.33)</f>
        <v>0.33</v>
      </c>
      <c r="I1454" s="9">
        <f>IFERROR(__xludf.DUMMYFUNCTION("GOOGLEFINANCE(""ASX:MPW"", ""marketcap"")"),2.1432743E8)</f>
        <v>214327430</v>
      </c>
      <c r="J1454" s="5"/>
      <c r="K1454" s="5"/>
      <c r="L1454" s="5"/>
      <c r="M1454" s="5"/>
      <c r="N1454" s="11" t="s">
        <v>19</v>
      </c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>
      <c r="A1455" s="6" t="s">
        <v>2910</v>
      </c>
      <c r="B1455" s="6" t="s">
        <v>2911</v>
      </c>
      <c r="C1455" s="5" t="s">
        <v>143</v>
      </c>
      <c r="D1455" s="7">
        <f>IFERROR(__xludf.DUMMYFUNCTION("GOOGLEFINANCE(""ASX:MPX"", ""price"")"),0.14)</f>
        <v>0.14</v>
      </c>
      <c r="E1455" s="8">
        <f>IFERROR(__xludf.DUMMYFUNCTION("GOOGLEFINANCE(""ASX:MPX"", ""closeyest"")"),0.14)</f>
        <v>0.14</v>
      </c>
      <c r="F1455" s="5" t="str">
        <f>IFERROR(__xludf.DUMMYFUNCTION("GOOGLEFINANCE(""ASX:MPX"", ""pe"")"),"#N/A")</f>
        <v>#N/A</v>
      </c>
      <c r="G1455" s="9">
        <f>IFERROR(__xludf.DUMMYFUNCTION("GOOGLEFINANCE(""ASX:MPX"", ""high52"")"),0.24)</f>
        <v>0.24</v>
      </c>
      <c r="H1455" s="9">
        <f>IFERROR(__xludf.DUMMYFUNCTION("GOOGLEFINANCE(""ASX:MPX"", ""low52"")"),0.14)</f>
        <v>0.14</v>
      </c>
      <c r="I1455" s="9">
        <f>IFERROR(__xludf.DUMMYFUNCTION("GOOGLEFINANCE(""ASX:MPX"", ""marketcap"")"),2.055692E7)</f>
        <v>20556920</v>
      </c>
      <c r="J1455" s="5"/>
      <c r="K1455" s="5"/>
      <c r="L1455" s="5"/>
      <c r="M1455" s="5"/>
      <c r="N1455" s="11" t="s">
        <v>19</v>
      </c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>
      <c r="A1456" s="6" t="s">
        <v>2912</v>
      </c>
      <c r="B1456" s="6" t="s">
        <v>2913</v>
      </c>
      <c r="C1456" s="5" t="s">
        <v>36</v>
      </c>
      <c r="D1456" s="7">
        <f>IFERROR(__xludf.DUMMYFUNCTION("GOOGLEFINANCE(""ASX:MQAE"", ""price"")"),11.93)</f>
        <v>11.93</v>
      </c>
      <c r="E1456" s="8">
        <f>IFERROR(__xludf.DUMMYFUNCTION("GOOGLEFINANCE(""ASX:MQAE"", ""closeyest"")"),11.9)</f>
        <v>11.9</v>
      </c>
      <c r="F1456" s="5" t="str">
        <f>IFERROR(__xludf.DUMMYFUNCTION("GOOGLEFINANCE(""ASX:MQAE"", ""pe"")"),"#N/A")</f>
        <v>#N/A</v>
      </c>
      <c r="G1456" s="9">
        <f>IFERROR(__xludf.DUMMYFUNCTION("GOOGLEFINANCE(""ASX:MQAE"", ""high52"")"),12.48)</f>
        <v>12.48</v>
      </c>
      <c r="H1456" s="9">
        <f>IFERROR(__xludf.DUMMYFUNCTION("GOOGLEFINANCE(""ASX:MQAE"", ""low52"")"),9.65)</f>
        <v>9.65</v>
      </c>
      <c r="I1456" s="9" t="str">
        <f>IFERROR(__xludf.DUMMYFUNCTION("GOOGLEFINANCE(""ASX:MQAE"", ""marketcap"")"),"#N/A")</f>
        <v>#N/A</v>
      </c>
      <c r="J1456" s="5"/>
      <c r="K1456" s="5"/>
      <c r="L1456" s="5"/>
      <c r="M1456" s="5"/>
      <c r="N1456" s="11" t="s">
        <v>19</v>
      </c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>
      <c r="A1457" s="6" t="s">
        <v>2914</v>
      </c>
      <c r="B1457" s="6" t="s">
        <v>2915</v>
      </c>
      <c r="C1457" s="5" t="s">
        <v>36</v>
      </c>
      <c r="D1457" s="7" t="str">
        <f>IFERROR(__xludf.DUMMYFUNCTION("GOOGLEFINANCE(""ASX:MQDB"", ""price"")"),"#N/A")</f>
        <v>#N/A</v>
      </c>
      <c r="E1457" s="8" t="str">
        <f>IFERROR(__xludf.DUMMYFUNCTION("GOOGLEFINANCE(""ASX:MQDB"", ""closeyest"")"),"#N/A")</f>
        <v>#N/A</v>
      </c>
      <c r="F1457" s="5" t="str">
        <f>IFERROR(__xludf.DUMMYFUNCTION("GOOGLEFINANCE(""ASX:MQDB"", ""pe"")"),"#N/A")</f>
        <v>#N/A</v>
      </c>
      <c r="G1457" s="5" t="str">
        <f>IFERROR(__xludf.DUMMYFUNCTION("GOOGLEFINANCE(""ASX:MQDB"", ""high52"")"),"#N/A")</f>
        <v>#N/A</v>
      </c>
      <c r="H1457" s="5" t="str">
        <f>IFERROR(__xludf.DUMMYFUNCTION("GOOGLEFINANCE(""ASX:MQDB"", ""low52"")"),"#N/A")</f>
        <v>#N/A</v>
      </c>
      <c r="I1457" s="9" t="str">
        <f>IFERROR(__xludf.DUMMYFUNCTION("GOOGLEFINANCE(""ASX:MQDB"", ""marketcap"")"),"#N/A")</f>
        <v>#N/A</v>
      </c>
      <c r="J1457" s="12">
        <v>10.73</v>
      </c>
      <c r="K1457" s="12">
        <v>10.74</v>
      </c>
      <c r="L1457" s="12">
        <v>11.0</v>
      </c>
      <c r="M1457" s="12">
        <v>10.48</v>
      </c>
      <c r="N1457" s="11" t="s">
        <v>19</v>
      </c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>
      <c r="A1458" s="6" t="s">
        <v>2916</v>
      </c>
      <c r="B1458" s="6" t="s">
        <v>2917</v>
      </c>
      <c r="C1458" s="5" t="s">
        <v>36</v>
      </c>
      <c r="D1458" s="7">
        <f>IFERROR(__xludf.DUMMYFUNCTION("GOOGLEFINANCE(""ASX:MQEG"", ""price"")"),13.44)</f>
        <v>13.44</v>
      </c>
      <c r="E1458" s="8">
        <f>IFERROR(__xludf.DUMMYFUNCTION("GOOGLEFINANCE(""ASX:MQEG"", ""closeyest"")"),13.47)</f>
        <v>13.47</v>
      </c>
      <c r="F1458" s="5" t="str">
        <f>IFERROR(__xludf.DUMMYFUNCTION("GOOGLEFINANCE(""ASX:MQEG"", ""pe"")"),"#N/A")</f>
        <v>#N/A</v>
      </c>
      <c r="G1458" s="9">
        <f>IFERROR(__xludf.DUMMYFUNCTION("GOOGLEFINANCE(""ASX:MQEG"", ""high52"")"),13.74)</f>
        <v>13.74</v>
      </c>
      <c r="H1458" s="9">
        <f>IFERROR(__xludf.DUMMYFUNCTION("GOOGLEFINANCE(""ASX:MQEG"", ""low52"")"),10.0)</f>
        <v>10</v>
      </c>
      <c r="I1458" s="9" t="str">
        <f>IFERROR(__xludf.DUMMYFUNCTION("GOOGLEFINANCE(""ASX:MQEG"", ""marketcap"")"),"#N/A")</f>
        <v>#N/A</v>
      </c>
      <c r="J1458" s="5"/>
      <c r="K1458" s="5"/>
      <c r="L1458" s="5"/>
      <c r="M1458" s="5"/>
      <c r="N1458" s="11" t="s">
        <v>19</v>
      </c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>
      <c r="A1459" s="6" t="s">
        <v>2918</v>
      </c>
      <c r="B1459" s="6" t="s">
        <v>2919</v>
      </c>
      <c r="C1459" s="5" t="s">
        <v>389</v>
      </c>
      <c r="D1459" s="7">
        <f>IFERROR(__xludf.DUMMYFUNCTION("GOOGLEFINANCE(""ASX:MQG"", ""price"")"),206.83)</f>
        <v>206.83</v>
      </c>
      <c r="E1459" s="8">
        <f>IFERROR(__xludf.DUMMYFUNCTION("GOOGLEFINANCE(""ASX:MQG"", ""closeyest"")"),206.07)</f>
        <v>206.07</v>
      </c>
      <c r="F1459" s="9">
        <f>IFERROR(__xludf.DUMMYFUNCTION("GOOGLEFINANCE(""ASX:MQG"", ""pe"")"),20.95)</f>
        <v>20.95</v>
      </c>
      <c r="G1459" s="9">
        <f>IFERROR(__xludf.DUMMYFUNCTION("GOOGLEFINANCE(""ASX:MQG"", ""high52"")"),242.9)</f>
        <v>242.9</v>
      </c>
      <c r="H1459" s="9">
        <f>IFERROR(__xludf.DUMMYFUNCTION("GOOGLEFINANCE(""ASX:MQG"", ""low52"")"),160.0)</f>
        <v>160</v>
      </c>
      <c r="I1459" s="9">
        <f>IFERROR(__xludf.DUMMYFUNCTION("GOOGLEFINANCE(""ASX:MQG"", ""marketcap"")"),7.8830855969E10)</f>
        <v>78830855969</v>
      </c>
      <c r="J1459" s="5"/>
      <c r="K1459" s="5"/>
      <c r="L1459" s="5"/>
      <c r="M1459" s="5"/>
      <c r="N1459" s="10">
        <v>20.63</v>
      </c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>
      <c r="A1460" s="6" t="s">
        <v>2920</v>
      </c>
      <c r="B1460" s="6" t="s">
        <v>2921</v>
      </c>
      <c r="C1460" s="5" t="s">
        <v>36</v>
      </c>
      <c r="D1460" s="7">
        <f>IFERROR(__xludf.DUMMYFUNCTION("GOOGLEFINANCE(""ASX:MQHG"", ""price"")"),10.35)</f>
        <v>10.35</v>
      </c>
      <c r="E1460" s="8">
        <f>IFERROR(__xludf.DUMMYFUNCTION("GOOGLEFINANCE(""ASX:MQHG"", ""closeyest"")"),10.3)</f>
        <v>10.3</v>
      </c>
      <c r="F1460" s="5" t="str">
        <f>IFERROR(__xludf.DUMMYFUNCTION("GOOGLEFINANCE(""ASX:MQHG"", ""pe"")"),"#N/A")</f>
        <v>#N/A</v>
      </c>
      <c r="G1460" s="9">
        <f>IFERROR(__xludf.DUMMYFUNCTION("GOOGLEFINANCE(""ASX:MQHG"", ""high52"")"),10.35)</f>
        <v>10.35</v>
      </c>
      <c r="H1460" s="9">
        <f>IFERROR(__xludf.DUMMYFUNCTION("GOOGLEFINANCE(""ASX:MQHG"", ""low52"")"),9.46)</f>
        <v>9.46</v>
      </c>
      <c r="I1460" s="9" t="str">
        <f>IFERROR(__xludf.DUMMYFUNCTION("GOOGLEFINANCE(""ASX:MQHG"", ""marketcap"")"),"#N/A")</f>
        <v>#N/A</v>
      </c>
      <c r="J1460" s="5"/>
      <c r="K1460" s="5"/>
      <c r="L1460" s="5"/>
      <c r="M1460" s="5"/>
      <c r="N1460" s="11" t="s">
        <v>19</v>
      </c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>
      <c r="A1461" s="6" t="s">
        <v>2922</v>
      </c>
      <c r="B1461" s="6" t="s">
        <v>2923</v>
      </c>
      <c r="C1461" s="5" t="s">
        <v>36</v>
      </c>
      <c r="D1461" s="7" t="str">
        <f>IFERROR(__xludf.DUMMYFUNCTION("GOOGLEFINANCE(""ASX:MQIO"", ""price"")"),"#N/A")</f>
        <v>#N/A</v>
      </c>
      <c r="E1461" s="8" t="str">
        <f>IFERROR(__xludf.DUMMYFUNCTION("GOOGLEFINANCE(""ASX:MQIO"", ""closeyest"")"),"#N/A")</f>
        <v>#N/A</v>
      </c>
      <c r="F1461" s="5" t="str">
        <f>IFERROR(__xludf.DUMMYFUNCTION("GOOGLEFINANCE(""ASX:MQIO"", ""pe"")"),"#N/A")</f>
        <v>#N/A</v>
      </c>
      <c r="G1461" s="5" t="str">
        <f>IFERROR(__xludf.DUMMYFUNCTION("GOOGLEFINANCE(""ASX:MQIO"", ""high52"")"),"#N/A")</f>
        <v>#N/A</v>
      </c>
      <c r="H1461" s="5" t="str">
        <f>IFERROR(__xludf.DUMMYFUNCTION("GOOGLEFINANCE(""ASX:MQIO"", ""low52"")"),"#N/A")</f>
        <v>#N/A</v>
      </c>
      <c r="I1461" s="9" t="str">
        <f>IFERROR(__xludf.DUMMYFUNCTION("GOOGLEFINANCE(""ASX:MQIO"", ""marketcap"")"),"#N/A")</f>
        <v>#N/A</v>
      </c>
      <c r="J1461" s="12">
        <v>10.63</v>
      </c>
      <c r="K1461" s="12">
        <v>10.63</v>
      </c>
      <c r="L1461" s="12">
        <v>11.0</v>
      </c>
      <c r="M1461" s="12">
        <v>10.49</v>
      </c>
      <c r="N1461" s="11" t="s">
        <v>19</v>
      </c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>
      <c r="A1462" s="6" t="s">
        <v>2924</v>
      </c>
      <c r="B1462" s="6" t="s">
        <v>2925</v>
      </c>
      <c r="C1462" s="5" t="s">
        <v>39</v>
      </c>
      <c r="D1462" s="7">
        <f>IFERROR(__xludf.DUMMYFUNCTION("GOOGLEFINANCE(""ASX:MQR"", ""price"")"),0.01)</f>
        <v>0.01</v>
      </c>
      <c r="E1462" s="8">
        <f>IFERROR(__xludf.DUMMYFUNCTION("GOOGLEFINANCE(""ASX:MQR"", ""closeyest"")"),0.01)</f>
        <v>0.01</v>
      </c>
      <c r="F1462" s="5" t="str">
        <f>IFERROR(__xludf.DUMMYFUNCTION("GOOGLEFINANCE(""ASX:MQR"", ""pe"")"),"#N/A")</f>
        <v>#N/A</v>
      </c>
      <c r="G1462" s="9">
        <f>IFERROR(__xludf.DUMMYFUNCTION("GOOGLEFINANCE(""ASX:MQR"", ""high52"")"),0.02)</f>
        <v>0.02</v>
      </c>
      <c r="H1462" s="9">
        <f>IFERROR(__xludf.DUMMYFUNCTION("GOOGLEFINANCE(""ASX:MQR"", ""low52"")"),0.01)</f>
        <v>0.01</v>
      </c>
      <c r="I1462" s="9">
        <f>IFERROR(__xludf.DUMMYFUNCTION("GOOGLEFINANCE(""ASX:MQR"", ""marketcap"")"),5887565.0)</f>
        <v>5887565</v>
      </c>
      <c r="J1462" s="5"/>
      <c r="K1462" s="5"/>
      <c r="L1462" s="5"/>
      <c r="M1462" s="5"/>
      <c r="N1462" s="11" t="s">
        <v>19</v>
      </c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>
      <c r="A1463" s="6" t="s">
        <v>2926</v>
      </c>
      <c r="B1463" s="6" t="s">
        <v>2927</v>
      </c>
      <c r="C1463" s="5" t="s">
        <v>36</v>
      </c>
      <c r="D1463" s="7">
        <f>IFERROR(__xludf.DUMMYFUNCTION("GOOGLEFINANCE(""ASX:MQSD"", ""price"")"),50.29)</f>
        <v>50.29</v>
      </c>
      <c r="E1463" s="8">
        <f>IFERROR(__xludf.DUMMYFUNCTION("GOOGLEFINANCE(""ASX:MQSD"", ""closeyest"")"),50.25)</f>
        <v>50.25</v>
      </c>
      <c r="F1463" s="5" t="str">
        <f>IFERROR(__xludf.DUMMYFUNCTION("GOOGLEFINANCE(""ASX:MQSD"", ""pe"")"),"#N/A")</f>
        <v>#N/A</v>
      </c>
      <c r="G1463" s="9">
        <f>IFERROR(__xludf.DUMMYFUNCTION("GOOGLEFINANCE(""ASX:MQSD"", ""high52"")"),50.5)</f>
        <v>50.5</v>
      </c>
      <c r="H1463" s="9">
        <f>IFERROR(__xludf.DUMMYFUNCTION("GOOGLEFINANCE(""ASX:MQSD"", ""low52"")"),49.4)</f>
        <v>49.4</v>
      </c>
      <c r="I1463" s="9" t="str">
        <f>IFERROR(__xludf.DUMMYFUNCTION("GOOGLEFINANCE(""ASX:MQSD"", ""marketcap"")"),"#N/A")</f>
        <v>#N/A</v>
      </c>
      <c r="J1463" s="5"/>
      <c r="K1463" s="5"/>
      <c r="L1463" s="5"/>
      <c r="M1463" s="5"/>
      <c r="N1463" s="11" t="s">
        <v>19</v>
      </c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>
      <c r="A1464" s="6" t="s">
        <v>2928</v>
      </c>
      <c r="B1464" s="6" t="s">
        <v>2929</v>
      </c>
      <c r="C1464" s="5" t="s">
        <v>36</v>
      </c>
      <c r="D1464" s="7" t="str">
        <f>IFERROR(__xludf.DUMMYFUNCTION("GOOGLEFINANCE(""ASX:MQWS"", ""price"")"),"#N/A")</f>
        <v>#N/A</v>
      </c>
      <c r="E1464" s="8" t="str">
        <f>IFERROR(__xludf.DUMMYFUNCTION("GOOGLEFINANCE(""ASX:MQWS"", ""closeyest"")"),"#N/A")</f>
        <v>#N/A</v>
      </c>
      <c r="F1464" s="5" t="str">
        <f>IFERROR(__xludf.DUMMYFUNCTION("GOOGLEFINANCE(""ASX:MQWS"", ""pe"")"),"#N/A")</f>
        <v>#N/A</v>
      </c>
      <c r="G1464" s="5" t="str">
        <f>IFERROR(__xludf.DUMMYFUNCTION("GOOGLEFINANCE(""ASX:MQWS"", ""high52"")"),"#N/A")</f>
        <v>#N/A</v>
      </c>
      <c r="H1464" s="5" t="str">
        <f>IFERROR(__xludf.DUMMYFUNCTION("GOOGLEFINANCE(""ASX:MQWS"", ""low52"")"),"#N/A")</f>
        <v>#N/A</v>
      </c>
      <c r="I1464" s="9" t="str">
        <f>IFERROR(__xludf.DUMMYFUNCTION("GOOGLEFINANCE(""ASX:MQWS"", ""marketcap"")"),"#N/A")</f>
        <v>#N/A</v>
      </c>
      <c r="J1464" s="12">
        <v>9.3</v>
      </c>
      <c r="K1464" s="12">
        <v>9.2</v>
      </c>
      <c r="L1464" s="12">
        <v>11.46</v>
      </c>
      <c r="M1464" s="12">
        <v>8.93</v>
      </c>
      <c r="N1464" s="11" t="s">
        <v>19</v>
      </c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>
      <c r="A1465" s="6" t="s">
        <v>2930</v>
      </c>
      <c r="B1465" s="6" t="s">
        <v>2931</v>
      </c>
      <c r="C1465" s="5" t="s">
        <v>36</v>
      </c>
      <c r="D1465" s="7">
        <f>IFERROR(__xludf.DUMMYFUNCTION("GOOGLEFINANCE(""ASX:MQYM"", ""price"")"),50.3)</f>
        <v>50.3</v>
      </c>
      <c r="E1465" s="8">
        <f>IFERROR(__xludf.DUMMYFUNCTION("GOOGLEFINANCE(""ASX:MQYM"", ""closeyest"")"),50.21)</f>
        <v>50.21</v>
      </c>
      <c r="F1465" s="5" t="str">
        <f>IFERROR(__xludf.DUMMYFUNCTION("GOOGLEFINANCE(""ASX:MQYM"", ""pe"")"),"#N/A")</f>
        <v>#N/A</v>
      </c>
      <c r="G1465" s="9">
        <f>IFERROR(__xludf.DUMMYFUNCTION("GOOGLEFINANCE(""ASX:MQYM"", ""high52"")"),50.78)</f>
        <v>50.78</v>
      </c>
      <c r="H1465" s="9">
        <f>IFERROR(__xludf.DUMMYFUNCTION("GOOGLEFINANCE(""ASX:MQYM"", ""low52"")"),48.08)</f>
        <v>48.08</v>
      </c>
      <c r="I1465" s="9" t="str">
        <f>IFERROR(__xludf.DUMMYFUNCTION("GOOGLEFINANCE(""ASX:MQYM"", ""marketcap"")"),"#N/A")</f>
        <v>#N/A</v>
      </c>
      <c r="J1465" s="5"/>
      <c r="K1465" s="5"/>
      <c r="L1465" s="5"/>
      <c r="M1465" s="5"/>
      <c r="N1465" s="11" t="s">
        <v>19</v>
      </c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>
      <c r="A1466" s="6" t="s">
        <v>2932</v>
      </c>
      <c r="B1466" s="6" t="s">
        <v>2933</v>
      </c>
      <c r="C1466" s="5" t="s">
        <v>39</v>
      </c>
      <c r="D1466" s="7">
        <f>IFERROR(__xludf.DUMMYFUNCTION("GOOGLEFINANCE(""ASX:MRC"", ""price"")"),0.03)</f>
        <v>0.03</v>
      </c>
      <c r="E1466" s="8">
        <f>IFERROR(__xludf.DUMMYFUNCTION("GOOGLEFINANCE(""ASX:MRC"", ""closeyest"")"),0.03)</f>
        <v>0.03</v>
      </c>
      <c r="F1466" s="5" t="str">
        <f>IFERROR(__xludf.DUMMYFUNCTION("GOOGLEFINANCE(""ASX:MRC"", ""pe"")"),"#N/A")</f>
        <v>#N/A</v>
      </c>
      <c r="G1466" s="9">
        <f>IFERROR(__xludf.DUMMYFUNCTION("GOOGLEFINANCE(""ASX:MRC"", ""high52"")"),0.03)</f>
        <v>0.03</v>
      </c>
      <c r="H1466" s="9">
        <f>IFERROR(__xludf.DUMMYFUNCTION("GOOGLEFINANCE(""ASX:MRC"", ""low52"")"),0.03)</f>
        <v>0.03</v>
      </c>
      <c r="I1466" s="9">
        <f>IFERROR(__xludf.DUMMYFUNCTION("GOOGLEFINANCE(""ASX:MRC"", ""marketcap"")"),2.218345E7)</f>
        <v>22183450</v>
      </c>
      <c r="J1466" s="9">
        <v>30.01</v>
      </c>
      <c r="K1466" s="9">
        <v>30.63</v>
      </c>
      <c r="L1466" s="9">
        <v>31.61</v>
      </c>
      <c r="M1466" s="9">
        <v>24.85</v>
      </c>
      <c r="N1466" s="11" t="s">
        <v>19</v>
      </c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>
      <c r="A1467" s="6" t="s">
        <v>2934</v>
      </c>
      <c r="B1467" s="6" t="s">
        <v>2935</v>
      </c>
      <c r="C1467" s="5" t="s">
        <v>18</v>
      </c>
      <c r="D1467" s="7">
        <f>IFERROR(__xludf.DUMMYFUNCTION("GOOGLEFINANCE(""ASX:MRD"", ""price"")"),0.03)</f>
        <v>0.03</v>
      </c>
      <c r="E1467" s="8">
        <f>IFERROR(__xludf.DUMMYFUNCTION("GOOGLEFINANCE(""ASX:MRD"", ""closeyest"")"),0.03)</f>
        <v>0.03</v>
      </c>
      <c r="F1467" s="5" t="str">
        <f>IFERROR(__xludf.DUMMYFUNCTION("GOOGLEFINANCE(""ASX:MRD"", ""pe"")"),"#N/A")</f>
        <v>#N/A</v>
      </c>
      <c r="G1467" s="9">
        <f>IFERROR(__xludf.DUMMYFUNCTION("GOOGLEFINANCE(""ASX:MRD"", ""high52"")"),0.09)</f>
        <v>0.09</v>
      </c>
      <c r="H1467" s="9">
        <f>IFERROR(__xludf.DUMMYFUNCTION("GOOGLEFINANCE(""ASX:MRD"", ""low52"")"),0.0)</f>
        <v>0</v>
      </c>
      <c r="I1467" s="9">
        <f>IFERROR(__xludf.DUMMYFUNCTION("GOOGLEFINANCE(""ASX:MRD"", ""marketcap"")"),4.6242833E7)</f>
        <v>46242833</v>
      </c>
      <c r="J1467" s="5"/>
      <c r="K1467" s="5"/>
      <c r="L1467" s="5"/>
      <c r="M1467" s="5"/>
      <c r="N1467" s="11" t="s">
        <v>19</v>
      </c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>
      <c r="A1468" s="6" t="s">
        <v>2936</v>
      </c>
      <c r="B1468" s="6" t="s">
        <v>2937</v>
      </c>
      <c r="C1468" s="5" t="s">
        <v>418</v>
      </c>
      <c r="D1468" s="7">
        <f>IFERROR(__xludf.DUMMYFUNCTION("GOOGLEFINANCE(""ASX:MRE"", ""price"")"),1.99)</f>
        <v>1.99</v>
      </c>
      <c r="E1468" s="8">
        <f>IFERROR(__xludf.DUMMYFUNCTION("GOOGLEFINANCE(""ASX:MRE"", ""closeyest"")"),2.0)</f>
        <v>2</v>
      </c>
      <c r="F1468" s="5" t="str">
        <f>IFERROR(__xludf.DUMMYFUNCTION("GOOGLEFINANCE(""ASX:MRE"", ""pe"")"),"#N/A")</f>
        <v>#N/A</v>
      </c>
      <c r="G1468" s="9">
        <f>IFERROR(__xludf.DUMMYFUNCTION("GOOGLEFINANCE(""ASX:MRE"", ""high52"")"),2.03)</f>
        <v>2.03</v>
      </c>
      <c r="H1468" s="9">
        <f>IFERROR(__xludf.DUMMYFUNCTION("GOOGLEFINANCE(""ASX:MRE"", ""low52"")"),1.7)</f>
        <v>1.7</v>
      </c>
      <c r="I1468" s="9" t="str">
        <f>IFERROR(__xludf.DUMMYFUNCTION("GOOGLEFINANCE(""ASX:MRE"", ""marketcap"")"),"#N/A")</f>
        <v>#N/A</v>
      </c>
      <c r="J1468" s="5"/>
      <c r="K1468" s="5"/>
      <c r="L1468" s="5"/>
      <c r="M1468" s="5"/>
      <c r="N1468" s="11" t="s">
        <v>19</v>
      </c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>
      <c r="A1469" s="6" t="s">
        <v>2938</v>
      </c>
      <c r="B1469" s="6" t="s">
        <v>2939</v>
      </c>
      <c r="C1469" s="5" t="s">
        <v>18</v>
      </c>
      <c r="D1469" s="7">
        <f>IFERROR(__xludf.DUMMYFUNCTION("GOOGLEFINANCE(""ASX:MRQ"", ""price"")"),0.01)</f>
        <v>0.01</v>
      </c>
      <c r="E1469" s="8">
        <f>IFERROR(__xludf.DUMMYFUNCTION("GOOGLEFINANCE(""ASX:MRQ"", ""closeyest"")"),0.01)</f>
        <v>0.01</v>
      </c>
      <c r="F1469" s="5" t="str">
        <f>IFERROR(__xludf.DUMMYFUNCTION("GOOGLEFINANCE(""ASX:MRQ"", ""pe"")"),"#N/A")</f>
        <v>#N/A</v>
      </c>
      <c r="G1469" s="9">
        <f>IFERROR(__xludf.DUMMYFUNCTION("GOOGLEFINANCE(""ASX:MRQ"", ""high52"")"),0.01)</f>
        <v>0.01</v>
      </c>
      <c r="H1469" s="9">
        <f>IFERROR(__xludf.DUMMYFUNCTION("GOOGLEFINANCE(""ASX:MRQ"", ""low52"")"),0.0)</f>
        <v>0</v>
      </c>
      <c r="I1469" s="9">
        <f>IFERROR(__xludf.DUMMYFUNCTION("GOOGLEFINANCE(""ASX:MRQ"", ""marketcap"")"),6818304.0)</f>
        <v>6818304</v>
      </c>
      <c r="J1469" s="12">
        <v>0.004</v>
      </c>
      <c r="K1469" s="12">
        <v>0.0045</v>
      </c>
      <c r="L1469" s="12">
        <v>0.007</v>
      </c>
      <c r="M1469" s="12">
        <v>0.0025</v>
      </c>
      <c r="N1469" s="11" t="s">
        <v>19</v>
      </c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>
      <c r="A1470" s="6" t="s">
        <v>2940</v>
      </c>
      <c r="B1470" s="6" t="s">
        <v>2941</v>
      </c>
      <c r="C1470" s="5" t="s">
        <v>18</v>
      </c>
      <c r="D1470" s="7">
        <f>IFERROR(__xludf.DUMMYFUNCTION("GOOGLEFINANCE(""ASX:MRR"", ""price"")"),0.02)</f>
        <v>0.02</v>
      </c>
      <c r="E1470" s="8">
        <f>IFERROR(__xludf.DUMMYFUNCTION("GOOGLEFINANCE(""ASX:MRR"", ""closeyest"")"),0.02)</f>
        <v>0.02</v>
      </c>
      <c r="F1470" s="5" t="str">
        <f>IFERROR(__xludf.DUMMYFUNCTION("GOOGLEFINANCE(""ASX:MRR"", ""pe"")"),"#N/A")</f>
        <v>#N/A</v>
      </c>
      <c r="G1470" s="9">
        <f>IFERROR(__xludf.DUMMYFUNCTION("GOOGLEFINANCE(""ASX:MRR"", ""high52"")"),0.02)</f>
        <v>0.02</v>
      </c>
      <c r="H1470" s="9">
        <f>IFERROR(__xludf.DUMMYFUNCTION("GOOGLEFINANCE(""ASX:MRR"", ""low52"")"),0.01)</f>
        <v>0.01</v>
      </c>
      <c r="I1470" s="9">
        <f>IFERROR(__xludf.DUMMYFUNCTION("GOOGLEFINANCE(""ASX:MRR"", ""marketcap"")"),2.5385902E7)</f>
        <v>25385902</v>
      </c>
      <c r="J1470" s="5"/>
      <c r="K1470" s="5"/>
      <c r="L1470" s="5"/>
      <c r="M1470" s="5"/>
      <c r="N1470" s="11" t="s">
        <v>19</v>
      </c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>
      <c r="A1471" s="6" t="s">
        <v>2942</v>
      </c>
      <c r="B1471" s="6" t="s">
        <v>2943</v>
      </c>
      <c r="C1471" s="5" t="s">
        <v>18</v>
      </c>
      <c r="D1471" s="7">
        <f>IFERROR(__xludf.DUMMYFUNCTION("GOOGLEFINANCE(""ASX:MRZ"", ""price"")"),0.3)</f>
        <v>0.3</v>
      </c>
      <c r="E1471" s="8">
        <f>IFERROR(__xludf.DUMMYFUNCTION("GOOGLEFINANCE(""ASX:MRZ"", ""closeyest"")"),0.28)</f>
        <v>0.28</v>
      </c>
      <c r="F1471" s="5" t="str">
        <f>IFERROR(__xludf.DUMMYFUNCTION("GOOGLEFINANCE(""ASX:MRZ"", ""pe"")"),"#N/A")</f>
        <v>#N/A</v>
      </c>
      <c r="G1471" s="9">
        <f>IFERROR(__xludf.DUMMYFUNCTION("GOOGLEFINANCE(""ASX:MRZ"", ""high52"")"),0.4)</f>
        <v>0.4</v>
      </c>
      <c r="H1471" s="9">
        <f>IFERROR(__xludf.DUMMYFUNCTION("GOOGLEFINANCE(""ASX:MRZ"", ""low52"")"),0.11)</f>
        <v>0.11</v>
      </c>
      <c r="I1471" s="9">
        <f>IFERROR(__xludf.DUMMYFUNCTION("GOOGLEFINANCE(""ASX:MRZ"", ""marketcap"")"),5.5679566E7)</f>
        <v>55679566</v>
      </c>
      <c r="J1471" s="5"/>
      <c r="K1471" s="5"/>
      <c r="L1471" s="5"/>
      <c r="M1471" s="5"/>
      <c r="N1471" s="11" t="s">
        <v>19</v>
      </c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>
      <c r="A1472" s="6" t="s">
        <v>2944</v>
      </c>
      <c r="B1472" s="6" t="s">
        <v>2945</v>
      </c>
      <c r="C1472" s="5" t="s">
        <v>25</v>
      </c>
      <c r="D1472" s="7">
        <f>IFERROR(__xludf.DUMMYFUNCTION("GOOGLEFINANCE(""ASX:MSB"", ""price"")"),2.73)</f>
        <v>2.73</v>
      </c>
      <c r="E1472" s="8">
        <f>IFERROR(__xludf.DUMMYFUNCTION("GOOGLEFINANCE(""ASX:MSB"", ""closeyest"")"),2.74)</f>
        <v>2.74</v>
      </c>
      <c r="F1472" s="5" t="str">
        <f>IFERROR(__xludf.DUMMYFUNCTION("GOOGLEFINANCE(""ASX:MSB"", ""pe"")"),"#N/A")</f>
        <v>#N/A</v>
      </c>
      <c r="G1472" s="9">
        <f>IFERROR(__xludf.DUMMYFUNCTION("GOOGLEFINANCE(""ASX:MSB"", ""high52"")"),3.26)</f>
        <v>3.26</v>
      </c>
      <c r="H1472" s="9">
        <f>IFERROR(__xludf.DUMMYFUNCTION("GOOGLEFINANCE(""ASX:MSB"", ""low52"")"),1.52)</f>
        <v>1.52</v>
      </c>
      <c r="I1472" s="9">
        <f>IFERROR(__xludf.DUMMYFUNCTION("GOOGLEFINANCE(""ASX:MSB"", ""marketcap"")"),3.502499934E9)</f>
        <v>3502499934</v>
      </c>
      <c r="J1472" s="5"/>
      <c r="K1472" s="5"/>
      <c r="L1472" s="5"/>
      <c r="M1472" s="5"/>
      <c r="N1472" s="11" t="s">
        <v>19</v>
      </c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>
      <c r="A1473" s="6" t="s">
        <v>2946</v>
      </c>
      <c r="B1473" s="6" t="s">
        <v>2947</v>
      </c>
      <c r="C1473" s="5" t="s">
        <v>161</v>
      </c>
      <c r="D1473" s="7">
        <f>IFERROR(__xludf.DUMMYFUNCTION("GOOGLEFINANCE(""ASX:MSG"", ""price"")"),0.01)</f>
        <v>0.01</v>
      </c>
      <c r="E1473" s="8">
        <f>IFERROR(__xludf.DUMMYFUNCTION("GOOGLEFINANCE(""ASX:MSG"", ""closeyest"")"),0.01)</f>
        <v>0.01</v>
      </c>
      <c r="F1473" s="5" t="str">
        <f>IFERROR(__xludf.DUMMYFUNCTION("GOOGLEFINANCE(""ASX:MSG"", ""pe"")"),"#N/A")</f>
        <v>#N/A</v>
      </c>
      <c r="G1473" s="9">
        <f>IFERROR(__xludf.DUMMYFUNCTION("GOOGLEFINANCE(""ASX:MSG"", ""high52"")"),0.01)</f>
        <v>0.01</v>
      </c>
      <c r="H1473" s="9">
        <f>IFERROR(__xludf.DUMMYFUNCTION("GOOGLEFINANCE(""ASX:MSG"", ""low52"")"),0.0)</f>
        <v>0</v>
      </c>
      <c r="I1473" s="9">
        <f>IFERROR(__xludf.DUMMYFUNCTION("GOOGLEFINANCE(""ASX:MSG"", ""marketcap"")"),1386700.0)</f>
        <v>1386700</v>
      </c>
      <c r="J1473" s="5"/>
      <c r="K1473" s="5"/>
      <c r="L1473" s="5"/>
      <c r="M1473" s="5"/>
      <c r="N1473" s="11" t="s">
        <v>19</v>
      </c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>
      <c r="A1474" s="6" t="s">
        <v>2948</v>
      </c>
      <c r="B1474" s="6" t="s">
        <v>2949</v>
      </c>
      <c r="C1474" s="5" t="s">
        <v>22</v>
      </c>
      <c r="D1474" s="7">
        <f>IFERROR(__xludf.DUMMYFUNCTION("GOOGLEFINANCE(""ASX:MSI"", ""price"")"),0.01)</f>
        <v>0.01</v>
      </c>
      <c r="E1474" s="8">
        <f>IFERROR(__xludf.DUMMYFUNCTION("GOOGLEFINANCE(""ASX:MSI"", ""closeyest"")"),0.01)</f>
        <v>0.01</v>
      </c>
      <c r="F1474" s="9">
        <f>IFERROR(__xludf.DUMMYFUNCTION("GOOGLEFINANCE(""ASX:MSI"", ""pe"")"),0.37)</f>
        <v>0.37</v>
      </c>
      <c r="G1474" s="9">
        <f>IFERROR(__xludf.DUMMYFUNCTION("GOOGLEFINANCE(""ASX:MSI"", ""high52"")"),0.01)</f>
        <v>0.01</v>
      </c>
      <c r="H1474" s="9">
        <f>IFERROR(__xludf.DUMMYFUNCTION("GOOGLEFINANCE(""ASX:MSI"", ""low52"")"),0.0)</f>
        <v>0</v>
      </c>
      <c r="I1474" s="9">
        <f>IFERROR(__xludf.DUMMYFUNCTION("GOOGLEFINANCE(""ASX:MSI"", ""marketcap"")"),681520.0)</f>
        <v>681520</v>
      </c>
      <c r="J1474" s="5"/>
      <c r="K1474" s="5"/>
      <c r="L1474" s="5"/>
      <c r="M1474" s="5"/>
      <c r="N1474" s="10">
        <v>0.37</v>
      </c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>
      <c r="A1475" s="6" t="s">
        <v>2950</v>
      </c>
      <c r="B1475" s="6" t="s">
        <v>2951</v>
      </c>
      <c r="C1475" s="5" t="s">
        <v>36</v>
      </c>
      <c r="D1475" s="7" t="str">
        <f>IFERROR(__xludf.DUMMYFUNCTION("GOOGLEFINANCE(""ASX:MSTR"", ""price"")"),"#N/A")</f>
        <v>#N/A</v>
      </c>
      <c r="E1475" s="8" t="str">
        <f>IFERROR(__xludf.DUMMYFUNCTION("GOOGLEFINANCE(""ASX:MSTR"", ""closeyest"")"),"#N/A")</f>
        <v>#N/A</v>
      </c>
      <c r="F1475" s="5" t="str">
        <f>IFERROR(__xludf.DUMMYFUNCTION("GOOGLEFINANCE(""ASX:MSTR"", ""pe"")"),"#N/A")</f>
        <v>#N/A</v>
      </c>
      <c r="G1475" s="5" t="str">
        <f>IFERROR(__xludf.DUMMYFUNCTION("GOOGLEFINANCE(""ASX:MSTR"", ""high52"")"),"#N/A")</f>
        <v>#N/A</v>
      </c>
      <c r="H1475" s="5" t="str">
        <f>IFERROR(__xludf.DUMMYFUNCTION("GOOGLEFINANCE(""ASX:MSTR"", ""low52"")"),"#N/A")</f>
        <v>#N/A</v>
      </c>
      <c r="I1475" s="9" t="str">
        <f>IFERROR(__xludf.DUMMYFUNCTION("GOOGLEFINANCE(""ASX:MSTR"", ""marketcap"")"),"#N/A")</f>
        <v>#N/A</v>
      </c>
      <c r="J1475" s="12">
        <v>9.51</v>
      </c>
      <c r="K1475" s="12">
        <v>9.42</v>
      </c>
      <c r="L1475" s="12">
        <v>10.88</v>
      </c>
      <c r="M1475" s="12">
        <v>8.5</v>
      </c>
      <c r="N1475" s="11" t="s">
        <v>19</v>
      </c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>
      <c r="A1476" s="6" t="s">
        <v>2952</v>
      </c>
      <c r="B1476" s="6" t="s">
        <v>2953</v>
      </c>
      <c r="C1476" s="5" t="s">
        <v>396</v>
      </c>
      <c r="D1476" s="7">
        <f>IFERROR(__xludf.DUMMYFUNCTION("GOOGLEFINANCE(""ASX:MSV"", ""price"")"),0.35)</f>
        <v>0.35</v>
      </c>
      <c r="E1476" s="8">
        <f>IFERROR(__xludf.DUMMYFUNCTION("GOOGLEFINANCE(""ASX:MSV"", ""closeyest"")"),0.35)</f>
        <v>0.35</v>
      </c>
      <c r="F1476" s="9">
        <f>IFERROR(__xludf.DUMMYFUNCTION("GOOGLEFINANCE(""ASX:MSV"", ""pe"")"),136.9)</f>
        <v>136.9</v>
      </c>
      <c r="G1476" s="9">
        <f>IFERROR(__xludf.DUMMYFUNCTION("GOOGLEFINANCE(""ASX:MSV"", ""high52"")"),0.39)</f>
        <v>0.39</v>
      </c>
      <c r="H1476" s="9">
        <f>IFERROR(__xludf.DUMMYFUNCTION("GOOGLEFINANCE(""ASX:MSV"", ""low52"")"),0.21)</f>
        <v>0.21</v>
      </c>
      <c r="I1476" s="9">
        <f>IFERROR(__xludf.DUMMYFUNCTION("GOOGLEFINANCE(""ASX:MSV"", ""marketcap"")"),7.2051628E7)</f>
        <v>72051628</v>
      </c>
      <c r="J1476" s="5"/>
      <c r="K1476" s="5"/>
      <c r="L1476" s="5"/>
      <c r="M1476" s="5"/>
      <c r="N1476" s="10">
        <v>132.94</v>
      </c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>
      <c r="A1477" s="6" t="s">
        <v>2954</v>
      </c>
      <c r="B1477" s="6" t="s">
        <v>2955</v>
      </c>
      <c r="C1477" s="5" t="s">
        <v>18</v>
      </c>
      <c r="D1477" s="7">
        <f>IFERROR(__xludf.DUMMYFUNCTION("GOOGLEFINANCE(""ASX:MTB"", ""price"")"),0.02)</f>
        <v>0.02</v>
      </c>
      <c r="E1477" s="8">
        <f>IFERROR(__xludf.DUMMYFUNCTION("GOOGLEFINANCE(""ASX:MTB"", ""closeyest"")"),0.02)</f>
        <v>0.02</v>
      </c>
      <c r="F1477" s="5" t="str">
        <f>IFERROR(__xludf.DUMMYFUNCTION("GOOGLEFINANCE(""ASX:MTB"", ""pe"")"),"#N/A")</f>
        <v>#N/A</v>
      </c>
      <c r="G1477" s="9">
        <f>IFERROR(__xludf.DUMMYFUNCTION("GOOGLEFINANCE(""ASX:MTB"", ""high52"")"),0.02)</f>
        <v>0.02</v>
      </c>
      <c r="H1477" s="9">
        <f>IFERROR(__xludf.DUMMYFUNCTION("GOOGLEFINANCE(""ASX:MTB"", ""low52"")"),0.0)</f>
        <v>0</v>
      </c>
      <c r="I1477" s="9">
        <f>IFERROR(__xludf.DUMMYFUNCTION("GOOGLEFINANCE(""ASX:MTB"", ""marketcap"")"),1.0361962E7)</f>
        <v>10361962</v>
      </c>
      <c r="J1477" s="5"/>
      <c r="K1477" s="5"/>
      <c r="L1477" s="5"/>
      <c r="M1477" s="5"/>
      <c r="N1477" s="11" t="s">
        <v>19</v>
      </c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>
      <c r="A1478" s="6" t="s">
        <v>2956</v>
      </c>
      <c r="B1478" s="6" t="s">
        <v>2957</v>
      </c>
      <c r="C1478" s="5" t="s">
        <v>18</v>
      </c>
      <c r="D1478" s="7">
        <f>IFERROR(__xludf.DUMMYFUNCTION("GOOGLEFINANCE(""ASX:MTC"", ""price"")"),0.28)</f>
        <v>0.28</v>
      </c>
      <c r="E1478" s="8">
        <f>IFERROR(__xludf.DUMMYFUNCTION("GOOGLEFINANCE(""ASX:MTC"", ""closeyest"")"),0.27)</f>
        <v>0.27</v>
      </c>
      <c r="F1478" s="5" t="str">
        <f>IFERROR(__xludf.DUMMYFUNCTION("GOOGLEFINANCE(""ASX:MTC"", ""pe"")"),"#N/A")</f>
        <v>#N/A</v>
      </c>
      <c r="G1478" s="9">
        <f>IFERROR(__xludf.DUMMYFUNCTION("GOOGLEFINANCE(""ASX:MTC"", ""high52"")"),0.38)</f>
        <v>0.38</v>
      </c>
      <c r="H1478" s="9">
        <f>IFERROR(__xludf.DUMMYFUNCTION("GOOGLEFINANCE(""ASX:MTC"", ""low52"")"),0.09)</f>
        <v>0.09</v>
      </c>
      <c r="I1478" s="9">
        <f>IFERROR(__xludf.DUMMYFUNCTION("GOOGLEFINANCE(""ASX:MTC"", ""marketcap"")"),6.1092598E7)</f>
        <v>61092598</v>
      </c>
      <c r="J1478" s="5"/>
      <c r="K1478" s="5"/>
      <c r="L1478" s="5"/>
      <c r="M1478" s="5"/>
      <c r="N1478" s="11" t="s">
        <v>19</v>
      </c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>
      <c r="A1479" s="6" t="s">
        <v>2958</v>
      </c>
      <c r="B1479" s="6" t="s">
        <v>2959</v>
      </c>
      <c r="C1479" s="5" t="s">
        <v>18</v>
      </c>
      <c r="D1479" s="7">
        <f>IFERROR(__xludf.DUMMYFUNCTION("GOOGLEFINANCE(""ASX:MTH"", ""price"")"),0.58)</f>
        <v>0.58</v>
      </c>
      <c r="E1479" s="8">
        <f>IFERROR(__xludf.DUMMYFUNCTION("GOOGLEFINANCE(""ASX:MTH"", ""closeyest"")"),0.59)</f>
        <v>0.59</v>
      </c>
      <c r="F1479" s="5" t="str">
        <f>IFERROR(__xludf.DUMMYFUNCTION("GOOGLEFINANCE(""ASX:MTH"", ""pe"")"),"#N/A")</f>
        <v>#N/A</v>
      </c>
      <c r="G1479" s="9">
        <f>IFERROR(__xludf.DUMMYFUNCTION("GOOGLEFINANCE(""ASX:MTH"", ""high52"")"),0.73)</f>
        <v>0.73</v>
      </c>
      <c r="H1479" s="9">
        <f>IFERROR(__xludf.DUMMYFUNCTION("GOOGLEFINANCE(""ASX:MTH"", ""low52"")"),0.28)</f>
        <v>0.28</v>
      </c>
      <c r="I1479" s="9">
        <f>IFERROR(__xludf.DUMMYFUNCTION("GOOGLEFINANCE(""ASX:MTH"", ""marketcap"")"),1.0702554E8)</f>
        <v>107025540</v>
      </c>
      <c r="J1479" s="9">
        <v>0.004</v>
      </c>
      <c r="K1479" s="9">
        <v>0.004</v>
      </c>
      <c r="L1479" s="9">
        <v>0.007</v>
      </c>
      <c r="M1479" s="9">
        <v>0.002</v>
      </c>
      <c r="N1479" s="11" t="s">
        <v>19</v>
      </c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>
      <c r="A1480" s="6" t="s">
        <v>2960</v>
      </c>
      <c r="B1480" s="6" t="s">
        <v>2961</v>
      </c>
      <c r="C1480" s="5" t="s">
        <v>39</v>
      </c>
      <c r="D1480" s="7">
        <f>IFERROR(__xludf.DUMMYFUNCTION("GOOGLEFINANCE(""ASX:MTL"", ""price"")"),0.0)</f>
        <v>0</v>
      </c>
      <c r="E1480" s="8">
        <f>IFERROR(__xludf.DUMMYFUNCTION("GOOGLEFINANCE(""ASX:MTL"", ""closeyest"")"),0.0)</f>
        <v>0</v>
      </c>
      <c r="F1480" s="5" t="str">
        <f>IFERROR(__xludf.DUMMYFUNCTION("GOOGLEFINANCE(""ASX:MTL"", ""pe"")"),"#N/A")</f>
        <v>#N/A</v>
      </c>
      <c r="G1480" s="9">
        <f>IFERROR(__xludf.DUMMYFUNCTION("GOOGLEFINANCE(""ASX:MTL"", ""high52"")"),0.0)</f>
        <v>0</v>
      </c>
      <c r="H1480" s="9">
        <f>IFERROR(__xludf.DUMMYFUNCTION("GOOGLEFINANCE(""ASX:MTL"", ""low52"")"),0.0)</f>
        <v>0</v>
      </c>
      <c r="I1480" s="9">
        <f>IFERROR(__xludf.DUMMYFUNCTION("GOOGLEFINANCE(""ASX:MTL"", ""marketcap"")"),619745.0)</f>
        <v>619745</v>
      </c>
      <c r="J1480" s="12">
        <v>0.001</v>
      </c>
      <c r="K1480" s="12">
        <v>0.001</v>
      </c>
      <c r="L1480" s="12">
        <v>0.002</v>
      </c>
      <c r="M1480" s="12">
        <v>0.001</v>
      </c>
      <c r="N1480" s="11" t="s">
        <v>19</v>
      </c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>
      <c r="A1481" s="6" t="s">
        <v>2962</v>
      </c>
      <c r="B1481" s="6" t="s">
        <v>2963</v>
      </c>
      <c r="C1481" s="5" t="s">
        <v>18</v>
      </c>
      <c r="D1481" s="7">
        <f>IFERROR(__xludf.DUMMYFUNCTION("GOOGLEFINANCE(""ASX:MTM"", ""price"")"),0.88)</f>
        <v>0.88</v>
      </c>
      <c r="E1481" s="8">
        <f>IFERROR(__xludf.DUMMYFUNCTION("GOOGLEFINANCE(""ASX:MTM"", ""closeyest"")"),0.91)</f>
        <v>0.91</v>
      </c>
      <c r="F1481" s="5" t="str">
        <f>IFERROR(__xludf.DUMMYFUNCTION("GOOGLEFINANCE(""ASX:MTM"", ""pe"")"),"#N/A")</f>
        <v>#N/A</v>
      </c>
      <c r="G1481" s="9">
        <f>IFERROR(__xludf.DUMMYFUNCTION("GOOGLEFINANCE(""ASX:MTM"", ""high52"")"),1.49)</f>
        <v>1.49</v>
      </c>
      <c r="H1481" s="9">
        <f>IFERROR(__xludf.DUMMYFUNCTION("GOOGLEFINANCE(""ASX:MTM"", ""low52"")"),0.12)</f>
        <v>0.12</v>
      </c>
      <c r="I1481" s="9">
        <f>IFERROR(__xludf.DUMMYFUNCTION("GOOGLEFINANCE(""ASX:MTM"", ""marketcap"")"),5.52275765E8)</f>
        <v>552275765</v>
      </c>
      <c r="J1481" s="5"/>
      <c r="K1481" s="5"/>
      <c r="L1481" s="5"/>
      <c r="M1481" s="5"/>
      <c r="N1481" s="11" t="s">
        <v>19</v>
      </c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>
      <c r="A1482" s="6" t="s">
        <v>2964</v>
      </c>
      <c r="B1482" s="6" t="s">
        <v>2965</v>
      </c>
      <c r="C1482" s="5" t="s">
        <v>435</v>
      </c>
      <c r="D1482" s="7">
        <f>IFERROR(__xludf.DUMMYFUNCTION("GOOGLEFINANCE(""ASX:MTO"", ""price"")"),3.05)</f>
        <v>3.05</v>
      </c>
      <c r="E1482" s="8">
        <f>IFERROR(__xludf.DUMMYFUNCTION("GOOGLEFINANCE(""ASX:MTO"", ""closeyest"")"),3.13)</f>
        <v>3.13</v>
      </c>
      <c r="F1482" s="9">
        <f>IFERROR(__xludf.DUMMYFUNCTION("GOOGLEFINANCE(""ASX:MTO"", ""pe"")"),12.49)</f>
        <v>12.49</v>
      </c>
      <c r="G1482" s="9">
        <f>IFERROR(__xludf.DUMMYFUNCTION("GOOGLEFINANCE(""ASX:MTO"", ""high52"")"),4.0)</f>
        <v>4</v>
      </c>
      <c r="H1482" s="9">
        <f>IFERROR(__xludf.DUMMYFUNCTION("GOOGLEFINANCE(""ASX:MTO"", ""low52"")"),1.64)</f>
        <v>1.64</v>
      </c>
      <c r="I1482" s="9">
        <f>IFERROR(__xludf.DUMMYFUNCTION("GOOGLEFINANCE(""ASX:MTO"", ""marketcap"")"),2.25282115E8)</f>
        <v>225282115</v>
      </c>
      <c r="J1482" s="5"/>
      <c r="K1482" s="5"/>
      <c r="L1482" s="5"/>
      <c r="M1482" s="5"/>
      <c r="N1482" s="10">
        <v>12.86</v>
      </c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>
      <c r="A1483" s="6" t="s">
        <v>2966</v>
      </c>
      <c r="B1483" s="6" t="s">
        <v>2967</v>
      </c>
      <c r="C1483" s="5" t="s">
        <v>580</v>
      </c>
      <c r="D1483" s="7">
        <f>IFERROR(__xludf.DUMMYFUNCTION("GOOGLEFINANCE(""ASX:MTS"", ""price"")"),3.29)</f>
        <v>3.29</v>
      </c>
      <c r="E1483" s="8">
        <f>IFERROR(__xludf.DUMMYFUNCTION("GOOGLEFINANCE(""ASX:MTS"", ""closeyest"")"),3.25)</f>
        <v>3.25</v>
      </c>
      <c r="F1483" s="9">
        <f>IFERROR(__xludf.DUMMYFUNCTION("GOOGLEFINANCE(""ASX:MTS"", ""pe"")"),12.77)</f>
        <v>12.77</v>
      </c>
      <c r="G1483" s="9">
        <f>IFERROR(__xludf.DUMMYFUNCTION("GOOGLEFINANCE(""ASX:MTS"", ""high52"")"),4.26)</f>
        <v>4.26</v>
      </c>
      <c r="H1483" s="9">
        <f>IFERROR(__xludf.DUMMYFUNCTION("GOOGLEFINANCE(""ASX:MTS"", ""low52"")"),2.96)</f>
        <v>2.96</v>
      </c>
      <c r="I1483" s="9">
        <f>IFERROR(__xludf.DUMMYFUNCTION("GOOGLEFINANCE(""ASX:MTS"", ""marketcap"")"),3.615673768E9)</f>
        <v>3615673768</v>
      </c>
      <c r="J1483" s="5"/>
      <c r="K1483" s="5"/>
      <c r="L1483" s="5"/>
      <c r="M1483" s="5"/>
      <c r="N1483" s="10">
        <v>12.85</v>
      </c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>
      <c r="A1484" s="6" t="s">
        <v>2968</v>
      </c>
      <c r="B1484" s="6" t="s">
        <v>2969</v>
      </c>
      <c r="C1484" s="5" t="s">
        <v>36</v>
      </c>
      <c r="D1484" s="7">
        <f>IFERROR(__xludf.DUMMYFUNCTION("GOOGLEFINANCE(""ASX:MTUM"", ""price"")"),28.56)</f>
        <v>28.56</v>
      </c>
      <c r="E1484" s="8">
        <f>IFERROR(__xludf.DUMMYFUNCTION("GOOGLEFINANCE(""ASX:MTUM"", ""closeyest"")"),28.44)</f>
        <v>28.44</v>
      </c>
      <c r="F1484" s="5" t="str">
        <f>IFERROR(__xludf.DUMMYFUNCTION("GOOGLEFINANCE(""ASX:MTUM"", ""pe"")"),"#N/A")</f>
        <v>#N/A</v>
      </c>
      <c r="G1484" s="9">
        <f>IFERROR(__xludf.DUMMYFUNCTION("GOOGLEFINANCE(""ASX:MTUM"", ""high52"")"),32.0)</f>
        <v>32</v>
      </c>
      <c r="H1484" s="9">
        <f>IFERROR(__xludf.DUMMYFUNCTION("GOOGLEFINANCE(""ASX:MTUM"", ""low52"")"),22.9)</f>
        <v>22.9</v>
      </c>
      <c r="I1484" s="9" t="str">
        <f>IFERROR(__xludf.DUMMYFUNCTION("GOOGLEFINANCE(""ASX:MTUM"", ""marketcap"")"),"#N/A")</f>
        <v>#N/A</v>
      </c>
      <c r="J1484" s="5"/>
      <c r="K1484" s="5"/>
      <c r="L1484" s="5"/>
      <c r="M1484" s="5"/>
      <c r="N1484" s="11" t="s">
        <v>19</v>
      </c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>
      <c r="A1485" s="6" t="s">
        <v>2970</v>
      </c>
      <c r="B1485" s="6" t="s">
        <v>2971</v>
      </c>
      <c r="C1485" s="5" t="s">
        <v>36</v>
      </c>
      <c r="D1485" s="7">
        <f>IFERROR(__xludf.DUMMYFUNCTION("GOOGLEFINANCE(""ASX:MVA"", ""price"")"),25.76)</f>
        <v>25.76</v>
      </c>
      <c r="E1485" s="8">
        <f>IFERROR(__xludf.DUMMYFUNCTION("GOOGLEFINANCE(""ASX:MVA"", ""closeyest"")"),25.53)</f>
        <v>25.53</v>
      </c>
      <c r="F1485" s="5" t="str">
        <f>IFERROR(__xludf.DUMMYFUNCTION("GOOGLEFINANCE(""ASX:MVA"", ""pe"")"),"#N/A")</f>
        <v>#N/A</v>
      </c>
      <c r="G1485" s="9">
        <f>IFERROR(__xludf.DUMMYFUNCTION("GOOGLEFINANCE(""ASX:MVA"", ""high52"")"),28.0)</f>
        <v>28</v>
      </c>
      <c r="H1485" s="9">
        <f>IFERROR(__xludf.DUMMYFUNCTION("GOOGLEFINANCE(""ASX:MVA"", ""low52"")"),21.3)</f>
        <v>21.3</v>
      </c>
      <c r="I1485" s="9" t="str">
        <f>IFERROR(__xludf.DUMMYFUNCTION("GOOGLEFINANCE(""ASX:MVA"", ""marketcap"")"),"#N/A")</f>
        <v>#N/A</v>
      </c>
      <c r="J1485" s="9">
        <v>0.003</v>
      </c>
      <c r="K1485" s="9">
        <v>0.003</v>
      </c>
      <c r="L1485" s="9">
        <v>0.006</v>
      </c>
      <c r="M1485" s="9">
        <v>0.001</v>
      </c>
      <c r="N1485" s="11" t="s">
        <v>19</v>
      </c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>
      <c r="A1486" s="6" t="s">
        <v>2972</v>
      </c>
      <c r="B1486" s="6" t="s">
        <v>2973</v>
      </c>
      <c r="C1486" s="5" t="s">
        <v>36</v>
      </c>
      <c r="D1486" s="7">
        <f>IFERROR(__xludf.DUMMYFUNCTION("GOOGLEFINANCE(""ASX:MVB"", ""price"")"),41.28)</f>
        <v>41.28</v>
      </c>
      <c r="E1486" s="8">
        <f>IFERROR(__xludf.DUMMYFUNCTION("GOOGLEFINANCE(""ASX:MVB"", ""closeyest"")"),41.69)</f>
        <v>41.69</v>
      </c>
      <c r="F1486" s="5" t="str">
        <f>IFERROR(__xludf.DUMMYFUNCTION("GOOGLEFINANCE(""ASX:MVB"", ""pe"")"),"#N/A")</f>
        <v>#N/A</v>
      </c>
      <c r="G1486" s="9">
        <f>IFERROR(__xludf.DUMMYFUNCTION("GOOGLEFINANCE(""ASX:MVB"", ""high52"")"),45.3)</f>
        <v>45.3</v>
      </c>
      <c r="H1486" s="9">
        <f>IFERROR(__xludf.DUMMYFUNCTION("GOOGLEFINANCE(""ASX:MVB"", ""low52"")"),32.98)</f>
        <v>32.98</v>
      </c>
      <c r="I1486" s="9" t="str">
        <f>IFERROR(__xludf.DUMMYFUNCTION("GOOGLEFINANCE(""ASX:MVB"", ""marketcap"")"),"#N/A")</f>
        <v>#N/A</v>
      </c>
      <c r="J1486" s="5"/>
      <c r="K1486" s="5"/>
      <c r="L1486" s="5"/>
      <c r="M1486" s="5"/>
      <c r="N1486" s="11" t="s">
        <v>19</v>
      </c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>
      <c r="A1487" s="6" t="s">
        <v>2974</v>
      </c>
      <c r="B1487" s="6" t="s">
        <v>2975</v>
      </c>
      <c r="C1487" s="5" t="s">
        <v>36</v>
      </c>
      <c r="D1487" s="7">
        <f>IFERROR(__xludf.DUMMYFUNCTION("GOOGLEFINANCE(""ASX:MVE"", ""price"")"),45.99)</f>
        <v>45.99</v>
      </c>
      <c r="E1487" s="8">
        <f>IFERROR(__xludf.DUMMYFUNCTION("GOOGLEFINANCE(""ASX:MVE"", ""closeyest"")"),45.75)</f>
        <v>45.75</v>
      </c>
      <c r="F1487" s="5" t="str">
        <f>IFERROR(__xludf.DUMMYFUNCTION("GOOGLEFINANCE(""ASX:MVE"", ""pe"")"),"#N/A")</f>
        <v>#N/A</v>
      </c>
      <c r="G1487" s="9">
        <f>IFERROR(__xludf.DUMMYFUNCTION("GOOGLEFINANCE(""ASX:MVE"", ""high52"")"),47.44)</f>
        <v>47.44</v>
      </c>
      <c r="H1487" s="9">
        <f>IFERROR(__xludf.DUMMYFUNCTION("GOOGLEFINANCE(""ASX:MVE"", ""low52"")"),34.38)</f>
        <v>34.38</v>
      </c>
      <c r="I1487" s="9" t="str">
        <f>IFERROR(__xludf.DUMMYFUNCTION("GOOGLEFINANCE(""ASX:MVE"", ""marketcap"")"),"#N/A")</f>
        <v>#N/A</v>
      </c>
      <c r="J1487" s="5"/>
      <c r="K1487" s="5"/>
      <c r="L1487" s="5"/>
      <c r="M1487" s="5"/>
      <c r="N1487" s="11" t="s">
        <v>19</v>
      </c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>
      <c r="A1488" s="6" t="s">
        <v>2976</v>
      </c>
      <c r="B1488" s="6" t="s">
        <v>2977</v>
      </c>
      <c r="C1488" s="5" t="s">
        <v>164</v>
      </c>
      <c r="D1488" s="7">
        <f>IFERROR(__xludf.DUMMYFUNCTION("GOOGLEFINANCE(""ASX:MVF"", ""price"")"),0.75)</f>
        <v>0.75</v>
      </c>
      <c r="E1488" s="8">
        <f>IFERROR(__xludf.DUMMYFUNCTION("GOOGLEFINANCE(""ASX:MVF"", ""closeyest"")"),0.76)</f>
        <v>0.76</v>
      </c>
      <c r="F1488" s="9">
        <f>IFERROR(__xludf.DUMMYFUNCTION("GOOGLEFINANCE(""ASX:MVF"", ""pe"")"),11.72)</f>
        <v>11.72</v>
      </c>
      <c r="G1488" s="9">
        <f>IFERROR(__xludf.DUMMYFUNCTION("GOOGLEFINANCE(""ASX:MVF"", ""high52"")"),1.29)</f>
        <v>1.29</v>
      </c>
      <c r="H1488" s="9">
        <f>IFERROR(__xludf.DUMMYFUNCTION("GOOGLEFINANCE(""ASX:MVF"", ""low52"")"),0.54)</f>
        <v>0.54</v>
      </c>
      <c r="I1488" s="9">
        <f>IFERROR(__xludf.DUMMYFUNCTION("GOOGLEFINANCE(""ASX:MVF"", ""marketcap"")"),2.922261E8)</f>
        <v>292226100</v>
      </c>
      <c r="J1488" s="5"/>
      <c r="K1488" s="5"/>
      <c r="L1488" s="5"/>
      <c r="M1488" s="5"/>
      <c r="N1488" s="10">
        <v>11.72</v>
      </c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>
      <c r="A1489" s="6" t="s">
        <v>2978</v>
      </c>
      <c r="B1489" s="6" t="s">
        <v>2979</v>
      </c>
      <c r="C1489" s="5" t="s">
        <v>88</v>
      </c>
      <c r="D1489" s="7">
        <f>IFERROR(__xludf.DUMMYFUNCTION("GOOGLEFINANCE(""ASX:MVL"", ""price"")"),0.02)</f>
        <v>0.02</v>
      </c>
      <c r="E1489" s="8">
        <f>IFERROR(__xludf.DUMMYFUNCTION("GOOGLEFINANCE(""ASX:MVL"", ""closeyest"")"),0.02)</f>
        <v>0.02</v>
      </c>
      <c r="F1489" s="5" t="str">
        <f>IFERROR(__xludf.DUMMYFUNCTION("GOOGLEFINANCE(""ASX:MVL"", ""pe"")"),"#N/A")</f>
        <v>#N/A</v>
      </c>
      <c r="G1489" s="9">
        <f>IFERROR(__xludf.DUMMYFUNCTION("GOOGLEFINANCE(""ASX:MVL"", ""high52"")"),0.02)</f>
        <v>0.02</v>
      </c>
      <c r="H1489" s="9">
        <f>IFERROR(__xludf.DUMMYFUNCTION("GOOGLEFINANCE(""ASX:MVL"", ""low52"")"),0.01)</f>
        <v>0.01</v>
      </c>
      <c r="I1489" s="9">
        <f>IFERROR(__xludf.DUMMYFUNCTION("GOOGLEFINANCE(""ASX:MVL"", ""marketcap"")"),2.0511181E7)</f>
        <v>20511181</v>
      </c>
      <c r="J1489" s="5"/>
      <c r="K1489" s="5"/>
      <c r="L1489" s="5"/>
      <c r="M1489" s="5"/>
      <c r="N1489" s="11" t="s">
        <v>19</v>
      </c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>
      <c r="A1490" s="6" t="s">
        <v>2980</v>
      </c>
      <c r="B1490" s="6" t="s">
        <v>2981</v>
      </c>
      <c r="C1490" s="5" t="s">
        <v>36</v>
      </c>
      <c r="D1490" s="7">
        <f>IFERROR(__xludf.DUMMYFUNCTION("GOOGLEFINANCE(""ASX:MVOL"", ""price"")"),34.68)</f>
        <v>34.68</v>
      </c>
      <c r="E1490" s="8">
        <f>IFERROR(__xludf.DUMMYFUNCTION("GOOGLEFINANCE(""ASX:MVOL"", ""closeyest"")"),35.17)</f>
        <v>35.17</v>
      </c>
      <c r="F1490" s="5" t="str">
        <f>IFERROR(__xludf.DUMMYFUNCTION("GOOGLEFINANCE(""ASX:MVOL"", ""pe"")"),"#N/A")</f>
        <v>#N/A</v>
      </c>
      <c r="G1490" s="9">
        <f>IFERROR(__xludf.DUMMYFUNCTION("GOOGLEFINANCE(""ASX:MVOL"", ""high52"")"),37.25)</f>
        <v>37.25</v>
      </c>
      <c r="H1490" s="9">
        <f>IFERROR(__xludf.DUMMYFUNCTION("GOOGLEFINANCE(""ASX:MVOL"", ""low52"")"),30.3)</f>
        <v>30.3</v>
      </c>
      <c r="I1490" s="9" t="str">
        <f>IFERROR(__xludf.DUMMYFUNCTION("GOOGLEFINANCE(""ASX:MVOL"", ""marketcap"")"),"#N/A")</f>
        <v>#N/A</v>
      </c>
      <c r="J1490" s="5"/>
      <c r="K1490" s="5"/>
      <c r="L1490" s="5"/>
      <c r="M1490" s="5"/>
      <c r="N1490" s="11" t="s">
        <v>19</v>
      </c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>
      <c r="A1491" s="6" t="s">
        <v>2982</v>
      </c>
      <c r="B1491" s="6" t="s">
        <v>2983</v>
      </c>
      <c r="C1491" s="5" t="s">
        <v>174</v>
      </c>
      <c r="D1491" s="7">
        <f>IFERROR(__xludf.DUMMYFUNCTION("GOOGLEFINANCE(""ASX:MVP"", ""price"")"),0.55)</f>
        <v>0.55</v>
      </c>
      <c r="E1491" s="8">
        <f>IFERROR(__xludf.DUMMYFUNCTION("GOOGLEFINANCE(""ASX:MVP"", ""closeyest"")"),0.56)</f>
        <v>0.56</v>
      </c>
      <c r="F1491" s="9">
        <f>IFERROR(__xludf.DUMMYFUNCTION("GOOGLEFINANCE(""ASX:MVP"", ""pe"")"),648.81)</f>
        <v>648.81</v>
      </c>
      <c r="G1491" s="9">
        <f>IFERROR(__xludf.DUMMYFUNCTION("GOOGLEFINANCE(""ASX:MVP"", ""high52"")"),0.94)</f>
        <v>0.94</v>
      </c>
      <c r="H1491" s="9">
        <f>IFERROR(__xludf.DUMMYFUNCTION("GOOGLEFINANCE(""ASX:MVP"", ""low52"")"),0.4)</f>
        <v>0.4</v>
      </c>
      <c r="I1491" s="9">
        <f>IFERROR(__xludf.DUMMYFUNCTION("GOOGLEFINANCE(""ASX:MVP"", ""marketcap"")"),6.1398775E7)</f>
        <v>61398775</v>
      </c>
      <c r="J1491" s="5"/>
      <c r="K1491" s="5"/>
      <c r="L1491" s="5"/>
      <c r="M1491" s="5"/>
      <c r="N1491" s="10">
        <v>654.76</v>
      </c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>
      <c r="A1492" s="6" t="s">
        <v>2984</v>
      </c>
      <c r="B1492" s="6" t="s">
        <v>2985</v>
      </c>
      <c r="C1492" s="5" t="s">
        <v>36</v>
      </c>
      <c r="D1492" s="7">
        <f>IFERROR(__xludf.DUMMYFUNCTION("GOOGLEFINANCE(""ASX:MVR"", ""price"")"),44.95)</f>
        <v>44.95</v>
      </c>
      <c r="E1492" s="8">
        <f>IFERROR(__xludf.DUMMYFUNCTION("GOOGLEFINANCE(""ASX:MVR"", ""closeyest"")"),44.64)</f>
        <v>44.64</v>
      </c>
      <c r="F1492" s="5" t="str">
        <f>IFERROR(__xludf.DUMMYFUNCTION("GOOGLEFINANCE(""ASX:MVR"", ""pe"")"),"#N/A")</f>
        <v>#N/A</v>
      </c>
      <c r="G1492" s="9">
        <f>IFERROR(__xludf.DUMMYFUNCTION("GOOGLEFINANCE(""ASX:MVR"", ""high52"")"),45.14)</f>
        <v>45.14</v>
      </c>
      <c r="H1492" s="9">
        <f>IFERROR(__xludf.DUMMYFUNCTION("GOOGLEFINANCE(""ASX:MVR"", ""low52"")"),27.63)</f>
        <v>27.63</v>
      </c>
      <c r="I1492" s="9" t="str">
        <f>IFERROR(__xludf.DUMMYFUNCTION("GOOGLEFINANCE(""ASX:MVR"", ""marketcap"")"),"#N/A")</f>
        <v>#N/A</v>
      </c>
      <c r="J1492" s="5"/>
      <c r="K1492" s="5"/>
      <c r="L1492" s="5"/>
      <c r="M1492" s="5"/>
      <c r="N1492" s="11" t="str">
        <f>IFERROR(__xludf.DUMMYFUNCTION("IFERROR(GOOGLEFINANCE(""ASX:MVR"", ""pe""), ""N/A"")"),"N/A")</f>
        <v>N/A</v>
      </c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>
      <c r="A1493" s="6" t="s">
        <v>2986</v>
      </c>
      <c r="B1493" s="6" t="s">
        <v>2987</v>
      </c>
      <c r="C1493" s="5" t="s">
        <v>36</v>
      </c>
      <c r="D1493" s="7">
        <f>IFERROR(__xludf.DUMMYFUNCTION("GOOGLEFINANCE(""ASX:MVS"", ""price"")"),23.44)</f>
        <v>23.44</v>
      </c>
      <c r="E1493" s="8">
        <f>IFERROR(__xludf.DUMMYFUNCTION("GOOGLEFINANCE(""ASX:MVS"", ""closeyest"")"),23.31)</f>
        <v>23.31</v>
      </c>
      <c r="F1493" s="5" t="str">
        <f>IFERROR(__xludf.DUMMYFUNCTION("GOOGLEFINANCE(""ASX:MVS"", ""pe"")"),"#N/A")</f>
        <v>#N/A</v>
      </c>
      <c r="G1493" s="9">
        <f>IFERROR(__xludf.DUMMYFUNCTION("GOOGLEFINANCE(""ASX:MVS"", ""high52"")"),24.02)</f>
        <v>24.02</v>
      </c>
      <c r="H1493" s="9">
        <f>IFERROR(__xludf.DUMMYFUNCTION("GOOGLEFINANCE(""ASX:MVS"", ""low52"")"),16.83)</f>
        <v>16.83</v>
      </c>
      <c r="I1493" s="9" t="str">
        <f>IFERROR(__xludf.DUMMYFUNCTION("GOOGLEFINANCE(""ASX:MVS"", ""marketcap"")"),"#N/A")</f>
        <v>#N/A</v>
      </c>
      <c r="J1493" s="5"/>
      <c r="K1493" s="5"/>
      <c r="L1493" s="5"/>
      <c r="M1493" s="5"/>
      <c r="N1493" s="11" t="str">
        <f>IFERROR(__xludf.DUMMYFUNCTION("IFERROR(GOOGLEFINANCE(""ASX:MVS"", ""pe""), ""N/A"")"),"N/A")</f>
        <v>N/A</v>
      </c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>
      <c r="A1494" s="6" t="s">
        <v>2988</v>
      </c>
      <c r="B1494" s="6" t="s">
        <v>2989</v>
      </c>
      <c r="C1494" s="5" t="s">
        <v>36</v>
      </c>
      <c r="D1494" s="7">
        <f>IFERROR(__xludf.DUMMYFUNCTION("GOOGLEFINANCE(""ASX:MVW"", ""price"")"),38.26)</f>
        <v>38.26</v>
      </c>
      <c r="E1494" s="8">
        <f>IFERROR(__xludf.DUMMYFUNCTION("GOOGLEFINANCE(""ASX:MVW"", ""closeyest"")"),38.01)</f>
        <v>38.01</v>
      </c>
      <c r="F1494" s="5" t="str">
        <f>IFERROR(__xludf.DUMMYFUNCTION("GOOGLEFINANCE(""ASX:MVW"", ""pe"")"),"#N/A")</f>
        <v>#N/A</v>
      </c>
      <c r="G1494" s="9">
        <f>IFERROR(__xludf.DUMMYFUNCTION("GOOGLEFINANCE(""ASX:MVW"", ""high52"")"),41.0)</f>
        <v>41</v>
      </c>
      <c r="H1494" s="9">
        <f>IFERROR(__xludf.DUMMYFUNCTION("GOOGLEFINANCE(""ASX:MVW"", ""low52"")"),33.03)</f>
        <v>33.03</v>
      </c>
      <c r="I1494" s="9" t="str">
        <f>IFERROR(__xludf.DUMMYFUNCTION("GOOGLEFINANCE(""ASX:MVW"", ""marketcap"")"),"#N/A")</f>
        <v>#N/A</v>
      </c>
      <c r="J1494" s="5"/>
      <c r="K1494" s="5"/>
      <c r="L1494" s="5"/>
      <c r="M1494" s="5"/>
      <c r="N1494" s="11" t="str">
        <f>IFERROR(__xludf.DUMMYFUNCTION("IFERROR(GOOGLEFINANCE(""ASX:MVW"", ""pe""), ""N/A"")"),"N/A")</f>
        <v>N/A</v>
      </c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>
      <c r="A1495" s="6" t="s">
        <v>2990</v>
      </c>
      <c r="B1495" s="6" t="s">
        <v>2991</v>
      </c>
      <c r="C1495" s="5" t="s">
        <v>62</v>
      </c>
      <c r="D1495" s="7">
        <f>IFERROR(__xludf.DUMMYFUNCTION("GOOGLEFINANCE(""ASX:MX1"", ""price"")"),0.09)</f>
        <v>0.09</v>
      </c>
      <c r="E1495" s="8">
        <f>IFERROR(__xludf.DUMMYFUNCTION("GOOGLEFINANCE(""ASX:MX1"", ""closeyest"")"),0.1)</f>
        <v>0.1</v>
      </c>
      <c r="F1495" s="5" t="str">
        <f>IFERROR(__xludf.DUMMYFUNCTION("GOOGLEFINANCE(""ASX:MX1"", ""pe"")"),"#N/A")</f>
        <v>#N/A</v>
      </c>
      <c r="G1495" s="9">
        <f>IFERROR(__xludf.DUMMYFUNCTION("GOOGLEFINANCE(""ASX:MX1"", ""high52"")"),0.12)</f>
        <v>0.12</v>
      </c>
      <c r="H1495" s="9">
        <f>IFERROR(__xludf.DUMMYFUNCTION("GOOGLEFINANCE(""ASX:MX1"", ""low52"")"),0.04)</f>
        <v>0.04</v>
      </c>
      <c r="I1495" s="9">
        <f>IFERROR(__xludf.DUMMYFUNCTION("GOOGLEFINANCE(""ASX:MX1"", ""marketcap"")"),6.3233004E7)</f>
        <v>63233004</v>
      </c>
      <c r="J1495" s="5"/>
      <c r="K1495" s="5"/>
      <c r="L1495" s="5"/>
      <c r="M1495" s="5"/>
      <c r="N1495" s="11" t="str">
        <f>IFERROR(__xludf.DUMMYFUNCTION("IFERROR(GOOGLEFINANCE(""ASX:MX1"", ""pe""), ""N/A"")"),"N/A")</f>
        <v>N/A</v>
      </c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>
      <c r="A1496" s="6" t="s">
        <v>2992</v>
      </c>
      <c r="B1496" s="6" t="s">
        <v>2993</v>
      </c>
      <c r="C1496" s="5" t="s">
        <v>148</v>
      </c>
      <c r="D1496" s="7">
        <f>IFERROR(__xludf.DUMMYFUNCTION("GOOGLEFINANCE(""ASX:MXI"", ""price"")"),2.3)</f>
        <v>2.3</v>
      </c>
      <c r="E1496" s="8">
        <f>IFERROR(__xludf.DUMMYFUNCTION("GOOGLEFINANCE(""ASX:MXI"", ""closeyest"")"),2.3)</f>
        <v>2.3</v>
      </c>
      <c r="F1496" s="9">
        <f>IFERROR(__xludf.DUMMYFUNCTION("GOOGLEFINANCE(""ASX:MXI"", ""pe"")"),14.89)</f>
        <v>14.89</v>
      </c>
      <c r="G1496" s="9">
        <f>IFERROR(__xludf.DUMMYFUNCTION("GOOGLEFINANCE(""ASX:MXI"", ""high52"")"),2.6)</f>
        <v>2.6</v>
      </c>
      <c r="H1496" s="9">
        <f>IFERROR(__xludf.DUMMYFUNCTION("GOOGLEFINANCE(""ASX:MXI"", ""low52"")"),1.72)</f>
        <v>1.72</v>
      </c>
      <c r="I1496" s="9">
        <f>IFERROR(__xludf.DUMMYFUNCTION("GOOGLEFINANCE(""ASX:MXI"", ""marketcap"")"),1.27752439E8)</f>
        <v>127752439</v>
      </c>
      <c r="J1496" s="5"/>
      <c r="K1496" s="5"/>
      <c r="L1496" s="5"/>
      <c r="M1496" s="5"/>
      <c r="N1496" s="10">
        <v>14.31</v>
      </c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>
      <c r="A1497" s="6" t="s">
        <v>2994</v>
      </c>
      <c r="B1497" s="6" t="s">
        <v>2995</v>
      </c>
      <c r="C1497" s="5" t="s">
        <v>1470</v>
      </c>
      <c r="D1497" s="7">
        <f>IFERROR(__xludf.DUMMYFUNCTION("GOOGLEFINANCE(""ASX:MXO"", ""price"")"),0.06)</f>
        <v>0.06</v>
      </c>
      <c r="E1497" s="8">
        <f>IFERROR(__xludf.DUMMYFUNCTION("GOOGLEFINANCE(""ASX:MXO"", ""closeyest"")"),0.06)</f>
        <v>0.06</v>
      </c>
      <c r="F1497" s="9">
        <f>IFERROR(__xludf.DUMMYFUNCTION("GOOGLEFINANCE(""ASX:MXO"", ""pe"")"),135.71)</f>
        <v>135.71</v>
      </c>
      <c r="G1497" s="9">
        <f>IFERROR(__xludf.DUMMYFUNCTION("GOOGLEFINANCE(""ASX:MXO"", ""high52"")"),0.06)</f>
        <v>0.06</v>
      </c>
      <c r="H1497" s="9">
        <f>IFERROR(__xludf.DUMMYFUNCTION("GOOGLEFINANCE(""ASX:MXO"", ""low52"")"),0.03)</f>
        <v>0.03</v>
      </c>
      <c r="I1497" s="9">
        <f>IFERROR(__xludf.DUMMYFUNCTION("GOOGLEFINANCE(""ASX:MXO"", ""marketcap"")"),1.7145087E7)</f>
        <v>17145087</v>
      </c>
      <c r="J1497" s="5"/>
      <c r="K1497" s="5"/>
      <c r="L1497" s="5"/>
      <c r="M1497" s="5"/>
      <c r="N1497" s="10">
        <v>135.71</v>
      </c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>
      <c r="A1498" s="6" t="s">
        <v>2996</v>
      </c>
      <c r="B1498" s="6" t="s">
        <v>2997</v>
      </c>
      <c r="C1498" s="5" t="s">
        <v>873</v>
      </c>
      <c r="D1498" s="7">
        <f>IFERROR(__xludf.DUMMYFUNCTION("GOOGLEFINANCE(""ASX:MXT"", ""price"")"),1.99)</f>
        <v>1.99</v>
      </c>
      <c r="E1498" s="8">
        <f>IFERROR(__xludf.DUMMYFUNCTION("GOOGLEFINANCE(""ASX:MXT"", ""closeyest"")"),1.99)</f>
        <v>1.99</v>
      </c>
      <c r="F1498" s="9">
        <f>IFERROR(__xludf.DUMMYFUNCTION("GOOGLEFINANCE(""ASX:MXT"", ""pe"")"),12.59)</f>
        <v>12.59</v>
      </c>
      <c r="G1498" s="9">
        <f>IFERROR(__xludf.DUMMYFUNCTION("GOOGLEFINANCE(""ASX:MXT"", ""high52"")"),2.13)</f>
        <v>2.13</v>
      </c>
      <c r="H1498" s="9">
        <f>IFERROR(__xludf.DUMMYFUNCTION("GOOGLEFINANCE(""ASX:MXT"", ""low52"")"),1.87)</f>
        <v>1.87</v>
      </c>
      <c r="I1498" s="9">
        <f>IFERROR(__xludf.DUMMYFUNCTION("GOOGLEFINANCE(""ASX:MXT"", ""marketcap"")"),2.429067641E9)</f>
        <v>2429067641</v>
      </c>
      <c r="J1498" s="5"/>
      <c r="K1498" s="5"/>
      <c r="L1498" s="5"/>
      <c r="M1498" s="5"/>
      <c r="N1498" s="10">
        <v>12.59</v>
      </c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>
      <c r="A1499" s="6" t="s">
        <v>2998</v>
      </c>
      <c r="B1499" s="6" t="s">
        <v>2999</v>
      </c>
      <c r="C1499" s="5" t="s">
        <v>314</v>
      </c>
      <c r="D1499" s="7">
        <f>IFERROR(__xludf.DUMMYFUNCTION("GOOGLEFINANCE(""ASX:MYE"", ""price"")"),0.15)</f>
        <v>0.15</v>
      </c>
      <c r="E1499" s="8">
        <f>IFERROR(__xludf.DUMMYFUNCTION("GOOGLEFINANCE(""ASX:MYE"", ""closeyest"")"),0.15)</f>
        <v>0.15</v>
      </c>
      <c r="F1499" s="9">
        <f>IFERROR(__xludf.DUMMYFUNCTION("GOOGLEFINANCE(""ASX:MYE"", ""pe"")"),33.48)</f>
        <v>33.48</v>
      </c>
      <c r="G1499" s="9">
        <f>IFERROR(__xludf.DUMMYFUNCTION("GOOGLEFINANCE(""ASX:MYE"", ""high52"")"),0.2)</f>
        <v>0.2</v>
      </c>
      <c r="H1499" s="9">
        <f>IFERROR(__xludf.DUMMYFUNCTION("GOOGLEFINANCE(""ASX:MYE"", ""low52"")"),0.12)</f>
        <v>0.12</v>
      </c>
      <c r="I1499" s="9">
        <f>IFERROR(__xludf.DUMMYFUNCTION("GOOGLEFINANCE(""ASX:MYE"", ""marketcap"")"),4.7950696E7)</f>
        <v>47950696</v>
      </c>
      <c r="J1499" s="5"/>
      <c r="K1499" s="5"/>
      <c r="L1499" s="5"/>
      <c r="M1499" s="5"/>
      <c r="N1499" s="10">
        <v>31.25</v>
      </c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>
      <c r="A1500" s="6" t="s">
        <v>3000</v>
      </c>
      <c r="B1500" s="6" t="s">
        <v>3001</v>
      </c>
      <c r="C1500" s="5" t="s">
        <v>3002</v>
      </c>
      <c r="D1500" s="7">
        <f>IFERROR(__xludf.DUMMYFUNCTION("GOOGLEFINANCE(""ASX:MYG"", ""price"")"),3.15)</f>
        <v>3.15</v>
      </c>
      <c r="E1500" s="8">
        <f>IFERROR(__xludf.DUMMYFUNCTION("GOOGLEFINANCE(""ASX:MYG"", ""closeyest"")"),3.38)</f>
        <v>3.38</v>
      </c>
      <c r="F1500" s="9">
        <f>IFERROR(__xludf.DUMMYFUNCTION("GOOGLEFINANCE(""ASX:MYG"", ""pe"")"),43.93)</f>
        <v>43.93</v>
      </c>
      <c r="G1500" s="9">
        <f>IFERROR(__xludf.DUMMYFUNCTION("GOOGLEFINANCE(""ASX:MYG"", ""high52"")"),3.49)</f>
        <v>3.49</v>
      </c>
      <c r="H1500" s="9">
        <f>IFERROR(__xludf.DUMMYFUNCTION("GOOGLEFINANCE(""ASX:MYG"", ""low52"")"),0.75)</f>
        <v>0.75</v>
      </c>
      <c r="I1500" s="9">
        <f>IFERROR(__xludf.DUMMYFUNCTION("GOOGLEFINANCE(""ASX:MYG"", ""marketcap"")"),3.5949817E8)</f>
        <v>359498170</v>
      </c>
      <c r="J1500" s="5"/>
      <c r="K1500" s="5"/>
      <c r="L1500" s="5"/>
      <c r="M1500" s="5"/>
      <c r="N1500" s="10">
        <v>44.63</v>
      </c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>
      <c r="A1501" s="6" t="s">
        <v>3003</v>
      </c>
      <c r="B1501" s="6" t="s">
        <v>3004</v>
      </c>
      <c r="C1501" s="5" t="s">
        <v>153</v>
      </c>
      <c r="D1501" s="7">
        <f>IFERROR(__xludf.DUMMYFUNCTION("GOOGLEFINANCE(""ASX:MYR"", ""price"")"),0.48)</f>
        <v>0.48</v>
      </c>
      <c r="E1501" s="8">
        <f>IFERROR(__xludf.DUMMYFUNCTION("GOOGLEFINANCE(""ASX:MYR"", ""closeyest"")"),0.47)</f>
        <v>0.47</v>
      </c>
      <c r="F1501" s="5" t="str">
        <f>IFERROR(__xludf.DUMMYFUNCTION("GOOGLEFINANCE(""ASX:MYR"", ""pe"")"),"#N/A")</f>
        <v>#N/A</v>
      </c>
      <c r="G1501" s="9">
        <f>IFERROR(__xludf.DUMMYFUNCTION("GOOGLEFINANCE(""ASX:MYR"", ""high52"")"),1.2)</f>
        <v>1.2</v>
      </c>
      <c r="H1501" s="9">
        <f>IFERROR(__xludf.DUMMYFUNCTION("GOOGLEFINANCE(""ASX:MYR"", ""low52"")"),0.39)</f>
        <v>0.39</v>
      </c>
      <c r="I1501" s="9">
        <f>IFERROR(__xludf.DUMMYFUNCTION("GOOGLEFINANCE(""ASX:MYR"", ""marketcap"")"),8.13358639E8)</f>
        <v>813358639</v>
      </c>
      <c r="J1501" s="5"/>
      <c r="K1501" s="5"/>
      <c r="L1501" s="5"/>
      <c r="M1501" s="5"/>
      <c r="N1501" s="11" t="str">
        <f>IFERROR(__xludf.DUMMYFUNCTION("IFERROR(GOOGLEFINANCE(""ASX:MYR"", ""pe""), ""N/A"")"),"N/A")</f>
        <v>N/A</v>
      </c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>
      <c r="A1502" s="6" t="s">
        <v>3005</v>
      </c>
      <c r="B1502" s="6" t="s">
        <v>3006</v>
      </c>
      <c r="C1502" s="5" t="s">
        <v>413</v>
      </c>
      <c r="D1502" s="7">
        <f>IFERROR(__xludf.DUMMYFUNCTION("GOOGLEFINANCE(""ASX:MYS"", ""price"")"),4.57)</f>
        <v>4.57</v>
      </c>
      <c r="E1502" s="8">
        <f>IFERROR(__xludf.DUMMYFUNCTION("GOOGLEFINANCE(""ASX:MYS"", ""closeyest"")"),4.63)</f>
        <v>4.63</v>
      </c>
      <c r="F1502" s="9">
        <f>IFERROR(__xludf.DUMMYFUNCTION("GOOGLEFINANCE(""ASX:MYS"", ""pe"")"),21.16)</f>
        <v>21.16</v>
      </c>
      <c r="G1502" s="9">
        <f>IFERROR(__xludf.DUMMYFUNCTION("GOOGLEFINANCE(""ASX:MYS"", ""high52"")"),4.76)</f>
        <v>4.76</v>
      </c>
      <c r="H1502" s="9">
        <f>IFERROR(__xludf.DUMMYFUNCTION("GOOGLEFINANCE(""ASX:MYS"", ""low52"")"),3.47)</f>
        <v>3.47</v>
      </c>
      <c r="I1502" s="9">
        <f>IFERROR(__xludf.DUMMYFUNCTION("GOOGLEFINANCE(""ASX:MYS"", ""marketcap"")"),7.75471447E8)</f>
        <v>775471447</v>
      </c>
      <c r="J1502" s="5"/>
      <c r="K1502" s="5"/>
      <c r="L1502" s="5"/>
      <c r="M1502" s="5"/>
      <c r="N1502" s="10">
        <v>21.16</v>
      </c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>
      <c r="A1503" s="6" t="s">
        <v>3007</v>
      </c>
      <c r="B1503" s="6" t="s">
        <v>3008</v>
      </c>
      <c r="C1503" s="5" t="s">
        <v>174</v>
      </c>
      <c r="D1503" s="7">
        <f>IFERROR(__xludf.DUMMYFUNCTION("GOOGLEFINANCE(""ASX:MYX"", ""price"")"),3.2)</f>
        <v>3.2</v>
      </c>
      <c r="E1503" s="8">
        <f>IFERROR(__xludf.DUMMYFUNCTION("GOOGLEFINANCE(""ASX:MYX"", ""closeyest"")"),3.14)</f>
        <v>3.14</v>
      </c>
      <c r="F1503" s="5" t="str">
        <f>IFERROR(__xludf.DUMMYFUNCTION("GOOGLEFINANCE(""ASX:MYX"", ""pe"")"),"#N/A")</f>
        <v>#N/A</v>
      </c>
      <c r="G1503" s="9">
        <f>IFERROR(__xludf.DUMMYFUNCTION("GOOGLEFINANCE(""ASX:MYX"", ""high52"")"),7.31)</f>
        <v>7.31</v>
      </c>
      <c r="H1503" s="9">
        <f>IFERROR(__xludf.DUMMYFUNCTION("GOOGLEFINANCE(""ASX:MYX"", ""low52"")"),2.99)</f>
        <v>2.99</v>
      </c>
      <c r="I1503" s="9">
        <f>IFERROR(__xludf.DUMMYFUNCTION("GOOGLEFINANCE(""ASX:MYX"", ""marketcap"")"),2.59986659E8)</f>
        <v>259986659</v>
      </c>
      <c r="J1503" s="5"/>
      <c r="K1503" s="5"/>
      <c r="L1503" s="5"/>
      <c r="M1503" s="5"/>
      <c r="N1503" s="11" t="str">
        <f>IFERROR(__xludf.DUMMYFUNCTION("IFERROR(GOOGLEFINANCE(""ASX:MYX"", ""pe""), ""N/A"")"),"N/A")</f>
        <v>N/A</v>
      </c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>
      <c r="A1504" s="6" t="s">
        <v>3009</v>
      </c>
      <c r="B1504" s="6" t="s">
        <v>3010</v>
      </c>
      <c r="C1504" s="5" t="s">
        <v>241</v>
      </c>
      <c r="D1504" s="7">
        <f>IFERROR(__xludf.DUMMYFUNCTION("GOOGLEFINANCE(""ASX:N1H"", ""price"")"),0.12)</f>
        <v>0.12</v>
      </c>
      <c r="E1504" s="8">
        <f>IFERROR(__xludf.DUMMYFUNCTION("GOOGLEFINANCE(""ASX:N1H"", ""closeyest"")"),0.12)</f>
        <v>0.12</v>
      </c>
      <c r="F1504" s="9">
        <f>IFERROR(__xludf.DUMMYFUNCTION("GOOGLEFINANCE(""ASX:N1H"", ""pe"")"),11.83)</f>
        <v>11.83</v>
      </c>
      <c r="G1504" s="9">
        <f>IFERROR(__xludf.DUMMYFUNCTION("GOOGLEFINANCE(""ASX:N1H"", ""high52"")"),0.18)</f>
        <v>0.18</v>
      </c>
      <c r="H1504" s="9">
        <f>IFERROR(__xludf.DUMMYFUNCTION("GOOGLEFINANCE(""ASX:N1H"", ""low52"")"),0.1)</f>
        <v>0.1</v>
      </c>
      <c r="I1504" s="9">
        <f>IFERROR(__xludf.DUMMYFUNCTION("GOOGLEFINANCE(""ASX:N1H"", ""marketcap"")"),9704456.0)</f>
        <v>9704456</v>
      </c>
      <c r="J1504" s="9">
        <v>0.003</v>
      </c>
      <c r="K1504" s="9">
        <v>0.003</v>
      </c>
      <c r="L1504" s="9">
        <v>0.007</v>
      </c>
      <c r="M1504" s="9">
        <v>0.002</v>
      </c>
      <c r="N1504" s="10">
        <v>11.83</v>
      </c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>
      <c r="A1505" s="6" t="s">
        <v>3011</v>
      </c>
      <c r="B1505" s="6" t="s">
        <v>3012</v>
      </c>
      <c r="C1505" s="5" t="s">
        <v>413</v>
      </c>
      <c r="D1505" s="7">
        <f>IFERROR(__xludf.DUMMYFUNCTION("GOOGLEFINANCE(""ASX:NAB"", ""price"")"),40.69)</f>
        <v>40.69</v>
      </c>
      <c r="E1505" s="8">
        <f>IFERROR(__xludf.DUMMYFUNCTION("GOOGLEFINANCE(""ASX:NAB"", ""closeyest"")"),41.53)</f>
        <v>41.53</v>
      </c>
      <c r="F1505" s="9">
        <f>IFERROR(__xludf.DUMMYFUNCTION("GOOGLEFINANCE(""ASX:NAB"", ""pe"")"),18.42)</f>
        <v>18.42</v>
      </c>
      <c r="G1505" s="9">
        <f>IFERROR(__xludf.DUMMYFUNCTION("GOOGLEFINANCE(""ASX:NAB"", ""high52"")"),45.25)</f>
        <v>45.25</v>
      </c>
      <c r="H1505" s="9">
        <f>IFERROR(__xludf.DUMMYFUNCTION("GOOGLEFINANCE(""ASX:NAB"", ""low52"")"),31.13)</f>
        <v>31.13</v>
      </c>
      <c r="I1505" s="9">
        <f>IFERROR(__xludf.DUMMYFUNCTION("GOOGLEFINANCE(""ASX:NAB"", ""marketcap"")"),1.24817465967E11)</f>
        <v>124817465967</v>
      </c>
      <c r="J1505" s="5"/>
      <c r="K1505" s="5"/>
      <c r="L1505" s="5"/>
      <c r="M1505" s="5"/>
      <c r="N1505" s="10">
        <v>19.2</v>
      </c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>
      <c r="A1506" s="6" t="s">
        <v>3013</v>
      </c>
      <c r="B1506" s="6" t="s">
        <v>3014</v>
      </c>
      <c r="C1506" s="5" t="s">
        <v>171</v>
      </c>
      <c r="D1506" s="7">
        <f>IFERROR(__xludf.DUMMYFUNCTION("GOOGLEFINANCE(""ASX:NAC"", ""price"")"),0.68)</f>
        <v>0.68</v>
      </c>
      <c r="E1506" s="8">
        <f>IFERROR(__xludf.DUMMYFUNCTION("GOOGLEFINANCE(""ASX:NAC"", ""closeyest"")"),0.7)</f>
        <v>0.7</v>
      </c>
      <c r="F1506" s="9">
        <f>IFERROR(__xludf.DUMMYFUNCTION("GOOGLEFINANCE(""ASX:NAC"", ""pe"")"),4.33)</f>
        <v>4.33</v>
      </c>
      <c r="G1506" s="9">
        <f>IFERROR(__xludf.DUMMYFUNCTION("GOOGLEFINANCE(""ASX:NAC"", ""high52"")"),0.7)</f>
        <v>0.7</v>
      </c>
      <c r="H1506" s="9">
        <f>IFERROR(__xludf.DUMMYFUNCTION("GOOGLEFINANCE(""ASX:NAC"", ""low52"")"),0.3)</f>
        <v>0.3</v>
      </c>
      <c r="I1506" s="9">
        <f>IFERROR(__xludf.DUMMYFUNCTION("GOOGLEFINANCE(""ASX:NAC"", ""marketcap"")"),3.0911447E7)</f>
        <v>30911447</v>
      </c>
      <c r="J1506" s="5"/>
      <c r="K1506" s="5"/>
      <c r="L1506" s="5"/>
      <c r="M1506" s="5"/>
      <c r="N1506" s="10">
        <v>4.46</v>
      </c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>
      <c r="A1507" s="6" t="s">
        <v>3015</v>
      </c>
      <c r="B1507" s="6" t="s">
        <v>3016</v>
      </c>
      <c r="C1507" s="5" t="s">
        <v>314</v>
      </c>
      <c r="D1507" s="7">
        <f>IFERROR(__xludf.DUMMYFUNCTION("GOOGLEFINANCE(""ASX:NAE"", ""price"")"),0.0)</f>
        <v>0</v>
      </c>
      <c r="E1507" s="8">
        <f>IFERROR(__xludf.DUMMYFUNCTION("GOOGLEFINANCE(""ASX:NAE"", ""closeyest"")"),0.0)</f>
        <v>0</v>
      </c>
      <c r="F1507" s="5" t="str">
        <f>IFERROR(__xludf.DUMMYFUNCTION("GOOGLEFINANCE(""ASX:NAE"", ""pe"")"),"#N/A")</f>
        <v>#N/A</v>
      </c>
      <c r="G1507" s="9">
        <f>IFERROR(__xludf.DUMMYFUNCTION("GOOGLEFINANCE(""ASX:NAE"", ""high52"")"),0.01)</f>
        <v>0.01</v>
      </c>
      <c r="H1507" s="9">
        <f>IFERROR(__xludf.DUMMYFUNCTION("GOOGLEFINANCE(""ASX:NAE"", ""low52"")"),0.0)</f>
        <v>0</v>
      </c>
      <c r="I1507" s="9">
        <f>IFERROR(__xludf.DUMMYFUNCTION("GOOGLEFINANCE(""ASX:NAE"", ""marketcap"")"),3989097.0)</f>
        <v>3989097</v>
      </c>
      <c r="J1507" s="12">
        <v>0.003</v>
      </c>
      <c r="K1507" s="12">
        <v>0.003</v>
      </c>
      <c r="L1507" s="12">
        <v>0.005</v>
      </c>
      <c r="M1507" s="12">
        <v>0.002</v>
      </c>
      <c r="N1507" s="11" t="str">
        <f>IFERROR(__xludf.DUMMYFUNCTION("IFERROR(GOOGLEFINANCE(""ASX:NAE"", ""pe""), ""N/A"")"),"N/A")</f>
        <v>N/A</v>
      </c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>
      <c r="A1508" s="6" t="s">
        <v>3017</v>
      </c>
      <c r="B1508" s="6" t="s">
        <v>3018</v>
      </c>
      <c r="C1508" s="5" t="s">
        <v>88</v>
      </c>
      <c r="D1508" s="7">
        <f>IFERROR(__xludf.DUMMYFUNCTION("GOOGLEFINANCE(""ASX:NAG"", ""price"")"),0.01)</f>
        <v>0.01</v>
      </c>
      <c r="E1508" s="8">
        <f>IFERROR(__xludf.DUMMYFUNCTION("GOOGLEFINANCE(""ASX:NAG"", ""closeyest"")"),0.01)</f>
        <v>0.01</v>
      </c>
      <c r="F1508" s="5" t="str">
        <f>IFERROR(__xludf.DUMMYFUNCTION("GOOGLEFINANCE(""ASX:NAG"", ""pe"")"),"#N/A")</f>
        <v>#N/A</v>
      </c>
      <c r="G1508" s="9">
        <f>IFERROR(__xludf.DUMMYFUNCTION("GOOGLEFINANCE(""ASX:NAG"", ""high52"")"),0.02)</f>
        <v>0.02</v>
      </c>
      <c r="H1508" s="9">
        <f>IFERROR(__xludf.DUMMYFUNCTION("GOOGLEFINANCE(""ASX:NAG"", ""low52"")"),0.01)</f>
        <v>0.01</v>
      </c>
      <c r="I1508" s="9">
        <f>IFERROR(__xludf.DUMMYFUNCTION("GOOGLEFINANCE(""ASX:NAG"", ""marketcap"")"),9566889.0)</f>
        <v>9566889</v>
      </c>
      <c r="J1508" s="5"/>
      <c r="K1508" s="5"/>
      <c r="L1508" s="5"/>
      <c r="M1508" s="5"/>
      <c r="N1508" s="11" t="str">
        <f>IFERROR(__xludf.DUMMYFUNCTION("IFERROR(GOOGLEFINANCE(""ASX:NAG"", ""pe""), ""N/A"")"),"N/A")</f>
        <v>N/A</v>
      </c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>
      <c r="A1509" s="6" t="s">
        <v>3019</v>
      </c>
      <c r="B1509" s="6" t="s">
        <v>3020</v>
      </c>
      <c r="C1509" s="5" t="s">
        <v>62</v>
      </c>
      <c r="D1509" s="7">
        <f>IFERROR(__xludf.DUMMYFUNCTION("GOOGLEFINANCE(""ASX:NAN"", ""price"")"),4.08)</f>
        <v>4.08</v>
      </c>
      <c r="E1509" s="8">
        <f>IFERROR(__xludf.DUMMYFUNCTION("GOOGLEFINANCE(""ASX:NAN"", ""closeyest"")"),3.93)</f>
        <v>3.93</v>
      </c>
      <c r="F1509" s="9">
        <f>IFERROR(__xludf.DUMMYFUNCTION("GOOGLEFINANCE(""ASX:NAN"", ""pe"")"),61.0)</f>
        <v>61</v>
      </c>
      <c r="G1509" s="9">
        <f>IFERROR(__xludf.DUMMYFUNCTION("GOOGLEFINANCE(""ASX:NAN"", ""high52"")"),5.18)</f>
        <v>5.18</v>
      </c>
      <c r="H1509" s="9">
        <f>IFERROR(__xludf.DUMMYFUNCTION("GOOGLEFINANCE(""ASX:NAN"", ""low52"")"),2.99)</f>
        <v>2.99</v>
      </c>
      <c r="I1509" s="9">
        <f>IFERROR(__xludf.DUMMYFUNCTION("GOOGLEFINANCE(""ASX:NAN"", ""marketcap"")"),1.237651248E9)</f>
        <v>1237651248</v>
      </c>
      <c r="J1509" s="5"/>
      <c r="K1509" s="5"/>
      <c r="L1509" s="5"/>
      <c r="M1509" s="5"/>
      <c r="N1509" s="10">
        <v>58.61</v>
      </c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>
      <c r="A1510" s="6" t="s">
        <v>3021</v>
      </c>
      <c r="B1510" s="6" t="s">
        <v>3022</v>
      </c>
      <c r="C1510" s="5" t="s">
        <v>39</v>
      </c>
      <c r="D1510" s="7">
        <f>IFERROR(__xludf.DUMMYFUNCTION("GOOGLEFINANCE(""ASX:NC1"", ""price"")"),0.19)</f>
        <v>0.19</v>
      </c>
      <c r="E1510" s="8">
        <f>IFERROR(__xludf.DUMMYFUNCTION("GOOGLEFINANCE(""ASX:NC1"", ""closeyest"")"),0.17)</f>
        <v>0.17</v>
      </c>
      <c r="F1510" s="5" t="str">
        <f>IFERROR(__xludf.DUMMYFUNCTION("GOOGLEFINANCE(""ASX:NC1"", ""pe"")"),"#N/A")</f>
        <v>#N/A</v>
      </c>
      <c r="G1510" s="9">
        <f>IFERROR(__xludf.DUMMYFUNCTION("GOOGLEFINANCE(""ASX:NC1"", ""high52"")"),0.22)</f>
        <v>0.22</v>
      </c>
      <c r="H1510" s="9">
        <f>IFERROR(__xludf.DUMMYFUNCTION("GOOGLEFINANCE(""ASX:NC1"", ""low52"")"),0.07)</f>
        <v>0.07</v>
      </c>
      <c r="I1510" s="9">
        <f>IFERROR(__xludf.DUMMYFUNCTION("GOOGLEFINANCE(""ASX:NC1"", ""marketcap"")"),2.2719325E7)</f>
        <v>22719325</v>
      </c>
      <c r="J1510" s="5"/>
      <c r="K1510" s="5"/>
      <c r="L1510" s="5"/>
      <c r="M1510" s="5"/>
      <c r="N1510" s="11" t="str">
        <f>IFERROR(__xludf.DUMMYFUNCTION("IFERROR(GOOGLEFINANCE(""ASX:NC1"", ""pe""), ""N/A"")"),"N/A")</f>
        <v>N/A</v>
      </c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>
      <c r="A1511" s="6" t="s">
        <v>3023</v>
      </c>
      <c r="B1511" s="6" t="s">
        <v>3024</v>
      </c>
      <c r="C1511" s="5" t="s">
        <v>3025</v>
      </c>
      <c r="D1511" s="7">
        <f>IFERROR(__xludf.DUMMYFUNCTION("GOOGLEFINANCE(""ASX:NC6"", ""price"")"),0.05)</f>
        <v>0.05</v>
      </c>
      <c r="E1511" s="8">
        <f>IFERROR(__xludf.DUMMYFUNCTION("GOOGLEFINANCE(""ASX:NC6"", ""closeyest"")"),0.05)</f>
        <v>0.05</v>
      </c>
      <c r="F1511" s="5" t="str">
        <f>IFERROR(__xludf.DUMMYFUNCTION("GOOGLEFINANCE(""ASX:NC6"", ""pe"")"),"#N/A")</f>
        <v>#N/A</v>
      </c>
      <c r="G1511" s="9">
        <f>IFERROR(__xludf.DUMMYFUNCTION("GOOGLEFINANCE(""ASX:NC6"", ""high52"")"),0.09)</f>
        <v>0.09</v>
      </c>
      <c r="H1511" s="9">
        <f>IFERROR(__xludf.DUMMYFUNCTION("GOOGLEFINANCE(""ASX:NC6"", ""low52"")"),0.02)</f>
        <v>0.02</v>
      </c>
      <c r="I1511" s="9">
        <f>IFERROR(__xludf.DUMMYFUNCTION("GOOGLEFINANCE(""ASX:NC6"", ""marketcap"")"),1.659267E7)</f>
        <v>16592670</v>
      </c>
      <c r="J1511" s="5"/>
      <c r="K1511" s="5"/>
      <c r="L1511" s="5"/>
      <c r="M1511" s="5"/>
      <c r="N1511" s="11" t="str">
        <f>IFERROR(__xludf.DUMMYFUNCTION("IFERROR(GOOGLEFINANCE(""ASX:NC6"", ""pe""), ""N/A"")"),"N/A")</f>
        <v>N/A</v>
      </c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>
      <c r="A1512" s="6" t="s">
        <v>3023</v>
      </c>
      <c r="B1512" s="6" t="s">
        <v>3024</v>
      </c>
      <c r="C1512" s="5" t="s">
        <v>3025</v>
      </c>
      <c r="D1512" s="7">
        <f>IFERROR(__xludf.DUMMYFUNCTION("GOOGLEFINANCE(""ASX:NC6"", ""price"")"),0.05)</f>
        <v>0.05</v>
      </c>
      <c r="E1512" s="8">
        <f>IFERROR(__xludf.DUMMYFUNCTION("GOOGLEFINANCE(""ASX:NC6"", ""closeyest"")"),0.05)</f>
        <v>0.05</v>
      </c>
      <c r="F1512" s="5" t="str">
        <f>IFERROR(__xludf.DUMMYFUNCTION("GOOGLEFINANCE(""ASX:NC6"", ""pe"")"),"#N/A")</f>
        <v>#N/A</v>
      </c>
      <c r="G1512" s="9">
        <f>IFERROR(__xludf.DUMMYFUNCTION("GOOGLEFINANCE(""ASX:NC6"", ""high52"")"),0.09)</f>
        <v>0.09</v>
      </c>
      <c r="H1512" s="9">
        <f>IFERROR(__xludf.DUMMYFUNCTION("GOOGLEFINANCE(""ASX:NC6"", ""low52"")"),0.02)</f>
        <v>0.02</v>
      </c>
      <c r="I1512" s="9">
        <f>IFERROR(__xludf.DUMMYFUNCTION("GOOGLEFINANCE(""ASX:NC6"", ""marketcap"")"),1.659267E7)</f>
        <v>16592670</v>
      </c>
      <c r="J1512" s="5"/>
      <c r="K1512" s="5"/>
      <c r="L1512" s="5"/>
      <c r="M1512" s="5"/>
      <c r="N1512" s="11" t="str">
        <f>IFERROR(__xludf.DUMMYFUNCTION("IFERROR(GOOGLEFINANCE(""ASX:NC6"", ""pe""), ""N/A"")"),"N/A")</f>
        <v>N/A</v>
      </c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>
      <c r="A1513" s="13" t="s">
        <v>3023</v>
      </c>
      <c r="B1513" s="13" t="s">
        <v>3024</v>
      </c>
      <c r="C1513" s="14" t="s">
        <v>3025</v>
      </c>
      <c r="D1513" s="15">
        <f>IFERROR(__xludf.DUMMYFUNCTION("GOOGLEFINANCE(""ASX:NC6"", ""price"")"),0.05)</f>
        <v>0.05</v>
      </c>
      <c r="E1513" s="8">
        <f>IFERROR(__xludf.DUMMYFUNCTION("GOOGLEFINANCE(""ASX:NC6"", ""closeyest"")"),0.05)</f>
        <v>0.05</v>
      </c>
      <c r="F1513" s="5" t="str">
        <f>IFERROR(__xludf.DUMMYFUNCTION("GOOGLEFINANCE(""ASX:NC6"", ""pe"")"),"#N/A")</f>
        <v>#N/A</v>
      </c>
      <c r="G1513" s="9">
        <f>IFERROR(__xludf.DUMMYFUNCTION("GOOGLEFINANCE(""ASX:NC6"", ""high52"")"),0.09)</f>
        <v>0.09</v>
      </c>
      <c r="H1513" s="9">
        <f>IFERROR(__xludf.DUMMYFUNCTION("GOOGLEFINANCE(""ASX:NC6"", ""low52"")"),0.02)</f>
        <v>0.02</v>
      </c>
      <c r="I1513" s="9">
        <f>IFERROR(__xludf.DUMMYFUNCTION("GOOGLEFINANCE(""ASX:NC6"", ""marketcap"")"),1.659267E7)</f>
        <v>16592670</v>
      </c>
      <c r="J1513" s="5"/>
      <c r="K1513" s="5"/>
      <c r="L1513" s="5"/>
      <c r="M1513" s="5"/>
      <c r="N1513" s="11" t="str">
        <f>IFERROR(__xludf.DUMMYFUNCTION("IFERROR(GOOGLEFINANCE(""ASX:NC6"", ""pe""), ""N/A"")"),"N/A")</f>
        <v>N/A</v>
      </c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>
      <c r="A1514" s="6" t="s">
        <v>3026</v>
      </c>
      <c r="B1514" s="6" t="s">
        <v>3027</v>
      </c>
      <c r="C1514" s="5" t="s">
        <v>171</v>
      </c>
      <c r="D1514" s="7">
        <f>IFERROR(__xludf.DUMMYFUNCTION("GOOGLEFINANCE(""ASX:NCC"", ""price"")"),0.44)</f>
        <v>0.44</v>
      </c>
      <c r="E1514" s="8">
        <f>IFERROR(__xludf.DUMMYFUNCTION("GOOGLEFINANCE(""ASX:NCC"", ""closeyest"")"),0.44)</f>
        <v>0.44</v>
      </c>
      <c r="F1514" s="9">
        <f>IFERROR(__xludf.DUMMYFUNCTION("GOOGLEFINANCE(""ASX:NCC"", ""pe"")"),114.58)</f>
        <v>114.58</v>
      </c>
      <c r="G1514" s="9">
        <f>IFERROR(__xludf.DUMMYFUNCTION("GOOGLEFINANCE(""ASX:NCC"", ""high52"")"),0.47)</f>
        <v>0.47</v>
      </c>
      <c r="H1514" s="9">
        <f>IFERROR(__xludf.DUMMYFUNCTION("GOOGLEFINANCE(""ASX:NCC"", ""low52"")"),0.23)</f>
        <v>0.23</v>
      </c>
      <c r="I1514" s="9">
        <f>IFERROR(__xludf.DUMMYFUNCTION("GOOGLEFINANCE(""ASX:NCC"", ""marketcap"")"),3.2471823E7)</f>
        <v>32471823</v>
      </c>
      <c r="J1514" s="5"/>
      <c r="K1514" s="5"/>
      <c r="L1514" s="5"/>
      <c r="M1514" s="5"/>
      <c r="N1514" s="10">
        <v>113.28</v>
      </c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>
      <c r="A1515" s="6" t="s">
        <v>3028</v>
      </c>
      <c r="B1515" s="6" t="s">
        <v>3029</v>
      </c>
      <c r="C1515" s="5" t="s">
        <v>197</v>
      </c>
      <c r="D1515" s="7">
        <f>IFERROR(__xludf.DUMMYFUNCTION("GOOGLEFINANCE(""ASX:NCK"", ""price"")"),23.35)</f>
        <v>23.35</v>
      </c>
      <c r="E1515" s="8">
        <f>IFERROR(__xludf.DUMMYFUNCTION("GOOGLEFINANCE(""ASX:NCK"", ""closeyest"")"),23.39)</f>
        <v>23.39</v>
      </c>
      <c r="F1515" s="9">
        <f>IFERROR(__xludf.DUMMYFUNCTION("GOOGLEFINANCE(""ASX:NCK"", ""pe"")"),34.59)</f>
        <v>34.59</v>
      </c>
      <c r="G1515" s="9">
        <f>IFERROR(__xludf.DUMMYFUNCTION("GOOGLEFINANCE(""ASX:NCK"", ""high52"")"),25.98)</f>
        <v>25.98</v>
      </c>
      <c r="H1515" s="9">
        <f>IFERROR(__xludf.DUMMYFUNCTION("GOOGLEFINANCE(""ASX:NCK"", ""low52"")"),14.25)</f>
        <v>14.25</v>
      </c>
      <c r="I1515" s="9">
        <f>IFERROR(__xludf.DUMMYFUNCTION("GOOGLEFINANCE(""ASX:NCK"", ""marketcap"")"),1.99714141E9)</f>
        <v>1997141410</v>
      </c>
      <c r="J1515" s="5"/>
      <c r="K1515" s="5"/>
      <c r="L1515" s="5"/>
      <c r="M1515" s="5"/>
      <c r="N1515" s="10">
        <v>34.96</v>
      </c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>
      <c r="A1516" s="6" t="s">
        <v>3030</v>
      </c>
      <c r="B1516" s="6" t="s">
        <v>3031</v>
      </c>
      <c r="C1516" s="5" t="s">
        <v>36</v>
      </c>
      <c r="D1516" s="7">
        <f>IFERROR(__xludf.DUMMYFUNCTION("GOOGLEFINANCE(""ASX:NDIA"", ""price"")"),72.12)</f>
        <v>72.12</v>
      </c>
      <c r="E1516" s="8">
        <f>IFERROR(__xludf.DUMMYFUNCTION("GOOGLEFINANCE(""ASX:NDIA"", ""closeyest"")"),72.82)</f>
        <v>72.82</v>
      </c>
      <c r="F1516" s="5" t="str">
        <f>IFERROR(__xludf.DUMMYFUNCTION("GOOGLEFINANCE(""ASX:NDIA"", ""pe"")"),"#N/A")</f>
        <v>#N/A</v>
      </c>
      <c r="G1516" s="9">
        <f>IFERROR(__xludf.DUMMYFUNCTION("GOOGLEFINANCE(""ASX:NDIA"", ""high52"")"),79.99)</f>
        <v>79.99</v>
      </c>
      <c r="H1516" s="9">
        <f>IFERROR(__xludf.DUMMYFUNCTION("GOOGLEFINANCE(""ASX:NDIA"", ""low52"")"),70.83)</f>
        <v>70.83</v>
      </c>
      <c r="I1516" s="9" t="str">
        <f>IFERROR(__xludf.DUMMYFUNCTION("GOOGLEFINANCE(""ASX:NDIA"", ""marketcap"")"),"#N/A")</f>
        <v>#N/A</v>
      </c>
      <c r="J1516" s="5"/>
      <c r="K1516" s="5"/>
      <c r="L1516" s="5"/>
      <c r="M1516" s="5"/>
      <c r="N1516" s="11" t="str">
        <f>IFERROR(__xludf.DUMMYFUNCTION("IFERROR(GOOGLEFINANCE(""ASX:NDIA"", ""pe""), ""N/A"")"),"N/A")</f>
        <v>N/A</v>
      </c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>
      <c r="A1517" s="6" t="s">
        <v>3032</v>
      </c>
      <c r="B1517" s="6" t="s">
        <v>3033</v>
      </c>
      <c r="C1517" s="5" t="s">
        <v>246</v>
      </c>
      <c r="D1517" s="7">
        <f>IFERROR(__xludf.DUMMYFUNCTION("GOOGLEFINANCE(""ASX:NDO"", ""price"")"),0.6)</f>
        <v>0.6</v>
      </c>
      <c r="E1517" s="8">
        <f>IFERROR(__xludf.DUMMYFUNCTION("GOOGLEFINANCE(""ASX:NDO"", ""closeyest"")"),0.62)</f>
        <v>0.62</v>
      </c>
      <c r="F1517" s="9">
        <f>IFERROR(__xludf.DUMMYFUNCTION("GOOGLEFINANCE(""ASX:NDO"", ""pe"")"),9.99)</f>
        <v>9.99</v>
      </c>
      <c r="G1517" s="9">
        <f>IFERROR(__xludf.DUMMYFUNCTION("GOOGLEFINANCE(""ASX:NDO"", ""high52"")"),0.9)</f>
        <v>0.9</v>
      </c>
      <c r="H1517" s="9">
        <f>IFERROR(__xludf.DUMMYFUNCTION("GOOGLEFINANCE(""ASX:NDO"", ""low52"")"),0.53)</f>
        <v>0.53</v>
      </c>
      <c r="I1517" s="9">
        <f>IFERROR(__xludf.DUMMYFUNCTION("GOOGLEFINANCE(""ASX:NDO"", ""marketcap"")"),1.35097325E8)</f>
        <v>135097325</v>
      </c>
      <c r="J1517" s="5"/>
      <c r="K1517" s="5"/>
      <c r="L1517" s="5"/>
      <c r="M1517" s="5"/>
      <c r="N1517" s="10">
        <v>10.18</v>
      </c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>
      <c r="A1518" s="6" t="s">
        <v>3034</v>
      </c>
      <c r="B1518" s="6" t="s">
        <v>3035</v>
      </c>
      <c r="C1518" s="5" t="s">
        <v>36</v>
      </c>
      <c r="D1518" s="7">
        <f>IFERROR(__xludf.DUMMYFUNCTION("GOOGLEFINANCE(""ASX:NDQ"", ""price"")"),55.83)</f>
        <v>55.83</v>
      </c>
      <c r="E1518" s="8">
        <f>IFERROR(__xludf.DUMMYFUNCTION("GOOGLEFINANCE(""ASX:NDQ"", ""closeyest"")"),55.77)</f>
        <v>55.77</v>
      </c>
      <c r="F1518" s="5" t="str">
        <f>IFERROR(__xludf.DUMMYFUNCTION("GOOGLEFINANCE(""ASX:NDQ"", ""pe"")"),"#N/A")</f>
        <v>#N/A</v>
      </c>
      <c r="G1518" s="9">
        <f>IFERROR(__xludf.DUMMYFUNCTION("GOOGLEFINANCE(""ASX:NDQ"", ""high52"")"),58.71)</f>
        <v>58.71</v>
      </c>
      <c r="H1518" s="9">
        <f>IFERROR(__xludf.DUMMYFUNCTION("GOOGLEFINANCE(""ASX:NDQ"", ""low52"")"),40.69)</f>
        <v>40.69</v>
      </c>
      <c r="I1518" s="9" t="str">
        <f>IFERROR(__xludf.DUMMYFUNCTION("GOOGLEFINANCE(""ASX:NDQ"", ""marketcap"")"),"#N/A")</f>
        <v>#N/A</v>
      </c>
      <c r="J1518" s="5"/>
      <c r="K1518" s="5"/>
      <c r="L1518" s="5"/>
      <c r="M1518" s="5"/>
      <c r="N1518" s="11" t="str">
        <f>IFERROR(__xludf.DUMMYFUNCTION("IFERROR(GOOGLEFINANCE(""ASX:NDQ"", ""pe""), ""N/A"")"),"N/A")</f>
        <v>N/A</v>
      </c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>
      <c r="A1519" s="6" t="s">
        <v>3036</v>
      </c>
      <c r="B1519" s="6" t="s">
        <v>3037</v>
      </c>
      <c r="C1519" s="5" t="s">
        <v>93</v>
      </c>
      <c r="D1519" s="7">
        <f>IFERROR(__xludf.DUMMYFUNCTION("GOOGLEFINANCE(""ASX:NEC"", ""price"")"),1.1)</f>
        <v>1.1</v>
      </c>
      <c r="E1519" s="8">
        <f>IFERROR(__xludf.DUMMYFUNCTION("GOOGLEFINANCE(""ASX:NEC"", ""closeyest"")"),1.1)</f>
        <v>1.1</v>
      </c>
      <c r="F1519" s="9">
        <f>IFERROR(__xludf.DUMMYFUNCTION("GOOGLEFINANCE(""ASX:NEC"", ""pe"")"),16.84)</f>
        <v>16.84</v>
      </c>
      <c r="G1519" s="9">
        <f>IFERROR(__xludf.DUMMYFUNCTION("GOOGLEFINANCE(""ASX:NEC"", ""high52"")"),1.9)</f>
        <v>1.9</v>
      </c>
      <c r="H1519" s="9">
        <f>IFERROR(__xludf.DUMMYFUNCTION("GOOGLEFINANCE(""ASX:NEC"", ""low52"")"),1.07)</f>
        <v>1.07</v>
      </c>
      <c r="I1519" s="9">
        <f>IFERROR(__xludf.DUMMYFUNCTION("GOOGLEFINANCE(""ASX:NEC"", ""marketcap"")"),1.736479837E9)</f>
        <v>1736479837</v>
      </c>
      <c r="J1519" s="5"/>
      <c r="K1519" s="5"/>
      <c r="L1519" s="5"/>
      <c r="M1519" s="5"/>
      <c r="N1519" s="9">
        <f>IFERROR(__xludf.DUMMYFUNCTION("IFERROR(GOOGLEFINANCE(""ASX:NEC"", ""pe""), ""N/A"")"),16.84)</f>
        <v>16.84</v>
      </c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>
      <c r="A1520" s="6" t="s">
        <v>3038</v>
      </c>
      <c r="B1520" s="6" t="s">
        <v>3039</v>
      </c>
      <c r="C1520" s="5" t="s">
        <v>3040</v>
      </c>
      <c r="D1520" s="7">
        <f>IFERROR(__xludf.DUMMYFUNCTION("GOOGLEFINANCE(""ASX:NEM"", ""price"")"),158.5)</f>
        <v>158.5</v>
      </c>
      <c r="E1520" s="8">
        <f>IFERROR(__xludf.DUMMYFUNCTION("GOOGLEFINANCE(""ASX:NEM"", ""closeyest"")"),154.26)</f>
        <v>154.26</v>
      </c>
      <c r="F1520" s="5" t="str">
        <f>IFERROR(__xludf.DUMMYFUNCTION("GOOGLEFINANCE(""ASX:NEM"", ""pe"")"),"#N/A")</f>
        <v>#N/A</v>
      </c>
      <c r="G1520" s="9">
        <f>IFERROR(__xludf.DUMMYFUNCTION("GOOGLEFINANCE(""ASX:NEM"", ""high52"")"),162.45)</f>
        <v>162.45</v>
      </c>
      <c r="H1520" s="9">
        <f>IFERROR(__xludf.DUMMYFUNCTION("GOOGLEFINANCE(""ASX:NEM"", ""low52"")"),60.37)</f>
        <v>60.37</v>
      </c>
      <c r="I1520" s="9">
        <f>IFERROR(__xludf.DUMMYFUNCTION("GOOGLEFINANCE(""ASX:NEM"", ""marketcap"")"),1.19165916269E11)</f>
        <v>119165916269</v>
      </c>
      <c r="J1520" s="5"/>
      <c r="K1520" s="5"/>
      <c r="L1520" s="5"/>
      <c r="M1520" s="5"/>
      <c r="N1520" s="11" t="str">
        <f>IFERROR(__xludf.DUMMYFUNCTION("IFERROR(GOOGLEFINANCE(""ASX:NEM"", ""pe""), ""N/A"")"),"N/A")</f>
        <v>N/A</v>
      </c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>
      <c r="A1521" s="6" t="s">
        <v>3041</v>
      </c>
      <c r="B1521" s="6" t="s">
        <v>3042</v>
      </c>
      <c r="C1521" s="5" t="s">
        <v>88</v>
      </c>
      <c r="D1521" s="7">
        <f>IFERROR(__xludf.DUMMYFUNCTION("GOOGLEFINANCE(""ASX:NES"", ""price"")"),0.01)</f>
        <v>0.01</v>
      </c>
      <c r="E1521" s="8">
        <f>IFERROR(__xludf.DUMMYFUNCTION("GOOGLEFINANCE(""ASX:NES"", ""closeyest"")"),0.01)</f>
        <v>0.01</v>
      </c>
      <c r="F1521" s="5" t="str">
        <f>IFERROR(__xludf.DUMMYFUNCTION("GOOGLEFINANCE(""ASX:NES"", ""pe"")"),"#N/A")</f>
        <v>#N/A</v>
      </c>
      <c r="G1521" s="9">
        <f>IFERROR(__xludf.DUMMYFUNCTION("GOOGLEFINANCE(""ASX:NES"", ""high52"")"),0.01)</f>
        <v>0.01</v>
      </c>
      <c r="H1521" s="9">
        <f>IFERROR(__xludf.DUMMYFUNCTION("GOOGLEFINANCE(""ASX:NES"", ""low52"")"),0.0)</f>
        <v>0</v>
      </c>
      <c r="I1521" s="9">
        <f>IFERROR(__xludf.DUMMYFUNCTION("GOOGLEFINANCE(""ASX:NES"", ""marketcap"")"),6845649.0)</f>
        <v>6845649</v>
      </c>
      <c r="J1521" s="12">
        <v>0.004</v>
      </c>
      <c r="K1521" s="12">
        <v>0.005</v>
      </c>
      <c r="L1521" s="12">
        <v>0.012</v>
      </c>
      <c r="M1521" s="12">
        <v>0.002</v>
      </c>
      <c r="N1521" s="11" t="str">
        <f>IFERROR(__xludf.DUMMYFUNCTION("IFERROR(GOOGLEFINANCE(""ASX:NES"", ""pe""), ""N/A"")"),"N/A")</f>
        <v>N/A</v>
      </c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>
      <c r="A1522" s="6" t="s">
        <v>3043</v>
      </c>
      <c r="B1522" s="6" t="s">
        <v>3044</v>
      </c>
      <c r="C1522" s="5" t="s">
        <v>174</v>
      </c>
      <c r="D1522" s="7">
        <f>IFERROR(__xludf.DUMMYFUNCTION("GOOGLEFINANCE(""ASX:NEU"", ""price"")"),18.28)</f>
        <v>18.28</v>
      </c>
      <c r="E1522" s="8">
        <f>IFERROR(__xludf.DUMMYFUNCTION("GOOGLEFINANCE(""ASX:NEU"", ""closeyest"")"),18.81)</f>
        <v>18.81</v>
      </c>
      <c r="F1522" s="9">
        <f>IFERROR(__xludf.DUMMYFUNCTION("GOOGLEFINANCE(""ASX:NEU"", ""pe"")"),16.01)</f>
        <v>16.01</v>
      </c>
      <c r="G1522" s="9">
        <f>IFERROR(__xludf.DUMMYFUNCTION("GOOGLEFINANCE(""ASX:NEU"", ""high52"")"),22.99)</f>
        <v>22.99</v>
      </c>
      <c r="H1522" s="9">
        <f>IFERROR(__xludf.DUMMYFUNCTION("GOOGLEFINANCE(""ASX:NEU"", ""low52"")"),8.61)</f>
        <v>8.61</v>
      </c>
      <c r="I1522" s="9">
        <f>IFERROR(__xludf.DUMMYFUNCTION("GOOGLEFINANCE(""ASX:NEU"", ""marketcap"")"),2.314970146E9)</f>
        <v>2314970146</v>
      </c>
      <c r="J1522" s="5"/>
      <c r="K1522" s="5"/>
      <c r="L1522" s="5"/>
      <c r="M1522" s="5"/>
      <c r="N1522" s="9">
        <f>IFERROR(__xludf.DUMMYFUNCTION("IFERROR(GOOGLEFINANCE(""ASX:NEU"", ""pe""), ""N/A"")"),16.01)</f>
        <v>16.01</v>
      </c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>
      <c r="A1523" s="6" t="s">
        <v>3045</v>
      </c>
      <c r="B1523" s="6" t="s">
        <v>3046</v>
      </c>
      <c r="C1523" s="5" t="s">
        <v>18</v>
      </c>
      <c r="D1523" s="7">
        <f>IFERROR(__xludf.DUMMYFUNCTION("GOOGLEFINANCE(""ASX:NFL"", ""price"")"),0.1)</f>
        <v>0.1</v>
      </c>
      <c r="E1523" s="8">
        <f>IFERROR(__xludf.DUMMYFUNCTION("GOOGLEFINANCE(""ASX:NFL"", ""closeyest"")"),0.11)</f>
        <v>0.11</v>
      </c>
      <c r="F1523" s="5" t="str">
        <f>IFERROR(__xludf.DUMMYFUNCTION("GOOGLEFINANCE(""ASX:NFL"", ""pe"")"),"#N/A")</f>
        <v>#N/A</v>
      </c>
      <c r="G1523" s="9">
        <f>IFERROR(__xludf.DUMMYFUNCTION("GOOGLEFINANCE(""ASX:NFL"", ""high52"")"),0.22)</f>
        <v>0.22</v>
      </c>
      <c r="H1523" s="9">
        <f>IFERROR(__xludf.DUMMYFUNCTION("GOOGLEFINANCE(""ASX:NFL"", ""low52"")"),0.1)</f>
        <v>0.1</v>
      </c>
      <c r="I1523" s="9">
        <f>IFERROR(__xludf.DUMMYFUNCTION("GOOGLEFINANCE(""ASX:NFL"", ""marketcap"")"),8080110.0)</f>
        <v>8080110</v>
      </c>
      <c r="J1523" s="5"/>
      <c r="K1523" s="5"/>
      <c r="L1523" s="5"/>
      <c r="M1523" s="5"/>
      <c r="N1523" s="11" t="str">
        <f>IFERROR(__xludf.DUMMYFUNCTION("IFERROR(GOOGLEFINANCE(""ASX:NFL"", ""pe""), ""N/A"")"),"N/A")</f>
        <v>N/A</v>
      </c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>
      <c r="A1524" s="6" t="s">
        <v>3047</v>
      </c>
      <c r="B1524" s="6" t="s">
        <v>3048</v>
      </c>
      <c r="C1524" s="5" t="s">
        <v>18</v>
      </c>
      <c r="D1524" s="7">
        <f>IFERROR(__xludf.DUMMYFUNCTION("GOOGLEFINANCE(""ASX:NFM"", ""price"")"),0.02)</f>
        <v>0.02</v>
      </c>
      <c r="E1524" s="8">
        <f>IFERROR(__xludf.DUMMYFUNCTION("GOOGLEFINANCE(""ASX:NFM"", ""closeyest"")"),0.02)</f>
        <v>0.02</v>
      </c>
      <c r="F1524" s="5" t="str">
        <f>IFERROR(__xludf.DUMMYFUNCTION("GOOGLEFINANCE(""ASX:NFM"", ""pe"")"),"#N/A")</f>
        <v>#N/A</v>
      </c>
      <c r="G1524" s="9">
        <f>IFERROR(__xludf.DUMMYFUNCTION("GOOGLEFINANCE(""ASX:NFM"", ""high52"")"),0.03)</f>
        <v>0.03</v>
      </c>
      <c r="H1524" s="9">
        <f>IFERROR(__xludf.DUMMYFUNCTION("GOOGLEFINANCE(""ASX:NFM"", ""low52"")"),0.01)</f>
        <v>0.01</v>
      </c>
      <c r="I1524" s="9">
        <f>IFERROR(__xludf.DUMMYFUNCTION("GOOGLEFINANCE(""ASX:NFM"", ""marketcap"")"),2.6290834E7)</f>
        <v>26290834</v>
      </c>
      <c r="J1524" s="5"/>
      <c r="K1524" s="5"/>
      <c r="L1524" s="5"/>
      <c r="M1524" s="5"/>
      <c r="N1524" s="11" t="str">
        <f>IFERROR(__xludf.DUMMYFUNCTION("IFERROR(GOOGLEFINANCE(""ASX:NFM"", ""pe""), ""N/A"")"),"N/A")</f>
        <v>N/A</v>
      </c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>
      <c r="A1525" s="6" t="s">
        <v>3049</v>
      </c>
      <c r="B1525" s="6" t="s">
        <v>3050</v>
      </c>
      <c r="C1525" s="5" t="s">
        <v>171</v>
      </c>
      <c r="D1525" s="7">
        <f>IFERROR(__xludf.DUMMYFUNCTION("GOOGLEFINANCE(""ASX:NGE"", ""price"")"),1.37)</f>
        <v>1.37</v>
      </c>
      <c r="E1525" s="8">
        <f>IFERROR(__xludf.DUMMYFUNCTION("GOOGLEFINANCE(""ASX:NGE"", ""closeyest"")"),1.33)</f>
        <v>1.33</v>
      </c>
      <c r="F1525" s="9">
        <f>IFERROR(__xludf.DUMMYFUNCTION("GOOGLEFINANCE(""ASX:NGE"", ""pe"")"),9.57)</f>
        <v>9.57</v>
      </c>
      <c r="G1525" s="9">
        <f>IFERROR(__xludf.DUMMYFUNCTION("GOOGLEFINANCE(""ASX:NGE"", ""high52"")"),1.38)</f>
        <v>1.38</v>
      </c>
      <c r="H1525" s="9">
        <f>IFERROR(__xludf.DUMMYFUNCTION("GOOGLEFINANCE(""ASX:NGE"", ""low52"")"),0.97)</f>
        <v>0.97</v>
      </c>
      <c r="I1525" s="9">
        <f>IFERROR(__xludf.DUMMYFUNCTION("GOOGLEFINANCE(""ASX:NGE"", ""marketcap"")"),4.6995411E7)</f>
        <v>46995411</v>
      </c>
      <c r="J1525" s="5"/>
      <c r="K1525" s="5"/>
      <c r="L1525" s="5"/>
      <c r="M1525" s="5"/>
      <c r="N1525" s="9">
        <f>IFERROR(__xludf.DUMMYFUNCTION("IFERROR(GOOGLEFINANCE(""ASX:NGE"", ""pe""), ""N/A"")"),9.57)</f>
        <v>9.57</v>
      </c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>
      <c r="A1526" s="6" t="s">
        <v>3051</v>
      </c>
      <c r="B1526" s="6" t="s">
        <v>3052</v>
      </c>
      <c r="C1526" s="5" t="s">
        <v>171</v>
      </c>
      <c r="D1526" s="7">
        <f>IFERROR(__xludf.DUMMYFUNCTION("GOOGLEFINANCE(""ASX:NGI"", ""price"")"),3.0)</f>
        <v>3</v>
      </c>
      <c r="E1526" s="8">
        <f>IFERROR(__xludf.DUMMYFUNCTION("GOOGLEFINANCE(""ASX:NGI"", ""closeyest"")"),2.97)</f>
        <v>2.97</v>
      </c>
      <c r="F1526" s="9">
        <f>IFERROR(__xludf.DUMMYFUNCTION("GOOGLEFINANCE(""ASX:NGI"", ""pe"")"),9.27)</f>
        <v>9.27</v>
      </c>
      <c r="G1526" s="9">
        <f>IFERROR(__xludf.DUMMYFUNCTION("GOOGLEFINANCE(""ASX:NGI"", ""high52"")"),3.08)</f>
        <v>3.08</v>
      </c>
      <c r="H1526" s="9">
        <f>IFERROR(__xludf.DUMMYFUNCTION("GOOGLEFINANCE(""ASX:NGI"", ""low52"")"),1.45)</f>
        <v>1.45</v>
      </c>
      <c r="I1526" s="9">
        <f>IFERROR(__xludf.DUMMYFUNCTION("GOOGLEFINANCE(""ASX:NGI"", ""marketcap"")"),1.473354E9)</f>
        <v>1473354000</v>
      </c>
      <c r="J1526" s="9">
        <v>0.004</v>
      </c>
      <c r="K1526" s="9">
        <v>0.004</v>
      </c>
      <c r="L1526" s="9">
        <v>0.004</v>
      </c>
      <c r="M1526" s="9">
        <v>0.002</v>
      </c>
      <c r="N1526" s="9">
        <f>IFERROR(__xludf.DUMMYFUNCTION("IFERROR(GOOGLEFINANCE(""ASX:NGI"", ""pe""), ""N/A"")"),9.27)</f>
        <v>9.27</v>
      </c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>
      <c r="A1527" s="6" t="s">
        <v>3053</v>
      </c>
      <c r="B1527" s="6" t="s">
        <v>3054</v>
      </c>
      <c r="C1527" s="5" t="s">
        <v>174</v>
      </c>
      <c r="D1527" s="7">
        <f>IFERROR(__xludf.DUMMYFUNCTION("GOOGLEFINANCE(""ASX:NGS"", ""price"")"),0.02)</f>
        <v>0.02</v>
      </c>
      <c r="E1527" s="8">
        <f>IFERROR(__xludf.DUMMYFUNCTION("GOOGLEFINANCE(""ASX:NGS"", ""closeyest"")"),0.02)</f>
        <v>0.02</v>
      </c>
      <c r="F1527" s="5" t="str">
        <f>IFERROR(__xludf.DUMMYFUNCTION("GOOGLEFINANCE(""ASX:NGS"", ""pe"")"),"#N/A")</f>
        <v>#N/A</v>
      </c>
      <c r="G1527" s="9">
        <f>IFERROR(__xludf.DUMMYFUNCTION("GOOGLEFINANCE(""ASX:NGS"", ""high52"")"),0.05)</f>
        <v>0.05</v>
      </c>
      <c r="H1527" s="9">
        <f>IFERROR(__xludf.DUMMYFUNCTION("GOOGLEFINANCE(""ASX:NGS"", ""low52"")"),0.02)</f>
        <v>0.02</v>
      </c>
      <c r="I1527" s="9">
        <f>IFERROR(__xludf.DUMMYFUNCTION("GOOGLEFINANCE(""ASX:NGS"", ""marketcap"")"),7344707.0)</f>
        <v>7344707</v>
      </c>
      <c r="J1527" s="5"/>
      <c r="K1527" s="5"/>
      <c r="L1527" s="5"/>
      <c r="M1527" s="5"/>
      <c r="N1527" s="11" t="str">
        <f>IFERROR(__xludf.DUMMYFUNCTION("IFERROR(GOOGLEFINANCE(""ASX:NGS"", ""pe""), ""N/A"")"),"N/A")</f>
        <v>N/A</v>
      </c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>
      <c r="A1528" s="6" t="s">
        <v>3055</v>
      </c>
      <c r="B1528" s="6" t="s">
        <v>3056</v>
      </c>
      <c r="C1528" s="5" t="s">
        <v>39</v>
      </c>
      <c r="D1528" s="7">
        <f>IFERROR(__xludf.DUMMYFUNCTION("GOOGLEFINANCE(""ASX:NGX"", ""price"")"),0.13)</f>
        <v>0.13</v>
      </c>
      <c r="E1528" s="8">
        <f>IFERROR(__xludf.DUMMYFUNCTION("GOOGLEFINANCE(""ASX:NGX"", ""closeyest"")"),0.12)</f>
        <v>0.12</v>
      </c>
      <c r="F1528" s="5" t="str">
        <f>IFERROR(__xludf.DUMMYFUNCTION("GOOGLEFINANCE(""ASX:NGX"", ""pe"")"),"#N/A")</f>
        <v>#N/A</v>
      </c>
      <c r="G1528" s="9">
        <f>IFERROR(__xludf.DUMMYFUNCTION("GOOGLEFINANCE(""ASX:NGX"", ""high52"")"),0.2)</f>
        <v>0.2</v>
      </c>
      <c r="H1528" s="9">
        <f>IFERROR(__xludf.DUMMYFUNCTION("GOOGLEFINANCE(""ASX:NGX"", ""low52"")"),0.1)</f>
        <v>0.1</v>
      </c>
      <c r="I1528" s="9">
        <f>IFERROR(__xludf.DUMMYFUNCTION("GOOGLEFINANCE(""ASX:NGX"", ""marketcap"")"),1.0890845E7)</f>
        <v>10890845</v>
      </c>
      <c r="J1528" s="9">
        <v>0.003</v>
      </c>
      <c r="K1528" s="9">
        <v>0.003</v>
      </c>
      <c r="L1528" s="9">
        <v>0.016</v>
      </c>
      <c r="M1528" s="9">
        <v>0.003</v>
      </c>
      <c r="N1528" s="11" t="str">
        <f>IFERROR(__xludf.DUMMYFUNCTION("IFERROR(GOOGLEFINANCE(""ASX:NGX"", ""pe""), ""N/A"")"),"N/A")</f>
        <v>N/A</v>
      </c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>
      <c r="A1529" s="6" t="s">
        <v>3057</v>
      </c>
      <c r="B1529" s="6" t="s">
        <v>3058</v>
      </c>
      <c r="C1529" s="5" t="s">
        <v>78</v>
      </c>
      <c r="D1529" s="7">
        <f>IFERROR(__xludf.DUMMYFUNCTION("GOOGLEFINANCE(""ASX:NGY"", ""price"")"),0.03)</f>
        <v>0.03</v>
      </c>
      <c r="E1529" s="8">
        <f>IFERROR(__xludf.DUMMYFUNCTION("GOOGLEFINANCE(""ASX:NGY"", ""closeyest"")"),0.03)</f>
        <v>0.03</v>
      </c>
      <c r="F1529" s="5" t="str">
        <f>IFERROR(__xludf.DUMMYFUNCTION("GOOGLEFINANCE(""ASX:NGY"", ""pe"")"),"#N/A")</f>
        <v>#N/A</v>
      </c>
      <c r="G1529" s="9">
        <f>IFERROR(__xludf.DUMMYFUNCTION("GOOGLEFINANCE(""ASX:NGY"", ""high52"")"),0.04)</f>
        <v>0.04</v>
      </c>
      <c r="H1529" s="9">
        <f>IFERROR(__xludf.DUMMYFUNCTION("GOOGLEFINANCE(""ASX:NGY"", ""low52"")"),0.02)</f>
        <v>0.02</v>
      </c>
      <c r="I1529" s="9">
        <f>IFERROR(__xludf.DUMMYFUNCTION("GOOGLEFINANCE(""ASX:NGY"", ""marketcap"")"),5.1940883E7)</f>
        <v>51940883</v>
      </c>
      <c r="J1529" s="5"/>
      <c r="K1529" s="5"/>
      <c r="L1529" s="5"/>
      <c r="M1529" s="5"/>
      <c r="N1529" s="11" t="str">
        <f>IFERROR(__xludf.DUMMYFUNCTION("IFERROR(GOOGLEFINANCE(""ASX:NGY"", ""pe""), ""N/A"")"),"N/A")</f>
        <v>N/A</v>
      </c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>
      <c r="A1530" s="6" t="s">
        <v>3059</v>
      </c>
      <c r="B1530" s="6" t="s">
        <v>3060</v>
      </c>
      <c r="C1530" s="5" t="s">
        <v>1697</v>
      </c>
      <c r="D1530" s="7">
        <f>IFERROR(__xludf.DUMMYFUNCTION("GOOGLEFINANCE(""ASX:NH3"", ""price"")"),0.08)</f>
        <v>0.08</v>
      </c>
      <c r="E1530" s="8">
        <f>IFERROR(__xludf.DUMMYFUNCTION("GOOGLEFINANCE(""ASX:NH3"", ""closeyest"")"),0.08)</f>
        <v>0.08</v>
      </c>
      <c r="F1530" s="5" t="str">
        <f>IFERROR(__xludf.DUMMYFUNCTION("GOOGLEFINANCE(""ASX:NH3"", ""pe"")"),"#N/A")</f>
        <v>#N/A</v>
      </c>
      <c r="G1530" s="9">
        <f>IFERROR(__xludf.DUMMYFUNCTION("GOOGLEFINANCE(""ASX:NH3"", ""high52"")"),0.14)</f>
        <v>0.14</v>
      </c>
      <c r="H1530" s="9">
        <f>IFERROR(__xludf.DUMMYFUNCTION("GOOGLEFINANCE(""ASX:NH3"", ""low52"")"),0.02)</f>
        <v>0.02</v>
      </c>
      <c r="I1530" s="9">
        <f>IFERROR(__xludf.DUMMYFUNCTION("GOOGLEFINANCE(""ASX:NH3"", ""marketcap"")"),5.5078897E7)</f>
        <v>55078897</v>
      </c>
      <c r="J1530" s="5"/>
      <c r="K1530" s="5"/>
      <c r="L1530" s="5"/>
      <c r="M1530" s="5"/>
      <c r="N1530" s="11" t="str">
        <f>IFERROR(__xludf.DUMMYFUNCTION("IFERROR(GOOGLEFINANCE(""ASX:NH3"", ""pe""), ""N/A"")"),"N/A")</f>
        <v>N/A</v>
      </c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>
      <c r="A1531" s="6" t="s">
        <v>3061</v>
      </c>
      <c r="B1531" s="6" t="s">
        <v>3062</v>
      </c>
      <c r="C1531" s="5" t="s">
        <v>314</v>
      </c>
      <c r="D1531" s="7">
        <f>IFERROR(__xludf.DUMMYFUNCTION("GOOGLEFINANCE(""ASX:NHC"", ""price"")"),4.04)</f>
        <v>4.04</v>
      </c>
      <c r="E1531" s="8">
        <f>IFERROR(__xludf.DUMMYFUNCTION("GOOGLEFINANCE(""ASX:NHC"", ""closeyest"")"),4.04)</f>
        <v>4.04</v>
      </c>
      <c r="F1531" s="9">
        <f>IFERROR(__xludf.DUMMYFUNCTION("GOOGLEFINANCE(""ASX:NHC"", ""pe"")"),8.33)</f>
        <v>8.33</v>
      </c>
      <c r="G1531" s="9">
        <f>IFERROR(__xludf.DUMMYFUNCTION("GOOGLEFINANCE(""ASX:NHC"", ""high52"")"),5.04)</f>
        <v>5.04</v>
      </c>
      <c r="H1531" s="9">
        <f>IFERROR(__xludf.DUMMYFUNCTION("GOOGLEFINANCE(""ASX:NHC"", ""low52"")"),3.33)</f>
        <v>3.33</v>
      </c>
      <c r="I1531" s="9">
        <f>IFERROR(__xludf.DUMMYFUNCTION("GOOGLEFINANCE(""ASX:NHC"", ""marketcap"")"),3.407221635E9)</f>
        <v>3407221635</v>
      </c>
      <c r="J1531" s="9">
        <v>0.003</v>
      </c>
      <c r="K1531" s="9">
        <v>0.003</v>
      </c>
      <c r="L1531" s="9">
        <v>0.005</v>
      </c>
      <c r="M1531" s="9">
        <v>0.001</v>
      </c>
      <c r="N1531" s="9">
        <f>IFERROR(__xludf.DUMMYFUNCTION("IFERROR(GOOGLEFINANCE(""ASX:NHC"", ""pe""), ""N/A"")"),8.33)</f>
        <v>8.33</v>
      </c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>
      <c r="A1532" s="6" t="s">
        <v>3063</v>
      </c>
      <c r="B1532" s="6" t="s">
        <v>3064</v>
      </c>
      <c r="C1532" s="5" t="s">
        <v>106</v>
      </c>
      <c r="D1532" s="7">
        <f>IFERROR(__xludf.DUMMYFUNCTION("GOOGLEFINANCE(""ASX:NHE"", ""price"")"),0.04)</f>
        <v>0.04</v>
      </c>
      <c r="E1532" s="8">
        <f>IFERROR(__xludf.DUMMYFUNCTION("GOOGLEFINANCE(""ASX:NHE"", ""closeyest"")"),0.04)</f>
        <v>0.04</v>
      </c>
      <c r="F1532" s="5" t="str">
        <f>IFERROR(__xludf.DUMMYFUNCTION("GOOGLEFINANCE(""ASX:NHE"", ""pe"")"),"#N/A")</f>
        <v>#N/A</v>
      </c>
      <c r="G1532" s="9">
        <f>IFERROR(__xludf.DUMMYFUNCTION("GOOGLEFINANCE(""ASX:NHE"", ""high52"")"),0.06)</f>
        <v>0.06</v>
      </c>
      <c r="H1532" s="9">
        <f>IFERROR(__xludf.DUMMYFUNCTION("GOOGLEFINANCE(""ASX:NHE"", ""low52"")"),0.01)</f>
        <v>0.01</v>
      </c>
      <c r="I1532" s="9">
        <f>IFERROR(__xludf.DUMMYFUNCTION("GOOGLEFINANCE(""ASX:NHE"", ""marketcap"")"),2.1627867E7)</f>
        <v>21627867</v>
      </c>
      <c r="J1532" s="5"/>
      <c r="K1532" s="5"/>
      <c r="L1532" s="5"/>
      <c r="M1532" s="5"/>
      <c r="N1532" s="11" t="str">
        <f>IFERROR(__xludf.DUMMYFUNCTION("IFERROR(GOOGLEFINANCE(""ASX:NHE"", ""pe""), ""N/A"")"),"N/A")</f>
        <v>N/A</v>
      </c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>
      <c r="A1533" s="6" t="s">
        <v>3065</v>
      </c>
      <c r="B1533" s="6" t="s">
        <v>3066</v>
      </c>
      <c r="C1533" s="5" t="s">
        <v>1008</v>
      </c>
      <c r="D1533" s="7">
        <f>IFERROR(__xludf.DUMMYFUNCTION("GOOGLEFINANCE(""ASX:NHF"", ""price"")"),6.7)</f>
        <v>6.7</v>
      </c>
      <c r="E1533" s="8">
        <f>IFERROR(__xludf.DUMMYFUNCTION("GOOGLEFINANCE(""ASX:NHF"", ""closeyest"")"),6.65)</f>
        <v>6.65</v>
      </c>
      <c r="F1533" s="9">
        <f>IFERROR(__xludf.DUMMYFUNCTION("GOOGLEFINANCE(""ASX:NHF"", ""pe"")"),16.66)</f>
        <v>16.66</v>
      </c>
      <c r="G1533" s="9">
        <f>IFERROR(__xludf.DUMMYFUNCTION("GOOGLEFINANCE(""ASX:NHF"", ""high52"")"),8.26)</f>
        <v>8.26</v>
      </c>
      <c r="H1533" s="9">
        <f>IFERROR(__xludf.DUMMYFUNCTION("GOOGLEFINANCE(""ASX:NHF"", ""low52"")"),5.4)</f>
        <v>5.4</v>
      </c>
      <c r="I1533" s="9">
        <f>IFERROR(__xludf.DUMMYFUNCTION("GOOGLEFINANCE(""ASX:NHF"", ""marketcap"")"),3.269287686E9)</f>
        <v>3269287686</v>
      </c>
      <c r="J1533" s="5"/>
      <c r="K1533" s="5"/>
      <c r="L1533" s="5"/>
      <c r="M1533" s="5"/>
      <c r="N1533" s="9">
        <f>IFERROR(__xludf.DUMMYFUNCTION("IFERROR(GOOGLEFINANCE(""ASX:NHF"", ""pe""), ""N/A"")"),16.66)</f>
        <v>16.66</v>
      </c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>
      <c r="A1534" s="6" t="s">
        <v>3067</v>
      </c>
      <c r="B1534" s="6" t="s">
        <v>3068</v>
      </c>
      <c r="C1534" s="5" t="s">
        <v>39</v>
      </c>
      <c r="D1534" s="7">
        <f>IFERROR(__xludf.DUMMYFUNCTION("GOOGLEFINANCE(""ASX:NIC"", ""price"")"),1.01)</f>
        <v>1.01</v>
      </c>
      <c r="E1534" s="8">
        <f>IFERROR(__xludf.DUMMYFUNCTION("GOOGLEFINANCE(""ASX:NIC"", ""closeyest"")"),0.95)</f>
        <v>0.95</v>
      </c>
      <c r="F1534" s="5" t="str">
        <f>IFERROR(__xludf.DUMMYFUNCTION("GOOGLEFINANCE(""ASX:NIC"", ""pe"")"),"#N/A")</f>
        <v>#N/A</v>
      </c>
      <c r="G1534" s="9">
        <f>IFERROR(__xludf.DUMMYFUNCTION("GOOGLEFINANCE(""ASX:NIC"", ""high52"")"),1.04)</f>
        <v>1.04</v>
      </c>
      <c r="H1534" s="9">
        <f>IFERROR(__xludf.DUMMYFUNCTION("GOOGLEFINANCE(""ASX:NIC"", ""low52"")"),0.42)</f>
        <v>0.42</v>
      </c>
      <c r="I1534" s="9">
        <f>IFERROR(__xludf.DUMMYFUNCTION("GOOGLEFINANCE(""ASX:NIC"", ""marketcap"")"),4.384344308E9)</f>
        <v>4384344308</v>
      </c>
      <c r="J1534" s="5"/>
      <c r="K1534" s="5"/>
      <c r="L1534" s="5"/>
      <c r="M1534" s="5"/>
      <c r="N1534" s="11" t="str">
        <f>IFERROR(__xludf.DUMMYFUNCTION("IFERROR(GOOGLEFINANCE(""ASX:NIC"", ""pe""), ""N/A"")"),"N/A")</f>
        <v>N/A</v>
      </c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>
      <c r="A1535" s="6" t="s">
        <v>3069</v>
      </c>
      <c r="B1535" s="6" t="s">
        <v>3070</v>
      </c>
      <c r="C1535" s="5" t="s">
        <v>39</v>
      </c>
      <c r="D1535" s="7">
        <f>IFERROR(__xludf.DUMMYFUNCTION("GOOGLEFINANCE(""ASX:NIM"", ""price"")"),0.06)</f>
        <v>0.06</v>
      </c>
      <c r="E1535" s="8">
        <f>IFERROR(__xludf.DUMMYFUNCTION("GOOGLEFINANCE(""ASX:NIM"", ""closeyest"")"),0.06)</f>
        <v>0.06</v>
      </c>
      <c r="F1535" s="5" t="str">
        <f>IFERROR(__xludf.DUMMYFUNCTION("GOOGLEFINANCE(""ASX:NIM"", ""pe"")"),"#N/A")</f>
        <v>#N/A</v>
      </c>
      <c r="G1535" s="9">
        <f>IFERROR(__xludf.DUMMYFUNCTION("GOOGLEFINANCE(""ASX:NIM"", ""high52"")"),0.19)</f>
        <v>0.19</v>
      </c>
      <c r="H1535" s="9">
        <f>IFERROR(__xludf.DUMMYFUNCTION("GOOGLEFINANCE(""ASX:NIM"", ""low52"")"),0.04)</f>
        <v>0.04</v>
      </c>
      <c r="I1535" s="9">
        <f>IFERROR(__xludf.DUMMYFUNCTION("GOOGLEFINANCE(""ASX:NIM"", ""marketcap"")"),2.2244422E7)</f>
        <v>22244422</v>
      </c>
      <c r="J1535" s="5"/>
      <c r="K1535" s="5"/>
      <c r="L1535" s="5"/>
      <c r="M1535" s="5"/>
      <c r="N1535" s="11" t="str">
        <f>IFERROR(__xludf.DUMMYFUNCTION("IFERROR(GOOGLEFINANCE(""ASX:NIM"", ""pe""), ""N/A"")"),"N/A")</f>
        <v>N/A</v>
      </c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>
      <c r="A1536" s="6" t="s">
        <v>3071</v>
      </c>
      <c r="B1536" s="6" t="s">
        <v>3072</v>
      </c>
      <c r="C1536" s="5" t="s">
        <v>18</v>
      </c>
      <c r="D1536" s="7">
        <f>IFERROR(__xludf.DUMMYFUNCTION("GOOGLEFINANCE(""ASX:NME"", ""price"")"),0.02)</f>
        <v>0.02</v>
      </c>
      <c r="E1536" s="8">
        <f>IFERROR(__xludf.DUMMYFUNCTION("GOOGLEFINANCE(""ASX:NME"", ""closeyest"")"),0.02)</f>
        <v>0.02</v>
      </c>
      <c r="F1536" s="5" t="str">
        <f>IFERROR(__xludf.DUMMYFUNCTION("GOOGLEFINANCE(""ASX:NME"", ""pe"")"),"#N/A")</f>
        <v>#N/A</v>
      </c>
      <c r="G1536" s="9">
        <f>IFERROR(__xludf.DUMMYFUNCTION("GOOGLEFINANCE(""ASX:NME"", ""high52"")"),0.04)</f>
        <v>0.04</v>
      </c>
      <c r="H1536" s="9">
        <f>IFERROR(__xludf.DUMMYFUNCTION("GOOGLEFINANCE(""ASX:NME"", ""low52"")"),0.02)</f>
        <v>0.02</v>
      </c>
      <c r="I1536" s="9">
        <f>IFERROR(__xludf.DUMMYFUNCTION("GOOGLEFINANCE(""ASX:NME"", ""marketcap"")"),6370360.0)</f>
        <v>6370360</v>
      </c>
      <c r="J1536" s="5"/>
      <c r="K1536" s="5"/>
      <c r="L1536" s="5"/>
      <c r="M1536" s="5"/>
      <c r="N1536" s="11" t="str">
        <f>IFERROR(__xludf.DUMMYFUNCTION("IFERROR(GOOGLEFINANCE(""ASX:NME"", ""pe""), ""N/A"")"),"N/A")</f>
        <v>N/A</v>
      </c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>
      <c r="A1537" s="6" t="s">
        <v>3073</v>
      </c>
      <c r="B1537" s="6" t="s">
        <v>3074</v>
      </c>
      <c r="C1537" s="5" t="s">
        <v>88</v>
      </c>
      <c r="D1537" s="7">
        <f>IFERROR(__xludf.DUMMYFUNCTION("GOOGLEFINANCE(""ASX:NMG"", ""price"")"),0.05)</f>
        <v>0.05</v>
      </c>
      <c r="E1537" s="8">
        <f>IFERROR(__xludf.DUMMYFUNCTION("GOOGLEFINANCE(""ASX:NMG"", ""closeyest"")"),0.05)</f>
        <v>0.05</v>
      </c>
      <c r="F1537" s="9">
        <f>IFERROR(__xludf.DUMMYFUNCTION("GOOGLEFINANCE(""ASX:NMG"", ""pe"")"),94.34)</f>
        <v>94.34</v>
      </c>
      <c r="G1537" s="9">
        <f>IFERROR(__xludf.DUMMYFUNCTION("GOOGLEFINANCE(""ASX:NMG"", ""high52"")"),0.05)</f>
        <v>0.05</v>
      </c>
      <c r="H1537" s="9">
        <f>IFERROR(__xludf.DUMMYFUNCTION("GOOGLEFINANCE(""ASX:NMG"", ""low52"")"),0.01)</f>
        <v>0.01</v>
      </c>
      <c r="I1537" s="9">
        <f>IFERROR(__xludf.DUMMYFUNCTION("GOOGLEFINANCE(""ASX:NMG"", ""marketcap"")"),5.30289507E8)</f>
        <v>530289507</v>
      </c>
      <c r="J1537" s="5"/>
      <c r="K1537" s="5"/>
      <c r="L1537" s="5"/>
      <c r="M1537" s="5"/>
      <c r="N1537" s="9">
        <f>IFERROR(__xludf.DUMMYFUNCTION("IFERROR(GOOGLEFINANCE(""ASX:NMG"", ""pe""), ""N/A"")"),94.34)</f>
        <v>94.34</v>
      </c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>
      <c r="A1538" s="6" t="s">
        <v>3075</v>
      </c>
      <c r="B1538" s="6" t="s">
        <v>3076</v>
      </c>
      <c r="C1538" s="5" t="s">
        <v>18</v>
      </c>
      <c r="D1538" s="7">
        <f>IFERROR(__xludf.DUMMYFUNCTION("GOOGLEFINANCE(""ASX:NMR"", ""price"")"),0.06)</f>
        <v>0.06</v>
      </c>
      <c r="E1538" s="8">
        <f>IFERROR(__xludf.DUMMYFUNCTION("GOOGLEFINANCE(""ASX:NMR"", ""closeyest"")"),0.06)</f>
        <v>0.06</v>
      </c>
      <c r="F1538" s="5" t="str">
        <f>IFERROR(__xludf.DUMMYFUNCTION("GOOGLEFINANCE(""ASX:NMR"", ""pe"")"),"#N/A")</f>
        <v>#N/A</v>
      </c>
      <c r="G1538" s="9">
        <f>IFERROR(__xludf.DUMMYFUNCTION("GOOGLEFINANCE(""ASX:NMR"", ""high52"")"),0.23)</f>
        <v>0.23</v>
      </c>
      <c r="H1538" s="9">
        <f>IFERROR(__xludf.DUMMYFUNCTION("GOOGLEFINANCE(""ASX:NMR"", ""low52"")"),0.04)</f>
        <v>0.04</v>
      </c>
      <c r="I1538" s="9">
        <f>IFERROR(__xludf.DUMMYFUNCTION("GOOGLEFINANCE(""ASX:NMR"", ""marketcap"")"),5.1506813E7)</f>
        <v>51506813</v>
      </c>
      <c r="J1538" s="5"/>
      <c r="K1538" s="5"/>
      <c r="L1538" s="5"/>
      <c r="M1538" s="5"/>
      <c r="N1538" s="11" t="str">
        <f>IFERROR(__xludf.DUMMYFUNCTION("IFERROR(GOOGLEFINANCE(""ASX:NMR"", ""pe""), ""N/A"")"),"N/A")</f>
        <v>N/A</v>
      </c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>
      <c r="A1539" s="6" t="s">
        <v>3077</v>
      </c>
      <c r="B1539" s="6" t="s">
        <v>3078</v>
      </c>
      <c r="C1539" s="5" t="s">
        <v>39</v>
      </c>
      <c r="D1539" s="7">
        <f>IFERROR(__xludf.DUMMYFUNCTION("GOOGLEFINANCE(""ASX:NMT"", ""price"")"),0.06)</f>
        <v>0.06</v>
      </c>
      <c r="E1539" s="8">
        <f>IFERROR(__xludf.DUMMYFUNCTION("GOOGLEFINANCE(""ASX:NMT"", ""closeyest"")"),0.06)</f>
        <v>0.06</v>
      </c>
      <c r="F1539" s="5" t="str">
        <f>IFERROR(__xludf.DUMMYFUNCTION("GOOGLEFINANCE(""ASX:NMT"", ""pe"")"),"#N/A")</f>
        <v>#N/A</v>
      </c>
      <c r="G1539" s="9">
        <f>IFERROR(__xludf.DUMMYFUNCTION("GOOGLEFINANCE(""ASX:NMT"", ""high52"")"),0.11)</f>
        <v>0.11</v>
      </c>
      <c r="H1539" s="9">
        <f>IFERROR(__xludf.DUMMYFUNCTION("GOOGLEFINANCE(""ASX:NMT"", ""low52"")"),0.05)</f>
        <v>0.05</v>
      </c>
      <c r="I1539" s="9">
        <f>IFERROR(__xludf.DUMMYFUNCTION("GOOGLEFINANCE(""ASX:NMT"", ""marketcap"")"),4.6229488E7)</f>
        <v>46229488</v>
      </c>
      <c r="J1539" s="5"/>
      <c r="K1539" s="5"/>
      <c r="L1539" s="5"/>
      <c r="M1539" s="5"/>
      <c r="N1539" s="11" t="str">
        <f>IFERROR(__xludf.DUMMYFUNCTION("IFERROR(GOOGLEFINANCE(""ASX:NMT"", ""pe""), ""N/A"")"),"N/A")</f>
        <v>N/A</v>
      </c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>
      <c r="A1540" s="6" t="s">
        <v>3079</v>
      </c>
      <c r="B1540" s="6" t="s">
        <v>3080</v>
      </c>
      <c r="C1540" s="5" t="s">
        <v>184</v>
      </c>
      <c r="D1540" s="7">
        <f>IFERROR(__xludf.DUMMYFUNCTION("GOOGLEFINANCE(""ASX:NNG"", ""price"")"),0.02)</f>
        <v>0.02</v>
      </c>
      <c r="E1540" s="8">
        <f>IFERROR(__xludf.DUMMYFUNCTION("GOOGLEFINANCE(""ASX:NNG"", ""closeyest"")"),0.02)</f>
        <v>0.02</v>
      </c>
      <c r="F1540" s="5" t="str">
        <f>IFERROR(__xludf.DUMMYFUNCTION("GOOGLEFINANCE(""ASX:NNG"", ""pe"")"),"#N/A")</f>
        <v>#N/A</v>
      </c>
      <c r="G1540" s="9">
        <f>IFERROR(__xludf.DUMMYFUNCTION("GOOGLEFINANCE(""ASX:NNG"", ""high52"")"),0.02)</f>
        <v>0.02</v>
      </c>
      <c r="H1540" s="9">
        <f>IFERROR(__xludf.DUMMYFUNCTION("GOOGLEFINANCE(""ASX:NNG"", ""low52"")"),0.02)</f>
        <v>0.02</v>
      </c>
      <c r="I1540" s="9">
        <f>IFERROR(__xludf.DUMMYFUNCTION("GOOGLEFINANCE(""ASX:NNG"", ""marketcap"")"),3236929.0)</f>
        <v>3236929</v>
      </c>
      <c r="J1540" s="5"/>
      <c r="K1540" s="5"/>
      <c r="L1540" s="5"/>
      <c r="M1540" s="5"/>
      <c r="N1540" s="11" t="str">
        <f>IFERROR(__xludf.DUMMYFUNCTION("IFERROR(GOOGLEFINANCE(""ASX:NNG"", ""pe""), ""N/A"")"),"N/A")</f>
        <v>N/A</v>
      </c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>
      <c r="A1541" s="6" t="s">
        <v>3081</v>
      </c>
      <c r="B1541" s="6" t="s">
        <v>3082</v>
      </c>
      <c r="C1541" s="5" t="s">
        <v>39</v>
      </c>
      <c r="D1541" s="7">
        <f>IFERROR(__xludf.DUMMYFUNCTION("GOOGLEFINANCE(""ASX:NNL"", ""price"")"),0.22)</f>
        <v>0.22</v>
      </c>
      <c r="E1541" s="8">
        <f>IFERROR(__xludf.DUMMYFUNCTION("GOOGLEFINANCE(""ASX:NNL"", ""closeyest"")"),0.21)</f>
        <v>0.21</v>
      </c>
      <c r="F1541" s="5" t="str">
        <f>IFERROR(__xludf.DUMMYFUNCTION("GOOGLEFINANCE(""ASX:NNL"", ""pe"")"),"#N/A")</f>
        <v>#N/A</v>
      </c>
      <c r="G1541" s="9">
        <f>IFERROR(__xludf.DUMMYFUNCTION("GOOGLEFINANCE(""ASX:NNL"", ""high52"")"),0.28)</f>
        <v>0.28</v>
      </c>
      <c r="H1541" s="9">
        <f>IFERROR(__xludf.DUMMYFUNCTION("GOOGLEFINANCE(""ASX:NNL"", ""low52"")"),0.05)</f>
        <v>0.05</v>
      </c>
      <c r="I1541" s="9">
        <f>IFERROR(__xludf.DUMMYFUNCTION("GOOGLEFINANCE(""ASX:NNL"", ""marketcap"")"),8.0760767E7)</f>
        <v>80760767</v>
      </c>
      <c r="J1541" s="5"/>
      <c r="K1541" s="5"/>
      <c r="L1541" s="5"/>
      <c r="M1541" s="5"/>
      <c r="N1541" s="11" t="str">
        <f>IFERROR(__xludf.DUMMYFUNCTION("IFERROR(GOOGLEFINANCE(""ASX:NNL"", ""pe""), ""N/A"")"),"N/A")</f>
        <v>N/A</v>
      </c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>
      <c r="A1542" s="6" t="s">
        <v>3083</v>
      </c>
      <c r="B1542" s="6" t="s">
        <v>3084</v>
      </c>
      <c r="C1542" s="5" t="s">
        <v>36</v>
      </c>
      <c r="D1542" s="7" t="str">
        <f>IFERROR(__xludf.DUMMYFUNCTION("GOOGLEFINANCE(""ASX:NNUK"", ""price"")"),"#N/A")</f>
        <v>#N/A</v>
      </c>
      <c r="E1542" s="8" t="str">
        <f>IFERROR(__xludf.DUMMYFUNCTION("GOOGLEFINANCE(""ASX:NNUK"", ""closeyest"")"),"#N/A")</f>
        <v>#N/A</v>
      </c>
      <c r="F1542" s="5" t="str">
        <f>IFERROR(__xludf.DUMMYFUNCTION("GOOGLEFINANCE(""ASX:NNUK"", ""pe"")"),"#N/A")</f>
        <v>#N/A</v>
      </c>
      <c r="G1542" s="5" t="str">
        <f>IFERROR(__xludf.DUMMYFUNCTION("GOOGLEFINANCE(""ASX:NNUK"", ""high52"")"),"#N/A")</f>
        <v>#N/A</v>
      </c>
      <c r="H1542" s="5" t="str">
        <f>IFERROR(__xludf.DUMMYFUNCTION("GOOGLEFINANCE(""ASX:NNUK"", ""low52"")"),"#N/A")</f>
        <v>#N/A</v>
      </c>
      <c r="I1542" s="9" t="str">
        <f>IFERROR(__xludf.DUMMYFUNCTION("GOOGLEFINANCE(""ASX:NNUK"", ""marketcap"")"),"#N/A")</f>
        <v>#N/A</v>
      </c>
      <c r="J1542" s="12">
        <v>2.15</v>
      </c>
      <c r="K1542" s="12">
        <v>2.16</v>
      </c>
      <c r="L1542" s="12">
        <v>2.24</v>
      </c>
      <c r="M1542" s="12">
        <v>1.815</v>
      </c>
      <c r="N1542" s="11" t="str">
        <f>IFERROR(__xludf.DUMMYFUNCTION("IFERROR(GOOGLEFINANCE(""ASX:NNUK"", ""pe""), ""N/A"")"),"N/A")</f>
        <v>N/A</v>
      </c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>
      <c r="A1543" s="6" t="s">
        <v>3085</v>
      </c>
      <c r="B1543" s="6" t="s">
        <v>3086</v>
      </c>
      <c r="C1543" s="5" t="s">
        <v>36</v>
      </c>
      <c r="D1543" s="7">
        <f>IFERROR(__xludf.DUMMYFUNCTION("GOOGLEFINANCE(""ASX:NNWH"", ""price"")"),1.28)</f>
        <v>1.28</v>
      </c>
      <c r="E1543" s="8">
        <f>IFERROR(__xludf.DUMMYFUNCTION("GOOGLEFINANCE(""ASX:NNWH"", ""closeyest"")"),1.28)</f>
        <v>1.28</v>
      </c>
      <c r="F1543" s="5" t="str">
        <f>IFERROR(__xludf.DUMMYFUNCTION("GOOGLEFINANCE(""ASX:NNWH"", ""pe"")"),"#N/A")</f>
        <v>#N/A</v>
      </c>
      <c r="G1543" s="9">
        <f>IFERROR(__xludf.DUMMYFUNCTION("GOOGLEFINANCE(""ASX:NNWH"", ""high52"")"),1.28)</f>
        <v>1.28</v>
      </c>
      <c r="H1543" s="9">
        <f>IFERROR(__xludf.DUMMYFUNCTION("GOOGLEFINANCE(""ASX:NNWH"", ""low52"")"),0.96)</f>
        <v>0.96</v>
      </c>
      <c r="I1543" s="9" t="str">
        <f>IFERROR(__xludf.DUMMYFUNCTION("GOOGLEFINANCE(""ASX:NNWH"", ""marketcap"")"),"#N/A")</f>
        <v>#N/A</v>
      </c>
      <c r="J1543" s="5"/>
      <c r="K1543" s="5"/>
      <c r="L1543" s="5"/>
      <c r="M1543" s="5"/>
      <c r="N1543" s="11" t="str">
        <f>IFERROR(__xludf.DUMMYFUNCTION("IFERROR(GOOGLEFINANCE(""ASX:NNWH"", ""pe""), ""N/A"")"),"N/A")</f>
        <v>N/A</v>
      </c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>
      <c r="A1544" s="6" t="s">
        <v>3087</v>
      </c>
      <c r="B1544" s="6" t="s">
        <v>3088</v>
      </c>
      <c r="C1544" s="5" t="s">
        <v>1008</v>
      </c>
      <c r="D1544" s="7">
        <f>IFERROR(__xludf.DUMMYFUNCTION("GOOGLEFINANCE(""ASX:NOL"", ""price"")"),1.54)</f>
        <v>1.54</v>
      </c>
      <c r="E1544" s="8">
        <f>IFERROR(__xludf.DUMMYFUNCTION("GOOGLEFINANCE(""ASX:NOL"", ""closeyest"")"),1.51)</f>
        <v>1.51</v>
      </c>
      <c r="F1544" s="9">
        <f>IFERROR(__xludf.DUMMYFUNCTION("GOOGLEFINANCE(""ASX:NOL"", ""pe"")"),19.87)</f>
        <v>19.87</v>
      </c>
      <c r="G1544" s="9">
        <f>IFERROR(__xludf.DUMMYFUNCTION("GOOGLEFINANCE(""ASX:NOL"", ""high52"")"),1.66)</f>
        <v>1.66</v>
      </c>
      <c r="H1544" s="9">
        <f>IFERROR(__xludf.DUMMYFUNCTION("GOOGLEFINANCE(""ASX:NOL"", ""low52"")"),1.26)</f>
        <v>1.26</v>
      </c>
      <c r="I1544" s="9">
        <f>IFERROR(__xludf.DUMMYFUNCTION("GOOGLEFINANCE(""ASX:NOL"", ""marketcap"")"),1.43133048E8)</f>
        <v>143133048</v>
      </c>
      <c r="J1544" s="5"/>
      <c r="K1544" s="5"/>
      <c r="L1544" s="5"/>
      <c r="M1544" s="5"/>
      <c r="N1544" s="9">
        <f>IFERROR(__xludf.DUMMYFUNCTION("IFERROR(GOOGLEFINANCE(""ASX:NOL"", ""pe""), ""N/A"")"),19.87)</f>
        <v>19.87</v>
      </c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>
      <c r="A1545" s="6" t="s">
        <v>3089</v>
      </c>
      <c r="B1545" s="6" t="s">
        <v>3090</v>
      </c>
      <c r="C1545" s="5" t="s">
        <v>15</v>
      </c>
      <c r="D1545" s="7">
        <f>IFERROR(__xludf.DUMMYFUNCTION("GOOGLEFINANCE(""ASX:NOR"", ""price"")"),0.01)</f>
        <v>0.01</v>
      </c>
      <c r="E1545" s="8">
        <f>IFERROR(__xludf.DUMMYFUNCTION("GOOGLEFINANCE(""ASX:NOR"", ""closeyest"")"),0.01)</f>
        <v>0.01</v>
      </c>
      <c r="F1545" s="5" t="str">
        <f>IFERROR(__xludf.DUMMYFUNCTION("GOOGLEFINANCE(""ASX:NOR"", ""pe"")"),"#N/A")</f>
        <v>#N/A</v>
      </c>
      <c r="G1545" s="9">
        <f>IFERROR(__xludf.DUMMYFUNCTION("GOOGLEFINANCE(""ASX:NOR"", ""high52"")"),0.04)</f>
        <v>0.04</v>
      </c>
      <c r="H1545" s="9">
        <f>IFERROR(__xludf.DUMMYFUNCTION("GOOGLEFINANCE(""ASX:NOR"", ""low52"")"),0.01)</f>
        <v>0.01</v>
      </c>
      <c r="I1545" s="9">
        <f>IFERROR(__xludf.DUMMYFUNCTION("GOOGLEFINANCE(""ASX:NOR"", ""marketcap"")"),8828472.0)</f>
        <v>8828472</v>
      </c>
      <c r="J1545" s="5"/>
      <c r="K1545" s="5"/>
      <c r="L1545" s="5"/>
      <c r="M1545" s="5"/>
      <c r="N1545" s="11" t="str">
        <f>IFERROR(__xludf.DUMMYFUNCTION("IFERROR(GOOGLEFINANCE(""ASX:NOR"", ""pe""), ""N/A"")"),"N/A")</f>
        <v>N/A</v>
      </c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>
      <c r="A1546" s="6" t="s">
        <v>3091</v>
      </c>
      <c r="B1546" s="6" t="s">
        <v>3092</v>
      </c>
      <c r="C1546" s="5" t="s">
        <v>98</v>
      </c>
      <c r="D1546" s="7">
        <f>IFERROR(__xludf.DUMMYFUNCTION("GOOGLEFINANCE(""ASX:NOU"", ""price"")"),0.13)</f>
        <v>0.13</v>
      </c>
      <c r="E1546" s="8">
        <f>IFERROR(__xludf.DUMMYFUNCTION("GOOGLEFINANCE(""ASX:NOU"", ""closeyest"")"),0.13)</f>
        <v>0.13</v>
      </c>
      <c r="F1546" s="5" t="str">
        <f>IFERROR(__xludf.DUMMYFUNCTION("GOOGLEFINANCE(""ASX:NOU"", ""pe"")"),"#N/A")</f>
        <v>#N/A</v>
      </c>
      <c r="G1546" s="9">
        <f>IFERROR(__xludf.DUMMYFUNCTION("GOOGLEFINANCE(""ASX:NOU"", ""high52"")"),0.2)</f>
        <v>0.2</v>
      </c>
      <c r="H1546" s="9">
        <f>IFERROR(__xludf.DUMMYFUNCTION("GOOGLEFINANCE(""ASX:NOU"", ""low52"")"),0.11)</f>
        <v>0.11</v>
      </c>
      <c r="I1546" s="9">
        <f>IFERROR(__xludf.DUMMYFUNCTION("GOOGLEFINANCE(""ASX:NOU"", ""marketcap"")"),3.4638662E7)</f>
        <v>34638662</v>
      </c>
      <c r="J1546" s="9">
        <v>0.004</v>
      </c>
      <c r="K1546" s="9">
        <v>0.004</v>
      </c>
      <c r="L1546" s="9">
        <v>0.01</v>
      </c>
      <c r="M1546" s="9">
        <v>0.002</v>
      </c>
      <c r="N1546" s="11" t="str">
        <f>IFERROR(__xludf.DUMMYFUNCTION("IFERROR(GOOGLEFINANCE(""ASX:NOU"", ""pe""), ""N/A"")"),"N/A")</f>
        <v>N/A</v>
      </c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>
      <c r="A1547" s="6" t="s">
        <v>3093</v>
      </c>
      <c r="B1547" s="6" t="s">
        <v>3094</v>
      </c>
      <c r="C1547" s="5" t="s">
        <v>33</v>
      </c>
      <c r="D1547" s="7">
        <f>IFERROR(__xludf.DUMMYFUNCTION("GOOGLEFINANCE(""ASX:NOV"", ""price"")"),0.03)</f>
        <v>0.03</v>
      </c>
      <c r="E1547" s="8">
        <f>IFERROR(__xludf.DUMMYFUNCTION("GOOGLEFINANCE(""ASX:NOV"", ""closeyest"")"),0.03)</f>
        <v>0.03</v>
      </c>
      <c r="F1547" s="5" t="str">
        <f>IFERROR(__xludf.DUMMYFUNCTION("GOOGLEFINANCE(""ASX:NOV"", ""pe"")"),"#N/A")</f>
        <v>#N/A</v>
      </c>
      <c r="G1547" s="9">
        <f>IFERROR(__xludf.DUMMYFUNCTION("GOOGLEFINANCE(""ASX:NOV"", ""high52"")"),0.05)</f>
        <v>0.05</v>
      </c>
      <c r="H1547" s="9">
        <f>IFERROR(__xludf.DUMMYFUNCTION("GOOGLEFINANCE(""ASX:NOV"", ""low52"")"),0.02)</f>
        <v>0.02</v>
      </c>
      <c r="I1547" s="9">
        <f>IFERROR(__xludf.DUMMYFUNCTION("GOOGLEFINANCE(""ASX:NOV"", ""marketcap"")"),1.8138948E7)</f>
        <v>18138948</v>
      </c>
      <c r="J1547" s="5"/>
      <c r="K1547" s="5"/>
      <c r="L1547" s="5"/>
      <c r="M1547" s="5"/>
      <c r="N1547" s="11" t="str">
        <f>IFERROR(__xludf.DUMMYFUNCTION("IFERROR(GOOGLEFINANCE(""ASX:NOV"", ""pe""), ""N/A"")"),"N/A")</f>
        <v>N/A</v>
      </c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>
      <c r="A1548" s="6" t="s">
        <v>3095</v>
      </c>
      <c r="B1548" s="6" t="s">
        <v>3096</v>
      </c>
      <c r="C1548" s="5" t="s">
        <v>25</v>
      </c>
      <c r="D1548" s="7">
        <f>IFERROR(__xludf.DUMMYFUNCTION("GOOGLEFINANCE(""ASX:NOX"", ""price"")"),0.09)</f>
        <v>0.09</v>
      </c>
      <c r="E1548" s="8">
        <f>IFERROR(__xludf.DUMMYFUNCTION("GOOGLEFINANCE(""ASX:NOX"", ""closeyest"")"),0.09)</f>
        <v>0.09</v>
      </c>
      <c r="F1548" s="5" t="str">
        <f>IFERROR(__xludf.DUMMYFUNCTION("GOOGLEFINANCE(""ASX:NOX"", ""pe"")"),"#N/A")</f>
        <v>#N/A</v>
      </c>
      <c r="G1548" s="9">
        <f>IFERROR(__xludf.DUMMYFUNCTION("GOOGLEFINANCE(""ASX:NOX"", ""high52"")"),0.14)</f>
        <v>0.14</v>
      </c>
      <c r="H1548" s="9">
        <f>IFERROR(__xludf.DUMMYFUNCTION("GOOGLEFINANCE(""ASX:NOX"", ""low52"")"),0.04)</f>
        <v>0.04</v>
      </c>
      <c r="I1548" s="9">
        <f>IFERROR(__xludf.DUMMYFUNCTION("GOOGLEFINANCE(""ASX:NOX"", ""marketcap"")"),2.5529903E7)</f>
        <v>25529903</v>
      </c>
      <c r="J1548" s="5"/>
      <c r="K1548" s="5"/>
      <c r="L1548" s="5"/>
      <c r="M1548" s="5"/>
      <c r="N1548" s="11" t="str">
        <f>IFERROR(__xludf.DUMMYFUNCTION("IFERROR(GOOGLEFINANCE(""ASX:NOX"", ""pe""), ""N/A"")"),"N/A")</f>
        <v>N/A</v>
      </c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>
      <c r="A1549" s="6" t="s">
        <v>3097</v>
      </c>
      <c r="B1549" s="6" t="s">
        <v>3098</v>
      </c>
      <c r="C1549" s="5" t="s">
        <v>18</v>
      </c>
      <c r="D1549" s="7">
        <f>IFERROR(__xludf.DUMMYFUNCTION("GOOGLEFINANCE(""ASX:NPM"", ""price"")"),0.03)</f>
        <v>0.03</v>
      </c>
      <c r="E1549" s="8">
        <f>IFERROR(__xludf.DUMMYFUNCTION("GOOGLEFINANCE(""ASX:NPM"", ""closeyest"")"),0.03)</f>
        <v>0.03</v>
      </c>
      <c r="F1549" s="5" t="str">
        <f>IFERROR(__xludf.DUMMYFUNCTION("GOOGLEFINANCE(""ASX:NPM"", ""pe"")"),"#N/A")</f>
        <v>#N/A</v>
      </c>
      <c r="G1549" s="9">
        <f>IFERROR(__xludf.DUMMYFUNCTION("GOOGLEFINANCE(""ASX:NPM"", ""high52"")"),0.03)</f>
        <v>0.03</v>
      </c>
      <c r="H1549" s="9">
        <f>IFERROR(__xludf.DUMMYFUNCTION("GOOGLEFINANCE(""ASX:NPM"", ""low52"")"),0.01)</f>
        <v>0.01</v>
      </c>
      <c r="I1549" s="9">
        <f>IFERROR(__xludf.DUMMYFUNCTION("GOOGLEFINANCE(""ASX:NPM"", ""marketcap"")"),7405722.0)</f>
        <v>7405722</v>
      </c>
      <c r="J1549" s="5"/>
      <c r="K1549" s="5"/>
      <c r="L1549" s="5"/>
      <c r="M1549" s="5"/>
      <c r="N1549" s="11" t="str">
        <f>IFERROR(__xludf.DUMMYFUNCTION("IFERROR(GOOGLEFINANCE(""ASX:NPM"", ""pe""), ""N/A"")"),"N/A")</f>
        <v>N/A</v>
      </c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>
      <c r="A1550" s="6" t="s">
        <v>3099</v>
      </c>
      <c r="B1550" s="6" t="s">
        <v>3100</v>
      </c>
      <c r="C1550" s="5" t="s">
        <v>39</v>
      </c>
      <c r="D1550" s="7">
        <f>IFERROR(__xludf.DUMMYFUNCTION("GOOGLEFINANCE(""ASX:NRX"", ""price"")"),0.02)</f>
        <v>0.02</v>
      </c>
      <c r="E1550" s="8">
        <f>IFERROR(__xludf.DUMMYFUNCTION("GOOGLEFINANCE(""ASX:NRX"", ""closeyest"")"),0.02)</f>
        <v>0.02</v>
      </c>
      <c r="F1550" s="5" t="str">
        <f>IFERROR(__xludf.DUMMYFUNCTION("GOOGLEFINANCE(""ASX:NRX"", ""pe"")"),"#N/A")</f>
        <v>#N/A</v>
      </c>
      <c r="G1550" s="9">
        <f>IFERROR(__xludf.DUMMYFUNCTION("GOOGLEFINANCE(""ASX:NRX"", ""high52"")"),0.03)</f>
        <v>0.03</v>
      </c>
      <c r="H1550" s="9">
        <f>IFERROR(__xludf.DUMMYFUNCTION("GOOGLEFINANCE(""ASX:NRX"", ""low52"")"),0.01)</f>
        <v>0.01</v>
      </c>
      <c r="I1550" s="9">
        <f>IFERROR(__xludf.DUMMYFUNCTION("GOOGLEFINANCE(""ASX:NRX"", ""marketcap"")"),1.2988208E7)</f>
        <v>12988208</v>
      </c>
      <c r="J1550" s="5"/>
      <c r="K1550" s="5"/>
      <c r="L1550" s="5"/>
      <c r="M1550" s="5"/>
      <c r="N1550" s="11" t="str">
        <f>IFERROR(__xludf.DUMMYFUNCTION("IFERROR(GOOGLEFINANCE(""ASX:NRX"", ""pe""), ""N/A"")"),"N/A")</f>
        <v>N/A</v>
      </c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>
      <c r="A1551" s="6" t="s">
        <v>3101</v>
      </c>
      <c r="B1551" s="6" t="s">
        <v>3102</v>
      </c>
      <c r="C1551" s="5" t="s">
        <v>267</v>
      </c>
      <c r="D1551" s="7">
        <f>IFERROR(__xludf.DUMMYFUNCTION("GOOGLEFINANCE(""ASX:NRZ"", ""price"")"),0.0)</f>
        <v>0</v>
      </c>
      <c r="E1551" s="8">
        <f>IFERROR(__xludf.DUMMYFUNCTION("GOOGLEFINANCE(""ASX:NRZ"", ""closeyest"")"),0.0)</f>
        <v>0</v>
      </c>
      <c r="F1551" s="5" t="str">
        <f>IFERROR(__xludf.DUMMYFUNCTION("GOOGLEFINANCE(""ASX:NRZ"", ""pe"")"),"#N/A")</f>
        <v>#N/A</v>
      </c>
      <c r="G1551" s="9">
        <f>IFERROR(__xludf.DUMMYFUNCTION("GOOGLEFINANCE(""ASX:NRZ"", ""high52"")"),0.0)</f>
        <v>0</v>
      </c>
      <c r="H1551" s="9">
        <f>IFERROR(__xludf.DUMMYFUNCTION("GOOGLEFINANCE(""ASX:NRZ"", ""low52"")"),0.0)</f>
        <v>0</v>
      </c>
      <c r="I1551" s="9">
        <f>IFERROR(__xludf.DUMMYFUNCTION("GOOGLEFINANCE(""ASX:NRZ"", ""marketcap"")"),1090560.0)</f>
        <v>1090560</v>
      </c>
      <c r="J1551" s="12">
        <v>0.001</v>
      </c>
      <c r="K1551" s="12">
        <v>0.001</v>
      </c>
      <c r="L1551" s="12">
        <v>0.003</v>
      </c>
      <c r="M1551" s="12">
        <v>0.001</v>
      </c>
      <c r="N1551" s="11" t="str">
        <f>IFERROR(__xludf.DUMMYFUNCTION("IFERROR(GOOGLEFINANCE(""ASX:NRZ"", ""pe""), ""N/A"")"),"N/A")</f>
        <v>N/A</v>
      </c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>
      <c r="A1552" s="6" t="s">
        <v>3103</v>
      </c>
      <c r="B1552" s="6" t="s">
        <v>3104</v>
      </c>
      <c r="C1552" s="5" t="s">
        <v>25</v>
      </c>
      <c r="D1552" s="7">
        <f>IFERROR(__xludf.DUMMYFUNCTION("GOOGLEFINANCE(""ASX:NSB"", ""price"")"),0.12)</f>
        <v>0.12</v>
      </c>
      <c r="E1552" s="8">
        <f>IFERROR(__xludf.DUMMYFUNCTION("GOOGLEFINANCE(""ASX:NSB"", ""closeyest"")"),0.11)</f>
        <v>0.11</v>
      </c>
      <c r="F1552" s="5" t="str">
        <f>IFERROR(__xludf.DUMMYFUNCTION("GOOGLEFINANCE(""ASX:NSB"", ""pe"")"),"#N/A")</f>
        <v>#N/A</v>
      </c>
      <c r="G1552" s="9">
        <f>IFERROR(__xludf.DUMMYFUNCTION("GOOGLEFINANCE(""ASX:NSB"", ""high52"")"),0.26)</f>
        <v>0.26</v>
      </c>
      <c r="H1552" s="9">
        <f>IFERROR(__xludf.DUMMYFUNCTION("GOOGLEFINANCE(""ASX:NSB"", ""low52"")"),0.03)</f>
        <v>0.03</v>
      </c>
      <c r="I1552" s="9">
        <f>IFERROR(__xludf.DUMMYFUNCTION("GOOGLEFINANCE(""ASX:NSB"", ""marketcap"")"),3.6507739E7)</f>
        <v>36507739</v>
      </c>
      <c r="J1552" s="5"/>
      <c r="K1552" s="5"/>
      <c r="L1552" s="5"/>
      <c r="M1552" s="5"/>
      <c r="N1552" s="11" t="str">
        <f>IFERROR(__xludf.DUMMYFUNCTION("IFERROR(GOOGLEFINANCE(""ASX:NSB"", ""pe""), ""N/A"")"),"N/A")</f>
        <v>N/A</v>
      </c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>
      <c r="A1553" s="6" t="s">
        <v>3105</v>
      </c>
      <c r="B1553" s="6" t="s">
        <v>3106</v>
      </c>
      <c r="C1553" s="5" t="s">
        <v>171</v>
      </c>
      <c r="D1553" s="7">
        <f>IFERROR(__xludf.DUMMYFUNCTION("GOOGLEFINANCE(""ASX:NSC"", ""price"")"),0.4)</f>
        <v>0.4</v>
      </c>
      <c r="E1553" s="8">
        <f>IFERROR(__xludf.DUMMYFUNCTION("GOOGLEFINANCE(""ASX:NSC"", ""closeyest"")"),0.39)</f>
        <v>0.39</v>
      </c>
      <c r="F1553" s="5" t="str">
        <f>IFERROR(__xludf.DUMMYFUNCTION("GOOGLEFINANCE(""ASX:NSC"", ""pe"")"),"#N/A")</f>
        <v>#N/A</v>
      </c>
      <c r="G1553" s="9">
        <f>IFERROR(__xludf.DUMMYFUNCTION("GOOGLEFINANCE(""ASX:NSC"", ""high52"")"),0.47)</f>
        <v>0.47</v>
      </c>
      <c r="H1553" s="9">
        <f>IFERROR(__xludf.DUMMYFUNCTION("GOOGLEFINANCE(""ASX:NSC"", ""low52"")"),0.23)</f>
        <v>0.23</v>
      </c>
      <c r="I1553" s="9">
        <f>IFERROR(__xludf.DUMMYFUNCTION("GOOGLEFINANCE(""ASX:NSC"", ""marketcap"")"),5.1488725E7)</f>
        <v>51488725</v>
      </c>
      <c r="J1553" s="5"/>
      <c r="K1553" s="5"/>
      <c r="L1553" s="5"/>
      <c r="M1553" s="5"/>
      <c r="N1553" s="11" t="str">
        <f>IFERROR(__xludf.DUMMYFUNCTION("IFERROR(GOOGLEFINANCE(""ASX:NSC"", ""pe""), ""N/A"")"),"N/A")</f>
        <v>N/A</v>
      </c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>
      <c r="A1554" s="6" t="s">
        <v>3107</v>
      </c>
      <c r="B1554" s="6" t="s">
        <v>3108</v>
      </c>
      <c r="C1554" s="5" t="s">
        <v>88</v>
      </c>
      <c r="D1554" s="7">
        <f>IFERROR(__xludf.DUMMYFUNCTION("GOOGLEFINANCE(""ASX:NSM"", ""price"")"),0.03)</f>
        <v>0.03</v>
      </c>
      <c r="E1554" s="8">
        <f>IFERROR(__xludf.DUMMYFUNCTION("GOOGLEFINANCE(""ASX:NSM"", ""closeyest"")"),0.03)</f>
        <v>0.03</v>
      </c>
      <c r="F1554" s="5" t="str">
        <f>IFERROR(__xludf.DUMMYFUNCTION("GOOGLEFINANCE(""ASX:NSM"", ""pe"")"),"#N/A")</f>
        <v>#N/A</v>
      </c>
      <c r="G1554" s="9">
        <f>IFERROR(__xludf.DUMMYFUNCTION("GOOGLEFINANCE(""ASX:NSM"", ""high52"")"),0.05)</f>
        <v>0.05</v>
      </c>
      <c r="H1554" s="9">
        <f>IFERROR(__xludf.DUMMYFUNCTION("GOOGLEFINANCE(""ASX:NSM"", ""low52"")"),0.02)</f>
        <v>0.02</v>
      </c>
      <c r="I1554" s="9">
        <f>IFERROR(__xludf.DUMMYFUNCTION("GOOGLEFINANCE(""ASX:NSM"", ""marketcap"")"),1.3917716E7)</f>
        <v>13917716</v>
      </c>
      <c r="J1554" s="5"/>
      <c r="K1554" s="5"/>
      <c r="L1554" s="5"/>
      <c r="M1554" s="5"/>
      <c r="N1554" s="11" t="str">
        <f>IFERROR(__xludf.DUMMYFUNCTION("IFERROR(GOOGLEFINANCE(""ASX:NSM"", ""pe""), ""N/A"")"),"N/A")</f>
        <v>N/A</v>
      </c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>
      <c r="A1555" s="6" t="s">
        <v>3109</v>
      </c>
      <c r="B1555" s="6" t="s">
        <v>3110</v>
      </c>
      <c r="C1555" s="5" t="s">
        <v>475</v>
      </c>
      <c r="D1555" s="7">
        <f>IFERROR(__xludf.DUMMYFUNCTION("GOOGLEFINANCE(""ASX:NSR"", ""price"")"),2.74)</f>
        <v>2.74</v>
      </c>
      <c r="E1555" s="8">
        <f>IFERROR(__xludf.DUMMYFUNCTION("GOOGLEFINANCE(""ASX:NSR"", ""closeyest"")"),2.73)</f>
        <v>2.73</v>
      </c>
      <c r="F1555" s="9">
        <f>IFERROR(__xludf.DUMMYFUNCTION("GOOGLEFINANCE(""ASX:NSR"", ""pe"")"),137.97)</f>
        <v>137.97</v>
      </c>
      <c r="G1555" s="9">
        <f>IFERROR(__xludf.DUMMYFUNCTION("GOOGLEFINANCE(""ASX:NSR"", ""high52"")"),2.81)</f>
        <v>2.81</v>
      </c>
      <c r="H1555" s="9">
        <f>IFERROR(__xludf.DUMMYFUNCTION("GOOGLEFINANCE(""ASX:NSR"", ""low52"")"),2.05)</f>
        <v>2.05</v>
      </c>
      <c r="I1555" s="9">
        <f>IFERROR(__xludf.DUMMYFUNCTION("GOOGLEFINANCE(""ASX:NSR"", ""marketcap"")"),3.847121673E9)</f>
        <v>3847121673</v>
      </c>
      <c r="J1555" s="5"/>
      <c r="K1555" s="5"/>
      <c r="L1555" s="5"/>
      <c r="M1555" s="5"/>
      <c r="N1555" s="9">
        <f>IFERROR(__xludf.DUMMYFUNCTION("IFERROR(GOOGLEFINANCE(""ASX:NSR"", ""pe""), ""N/A"")"),137.97)</f>
        <v>137.97</v>
      </c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>
      <c r="A1556" s="6" t="s">
        <v>3111</v>
      </c>
      <c r="B1556" s="6" t="s">
        <v>3112</v>
      </c>
      <c r="C1556" s="5" t="s">
        <v>88</v>
      </c>
      <c r="D1556" s="7">
        <f>IFERROR(__xludf.DUMMYFUNCTION("GOOGLEFINANCE(""ASX:NST"", ""price"")"),25.36)</f>
        <v>25.36</v>
      </c>
      <c r="E1556" s="8">
        <f>IFERROR(__xludf.DUMMYFUNCTION("GOOGLEFINANCE(""ASX:NST"", ""closeyest"")"),25.15)</f>
        <v>25.15</v>
      </c>
      <c r="F1556" s="9">
        <f>IFERROR(__xludf.DUMMYFUNCTION("GOOGLEFINANCE(""ASX:NST"", ""pe"")"),22.72)</f>
        <v>22.72</v>
      </c>
      <c r="G1556" s="9">
        <f>IFERROR(__xludf.DUMMYFUNCTION("GOOGLEFINANCE(""ASX:NST"", ""high52"")"),27.99)</f>
        <v>27.99</v>
      </c>
      <c r="H1556" s="9">
        <f>IFERROR(__xludf.DUMMYFUNCTION("GOOGLEFINANCE(""ASX:NST"", ""low52"")"),15.3)</f>
        <v>15.3</v>
      </c>
      <c r="I1556" s="9">
        <f>IFERROR(__xludf.DUMMYFUNCTION("GOOGLEFINANCE(""ASX:NST"", ""marketcap"")"),3.6283440473E10)</f>
        <v>36283440473</v>
      </c>
      <c r="J1556" s="5"/>
      <c r="K1556" s="5"/>
      <c r="L1556" s="5"/>
      <c r="M1556" s="5"/>
      <c r="N1556" s="9">
        <f>IFERROR(__xludf.DUMMYFUNCTION("IFERROR(GOOGLEFINANCE(""ASX:NST"", ""pe""), ""N/A"")"),22.72)</f>
        <v>22.72</v>
      </c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>
      <c r="A1557" s="6" t="s">
        <v>3113</v>
      </c>
      <c r="B1557" s="6" t="s">
        <v>3114</v>
      </c>
      <c r="C1557" s="5" t="s">
        <v>3115</v>
      </c>
      <c r="D1557" s="7">
        <f>IFERROR(__xludf.DUMMYFUNCTION("GOOGLEFINANCE(""ASX:NTD"", ""price"")"),0.26)</f>
        <v>0.26</v>
      </c>
      <c r="E1557" s="8">
        <f>IFERROR(__xludf.DUMMYFUNCTION("GOOGLEFINANCE(""ASX:NTD"", ""closeyest"")"),0.26)</f>
        <v>0.26</v>
      </c>
      <c r="F1557" s="5" t="str">
        <f>IFERROR(__xludf.DUMMYFUNCTION("GOOGLEFINANCE(""ASX:NTD"", ""pe"")"),"#N/A")</f>
        <v>#N/A</v>
      </c>
      <c r="G1557" s="9">
        <f>IFERROR(__xludf.DUMMYFUNCTION("GOOGLEFINANCE(""ASX:NTD"", ""high52"")"),0.37)</f>
        <v>0.37</v>
      </c>
      <c r="H1557" s="9">
        <f>IFERROR(__xludf.DUMMYFUNCTION("GOOGLEFINANCE(""ASX:NTD"", ""low52"")"),0.16)</f>
        <v>0.16</v>
      </c>
      <c r="I1557" s="9">
        <f>IFERROR(__xludf.DUMMYFUNCTION("GOOGLEFINANCE(""ASX:NTD"", ""marketcap"")"),4.1943011E7)</f>
        <v>41943011</v>
      </c>
      <c r="J1557" s="5"/>
      <c r="K1557" s="5"/>
      <c r="L1557" s="5"/>
      <c r="M1557" s="5"/>
      <c r="N1557" s="11" t="str">
        <f>IFERROR(__xludf.DUMMYFUNCTION("IFERROR(GOOGLEFINANCE(""ASX:NTD"", ""pe""), ""N/A"")"),"N/A")</f>
        <v>N/A</v>
      </c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>
      <c r="A1558" s="6" t="s">
        <v>3113</v>
      </c>
      <c r="B1558" s="6" t="s">
        <v>3114</v>
      </c>
      <c r="C1558" s="5" t="s">
        <v>3115</v>
      </c>
      <c r="D1558" s="7">
        <f>IFERROR(__xludf.DUMMYFUNCTION("GOOGLEFINANCE(""ASX:NTD"", ""price"")"),0.26)</f>
        <v>0.26</v>
      </c>
      <c r="E1558" s="8">
        <f>IFERROR(__xludf.DUMMYFUNCTION("GOOGLEFINANCE(""ASX:NTD"", ""closeyest"")"),0.26)</f>
        <v>0.26</v>
      </c>
      <c r="F1558" s="5" t="str">
        <f>IFERROR(__xludf.DUMMYFUNCTION("GOOGLEFINANCE(""ASX:NTD"", ""pe"")"),"#N/A")</f>
        <v>#N/A</v>
      </c>
      <c r="G1558" s="9">
        <f>IFERROR(__xludf.DUMMYFUNCTION("GOOGLEFINANCE(""ASX:NTD"", ""high52"")"),0.37)</f>
        <v>0.37</v>
      </c>
      <c r="H1558" s="9">
        <f>IFERROR(__xludf.DUMMYFUNCTION("GOOGLEFINANCE(""ASX:NTD"", ""low52"")"),0.16)</f>
        <v>0.16</v>
      </c>
      <c r="I1558" s="9">
        <f>IFERROR(__xludf.DUMMYFUNCTION("GOOGLEFINANCE(""ASX:NTD"", ""marketcap"")"),4.1943011E7)</f>
        <v>41943011</v>
      </c>
      <c r="J1558" s="5"/>
      <c r="K1558" s="5"/>
      <c r="L1558" s="5"/>
      <c r="M1558" s="5"/>
      <c r="N1558" s="11" t="str">
        <f>IFERROR(__xludf.DUMMYFUNCTION("IFERROR(GOOGLEFINANCE(""ASX:NTD"", ""pe""), ""N/A"")"),"N/A")</f>
        <v>N/A</v>
      </c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>
      <c r="A1559" s="13" t="s">
        <v>3113</v>
      </c>
      <c r="B1559" s="13" t="s">
        <v>3114</v>
      </c>
      <c r="C1559" s="14" t="s">
        <v>3115</v>
      </c>
      <c r="D1559" s="15">
        <f>IFERROR(__xludf.DUMMYFUNCTION("GOOGLEFINANCE(""ASX:NTD"", ""price"")"),0.26)</f>
        <v>0.26</v>
      </c>
      <c r="E1559" s="8">
        <f>IFERROR(__xludf.DUMMYFUNCTION("GOOGLEFINANCE(""ASX:NTD"", ""closeyest"")"),0.26)</f>
        <v>0.26</v>
      </c>
      <c r="F1559" s="5" t="str">
        <f>IFERROR(__xludf.DUMMYFUNCTION("GOOGLEFINANCE(""ASX:NTD"", ""pe"")"),"#N/A")</f>
        <v>#N/A</v>
      </c>
      <c r="G1559" s="9">
        <f>IFERROR(__xludf.DUMMYFUNCTION("GOOGLEFINANCE(""ASX:NTD"", ""high52"")"),0.37)</f>
        <v>0.37</v>
      </c>
      <c r="H1559" s="9">
        <f>IFERROR(__xludf.DUMMYFUNCTION("GOOGLEFINANCE(""ASX:NTD"", ""low52"")"),0.16)</f>
        <v>0.16</v>
      </c>
      <c r="I1559" s="9">
        <f>IFERROR(__xludf.DUMMYFUNCTION("GOOGLEFINANCE(""ASX:NTD"", ""marketcap"")"),4.1943011E7)</f>
        <v>41943011</v>
      </c>
      <c r="J1559" s="5"/>
      <c r="K1559" s="5"/>
      <c r="L1559" s="5"/>
      <c r="M1559" s="5"/>
      <c r="N1559" s="11" t="str">
        <f>IFERROR(__xludf.DUMMYFUNCTION("IFERROR(GOOGLEFINANCE(""ASX:NTD"", ""pe""), ""N/A"")"),"N/A")</f>
        <v>N/A</v>
      </c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>
      <c r="A1560" s="6" t="s">
        <v>3116</v>
      </c>
      <c r="B1560" s="6" t="s">
        <v>3117</v>
      </c>
      <c r="C1560" s="5" t="s">
        <v>25</v>
      </c>
      <c r="D1560" s="7">
        <f>IFERROR(__xludf.DUMMYFUNCTION("GOOGLEFINANCE(""ASX:NTI"", ""price"")"),0.02)</f>
        <v>0.02</v>
      </c>
      <c r="E1560" s="8">
        <f>IFERROR(__xludf.DUMMYFUNCTION("GOOGLEFINANCE(""ASX:NTI"", ""closeyest"")"),0.02)</f>
        <v>0.02</v>
      </c>
      <c r="F1560" s="5" t="str">
        <f>IFERROR(__xludf.DUMMYFUNCTION("GOOGLEFINANCE(""ASX:NTI"", ""pe"")"),"#N/A")</f>
        <v>#N/A</v>
      </c>
      <c r="G1560" s="9">
        <f>IFERROR(__xludf.DUMMYFUNCTION("GOOGLEFINANCE(""ASX:NTI"", ""high52"")"),0.05)</f>
        <v>0.05</v>
      </c>
      <c r="H1560" s="9">
        <f>IFERROR(__xludf.DUMMYFUNCTION("GOOGLEFINANCE(""ASX:NTI"", ""low52"")"),0.01)</f>
        <v>0.01</v>
      </c>
      <c r="I1560" s="9">
        <f>IFERROR(__xludf.DUMMYFUNCTION("GOOGLEFINANCE(""ASX:NTI"", ""marketcap"")"),2.7222569E7)</f>
        <v>27222569</v>
      </c>
      <c r="J1560" s="5"/>
      <c r="K1560" s="5"/>
      <c r="L1560" s="5"/>
      <c r="M1560" s="5"/>
      <c r="N1560" s="11" t="str">
        <f>IFERROR(__xludf.DUMMYFUNCTION("IFERROR(GOOGLEFINANCE(""ASX:NTI"", ""pe""), ""N/A"")"),"N/A")</f>
        <v>N/A</v>
      </c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>
      <c r="A1561" s="6" t="s">
        <v>3118</v>
      </c>
      <c r="B1561" s="6" t="s">
        <v>3119</v>
      </c>
      <c r="C1561" s="5" t="s">
        <v>39</v>
      </c>
      <c r="D1561" s="7">
        <f>IFERROR(__xludf.DUMMYFUNCTION("GOOGLEFINANCE(""ASX:NTM"", ""price"")"),0.0)</f>
        <v>0</v>
      </c>
      <c r="E1561" s="8">
        <f>IFERROR(__xludf.DUMMYFUNCTION("GOOGLEFINANCE(""ASX:NTM"", ""closeyest"")"),0.0)</f>
        <v>0</v>
      </c>
      <c r="F1561" s="5" t="str">
        <f>IFERROR(__xludf.DUMMYFUNCTION("GOOGLEFINANCE(""ASX:NTM"", ""pe"")"),"#N/A")</f>
        <v>#N/A</v>
      </c>
      <c r="G1561" s="9">
        <f>IFERROR(__xludf.DUMMYFUNCTION("GOOGLEFINANCE(""ASX:NTM"", ""high52"")"),0.01)</f>
        <v>0.01</v>
      </c>
      <c r="H1561" s="9">
        <f>IFERROR(__xludf.DUMMYFUNCTION("GOOGLEFINANCE(""ASX:NTM"", ""low52"")"),0.0)</f>
        <v>0</v>
      </c>
      <c r="I1561" s="9">
        <f>IFERROR(__xludf.DUMMYFUNCTION("GOOGLEFINANCE(""ASX:NTM"", ""marketcap"")"),3632710.0)</f>
        <v>3632710</v>
      </c>
      <c r="J1561" s="12">
        <v>0.003</v>
      </c>
      <c r="K1561" s="12">
        <v>0.003</v>
      </c>
      <c r="L1561" s="12">
        <v>0.005</v>
      </c>
      <c r="M1561" s="12">
        <v>0.001</v>
      </c>
      <c r="N1561" s="11" t="str">
        <f>IFERROR(__xludf.DUMMYFUNCTION("IFERROR(GOOGLEFINANCE(""ASX:NTM"", ""pe""), ""N/A"")"),"N/A")</f>
        <v>N/A</v>
      </c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>
      <c r="A1562" s="6" t="s">
        <v>3120</v>
      </c>
      <c r="B1562" s="6" t="s">
        <v>3121</v>
      </c>
      <c r="C1562" s="5" t="s">
        <v>18</v>
      </c>
      <c r="D1562" s="7">
        <f>IFERROR(__xludf.DUMMYFUNCTION("GOOGLEFINANCE(""ASX:NTU"", ""price"")"),0.03)</f>
        <v>0.03</v>
      </c>
      <c r="E1562" s="8">
        <f>IFERROR(__xludf.DUMMYFUNCTION("GOOGLEFINANCE(""ASX:NTU"", ""closeyest"")"),0.03)</f>
        <v>0.03</v>
      </c>
      <c r="F1562" s="5" t="str">
        <f>IFERROR(__xludf.DUMMYFUNCTION("GOOGLEFINANCE(""ASX:NTU"", ""pe"")"),"#N/A")</f>
        <v>#N/A</v>
      </c>
      <c r="G1562" s="9">
        <f>IFERROR(__xludf.DUMMYFUNCTION("GOOGLEFINANCE(""ASX:NTU"", ""high52"")"),0.08)</f>
        <v>0.08</v>
      </c>
      <c r="H1562" s="9">
        <f>IFERROR(__xludf.DUMMYFUNCTION("GOOGLEFINANCE(""ASX:NTU"", ""low52"")"),0.02)</f>
        <v>0.02</v>
      </c>
      <c r="I1562" s="9">
        <f>IFERROR(__xludf.DUMMYFUNCTION("GOOGLEFINANCE(""ASX:NTU"", ""marketcap"")"),3.46134638E8)</f>
        <v>346134638</v>
      </c>
      <c r="J1562" s="5"/>
      <c r="K1562" s="5"/>
      <c r="L1562" s="5"/>
      <c r="M1562" s="5"/>
      <c r="N1562" s="11" t="str">
        <f>IFERROR(__xludf.DUMMYFUNCTION("IFERROR(GOOGLEFINANCE(""ASX:NTU"", ""pe""), ""N/A"")"),"N/A")</f>
        <v>N/A</v>
      </c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>
      <c r="A1563" s="6" t="s">
        <v>3122</v>
      </c>
      <c r="B1563" s="6" t="s">
        <v>3123</v>
      </c>
      <c r="C1563" s="5" t="s">
        <v>98</v>
      </c>
      <c r="D1563" s="7">
        <f>IFERROR(__xludf.DUMMYFUNCTION("GOOGLEFINANCE(""ASX:NUC"", ""price"")"),0.13)</f>
        <v>0.13</v>
      </c>
      <c r="E1563" s="8">
        <f>IFERROR(__xludf.DUMMYFUNCTION("GOOGLEFINANCE(""ASX:NUC"", ""closeyest"")"),0.13)</f>
        <v>0.13</v>
      </c>
      <c r="F1563" s="5" t="str">
        <f>IFERROR(__xludf.DUMMYFUNCTION("GOOGLEFINANCE(""ASX:NUC"", ""pe"")"),"#N/A")</f>
        <v>#N/A</v>
      </c>
      <c r="G1563" s="9">
        <f>IFERROR(__xludf.DUMMYFUNCTION("GOOGLEFINANCE(""ASX:NUC"", ""high52"")"),0.23)</f>
        <v>0.23</v>
      </c>
      <c r="H1563" s="9">
        <f>IFERROR(__xludf.DUMMYFUNCTION("GOOGLEFINANCE(""ASX:NUC"", ""low52"")"),0.12)</f>
        <v>0.12</v>
      </c>
      <c r="I1563" s="9">
        <f>IFERROR(__xludf.DUMMYFUNCTION("GOOGLEFINANCE(""ASX:NUC"", ""marketcap"")"),1.9448259E7)</f>
        <v>19448259</v>
      </c>
      <c r="J1563" s="5"/>
      <c r="K1563" s="5"/>
      <c r="L1563" s="5"/>
      <c r="M1563" s="5"/>
      <c r="N1563" s="11" t="str">
        <f>IFERROR(__xludf.DUMMYFUNCTION("IFERROR(GOOGLEFINANCE(""ASX:NUC"", ""pe""), ""N/A"")"),"N/A")</f>
        <v>N/A</v>
      </c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>
      <c r="A1564" s="6" t="s">
        <v>3124</v>
      </c>
      <c r="B1564" s="6" t="s">
        <v>3125</v>
      </c>
      <c r="C1564" s="5" t="s">
        <v>267</v>
      </c>
      <c r="D1564" s="7">
        <f>IFERROR(__xludf.DUMMYFUNCTION("GOOGLEFINANCE(""ASX:NUF"", ""price"")"),2.35)</f>
        <v>2.35</v>
      </c>
      <c r="E1564" s="8">
        <f>IFERROR(__xludf.DUMMYFUNCTION("GOOGLEFINANCE(""ASX:NUF"", ""closeyest"")"),2.32)</f>
        <v>2.32</v>
      </c>
      <c r="F1564" s="5" t="str">
        <f>IFERROR(__xludf.DUMMYFUNCTION("GOOGLEFINANCE(""ASX:NUF"", ""pe"")"),"#N/A")</f>
        <v>#N/A</v>
      </c>
      <c r="G1564" s="9">
        <f>IFERROR(__xludf.DUMMYFUNCTION("GOOGLEFINANCE(""ASX:NUF"", ""high52"")"),4.12)</f>
        <v>4.12</v>
      </c>
      <c r="H1564" s="9">
        <f>IFERROR(__xludf.DUMMYFUNCTION("GOOGLEFINANCE(""ASX:NUF"", ""low52"")"),2.04)</f>
        <v>2.04</v>
      </c>
      <c r="I1564" s="9">
        <f>IFERROR(__xludf.DUMMYFUNCTION("GOOGLEFINANCE(""ASX:NUF"", ""marketcap"")"),9.02224888E8)</f>
        <v>902224888</v>
      </c>
      <c r="J1564" s="5"/>
      <c r="K1564" s="5"/>
      <c r="L1564" s="5"/>
      <c r="M1564" s="5"/>
      <c r="N1564" s="11" t="str">
        <f>IFERROR(__xludf.DUMMYFUNCTION("IFERROR(GOOGLEFINANCE(""ASX:NUF"", ""pe""), ""N/A"")"),"N/A")</f>
        <v>N/A</v>
      </c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>
      <c r="A1565" s="6" t="s">
        <v>3126</v>
      </c>
      <c r="B1565" s="6" t="s">
        <v>3127</v>
      </c>
      <c r="C1565" s="5" t="s">
        <v>36</v>
      </c>
      <c r="D1565" s="7">
        <f>IFERROR(__xludf.DUMMYFUNCTION("GOOGLEFINANCE(""ASX:NUGG"", ""price"")"),65.54)</f>
        <v>65.54</v>
      </c>
      <c r="E1565" s="8">
        <f>IFERROR(__xludf.DUMMYFUNCTION("GOOGLEFINANCE(""ASX:NUGG"", ""closeyest"")"),65.84)</f>
        <v>65.84</v>
      </c>
      <c r="F1565" s="5" t="str">
        <f>IFERROR(__xludf.DUMMYFUNCTION("GOOGLEFINANCE(""ASX:NUGG"", ""pe"")"),"#N/A")</f>
        <v>#N/A</v>
      </c>
      <c r="G1565" s="9">
        <f>IFERROR(__xludf.DUMMYFUNCTION("GOOGLEFINANCE(""ASX:NUGG"", ""high52"")"),72.98)</f>
        <v>72.98</v>
      </c>
      <c r="H1565" s="9">
        <f>IFERROR(__xludf.DUMMYFUNCTION("GOOGLEFINANCE(""ASX:NUGG"", ""low52"")"),41.87)</f>
        <v>41.87</v>
      </c>
      <c r="I1565" s="9" t="str">
        <f>IFERROR(__xludf.DUMMYFUNCTION("GOOGLEFINANCE(""ASX:NUGG"", ""marketcap"")"),"#N/A")</f>
        <v>#N/A</v>
      </c>
      <c r="J1565" s="5"/>
      <c r="K1565" s="5"/>
      <c r="L1565" s="5"/>
      <c r="M1565" s="5"/>
      <c r="N1565" s="11" t="str">
        <f>IFERROR(__xludf.DUMMYFUNCTION("IFERROR(GOOGLEFINANCE(""ASX:NUGG"", ""pe""), ""N/A"")"),"N/A")</f>
        <v>N/A</v>
      </c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>
      <c r="A1566" s="6" t="s">
        <v>3128</v>
      </c>
      <c r="B1566" s="6" t="s">
        <v>3129</v>
      </c>
      <c r="C1566" s="5" t="s">
        <v>174</v>
      </c>
      <c r="D1566" s="7">
        <f>IFERROR(__xludf.DUMMYFUNCTION("GOOGLEFINANCE(""ASX:NUZ"", ""price"")"),0.08)</f>
        <v>0.08</v>
      </c>
      <c r="E1566" s="8">
        <f>IFERROR(__xludf.DUMMYFUNCTION("GOOGLEFINANCE(""ASX:NUZ"", ""closeyest"")"),0.08)</f>
        <v>0.08</v>
      </c>
      <c r="F1566" s="5" t="str">
        <f>IFERROR(__xludf.DUMMYFUNCTION("GOOGLEFINANCE(""ASX:NUZ"", ""pe"")"),"#N/A")</f>
        <v>#N/A</v>
      </c>
      <c r="G1566" s="9">
        <f>IFERROR(__xludf.DUMMYFUNCTION("GOOGLEFINANCE(""ASX:NUZ"", ""high52"")"),0.18)</f>
        <v>0.18</v>
      </c>
      <c r="H1566" s="9">
        <f>IFERROR(__xludf.DUMMYFUNCTION("GOOGLEFINANCE(""ASX:NUZ"", ""low52"")"),0.08)</f>
        <v>0.08</v>
      </c>
      <c r="I1566" s="9">
        <f>IFERROR(__xludf.DUMMYFUNCTION("GOOGLEFINANCE(""ASX:NUZ"", ""marketcap"")"),6.5525406E7)</f>
        <v>65525406</v>
      </c>
      <c r="J1566" s="5"/>
      <c r="K1566" s="5"/>
      <c r="L1566" s="5"/>
      <c r="M1566" s="5"/>
      <c r="N1566" s="11" t="str">
        <f>IFERROR(__xludf.DUMMYFUNCTION("IFERROR(GOOGLEFINANCE(""ASX:NUZ"", ""pe""), ""N/A"")"),"N/A")</f>
        <v>N/A</v>
      </c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>
      <c r="A1567" s="6" t="s">
        <v>3130</v>
      </c>
      <c r="B1567" s="6" t="s">
        <v>3131</v>
      </c>
      <c r="C1567" s="5" t="s">
        <v>18</v>
      </c>
      <c r="D1567" s="7">
        <f>IFERROR(__xludf.DUMMYFUNCTION("GOOGLEFINANCE(""ASX:NVA"", ""price"")"),0.89)</f>
        <v>0.89</v>
      </c>
      <c r="E1567" s="8">
        <f>IFERROR(__xludf.DUMMYFUNCTION("GOOGLEFINANCE(""ASX:NVA"", ""closeyest"")"),0.88)</f>
        <v>0.88</v>
      </c>
      <c r="F1567" s="5" t="str">
        <f>IFERROR(__xludf.DUMMYFUNCTION("GOOGLEFINANCE(""ASX:NVA"", ""pe"")"),"#N/A")</f>
        <v>#N/A</v>
      </c>
      <c r="G1567" s="9">
        <f>IFERROR(__xludf.DUMMYFUNCTION("GOOGLEFINANCE(""ASX:NVA"", ""high52"")"),1.71)</f>
        <v>1.71</v>
      </c>
      <c r="H1567" s="9">
        <f>IFERROR(__xludf.DUMMYFUNCTION("GOOGLEFINANCE(""ASX:NVA"", ""low52"")"),0.22)</f>
        <v>0.22</v>
      </c>
      <c r="I1567" s="9">
        <f>IFERROR(__xludf.DUMMYFUNCTION("GOOGLEFINANCE(""ASX:NVA"", ""marketcap"")"),4.02626648E8)</f>
        <v>402626648</v>
      </c>
      <c r="J1567" s="5"/>
      <c r="K1567" s="5"/>
      <c r="L1567" s="5"/>
      <c r="M1567" s="5"/>
      <c r="N1567" s="11" t="str">
        <f>IFERROR(__xludf.DUMMYFUNCTION("IFERROR(GOOGLEFINANCE(""ASX:NVA"", ""pe""), ""N/A"")"),"N/A")</f>
        <v>N/A</v>
      </c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>
      <c r="A1568" s="6" t="s">
        <v>3132</v>
      </c>
      <c r="B1568" s="6" t="s">
        <v>3133</v>
      </c>
      <c r="C1568" s="5" t="s">
        <v>3134</v>
      </c>
      <c r="D1568" s="7">
        <f>IFERROR(__xludf.DUMMYFUNCTION("GOOGLEFINANCE(""ASX:NVO"", ""price"")"),0.16)</f>
        <v>0.16</v>
      </c>
      <c r="E1568" s="8">
        <f>IFERROR(__xludf.DUMMYFUNCTION("GOOGLEFINANCE(""ASX:NVO"", ""closeyest"")"),0.16)</f>
        <v>0.16</v>
      </c>
      <c r="F1568" s="5" t="str">
        <f>IFERROR(__xludf.DUMMYFUNCTION("GOOGLEFINANCE(""ASX:NVO"", ""pe"")"),"#N/A")</f>
        <v>#N/A</v>
      </c>
      <c r="G1568" s="9">
        <f>IFERROR(__xludf.DUMMYFUNCTION("GOOGLEFINANCE(""ASX:NVO"", ""high52"")"),0.17)</f>
        <v>0.17</v>
      </c>
      <c r="H1568" s="9">
        <f>IFERROR(__xludf.DUMMYFUNCTION("GOOGLEFINANCE(""ASX:NVO"", ""low52"")"),0.09)</f>
        <v>0.09</v>
      </c>
      <c r="I1568" s="9">
        <f>IFERROR(__xludf.DUMMYFUNCTION("GOOGLEFINANCE(""ASX:NVO"", ""marketcap"")"),3.08012747E8)</f>
        <v>308012747</v>
      </c>
      <c r="J1568" s="5"/>
      <c r="K1568" s="5"/>
      <c r="L1568" s="5"/>
      <c r="M1568" s="5"/>
      <c r="N1568" s="11" t="str">
        <f>IFERROR(__xludf.DUMMYFUNCTION("IFERROR(GOOGLEFINANCE(""ASX:NVO"", ""pe""), ""N/A"")"),"N/A")</f>
        <v>N/A</v>
      </c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>
      <c r="A1569" s="6" t="s">
        <v>3135</v>
      </c>
      <c r="B1569" s="6" t="s">
        <v>3136</v>
      </c>
      <c r="C1569" s="5" t="s">
        <v>15</v>
      </c>
      <c r="D1569" s="7">
        <f>IFERROR(__xludf.DUMMYFUNCTION("GOOGLEFINANCE(""ASX:NVQ"", ""price"")"),0.02)</f>
        <v>0.02</v>
      </c>
      <c r="E1569" s="8">
        <f>IFERROR(__xludf.DUMMYFUNCTION("GOOGLEFINANCE(""ASX:NVQ"", ""closeyest"")"),0.02)</f>
        <v>0.02</v>
      </c>
      <c r="F1569" s="5" t="str">
        <f>IFERROR(__xludf.DUMMYFUNCTION("GOOGLEFINANCE(""ASX:NVQ"", ""pe"")"),"#N/A")</f>
        <v>#N/A</v>
      </c>
      <c r="G1569" s="9">
        <f>IFERROR(__xludf.DUMMYFUNCTION("GOOGLEFINANCE(""ASX:NVQ"", ""high52"")"),0.12)</f>
        <v>0.12</v>
      </c>
      <c r="H1569" s="9">
        <f>IFERROR(__xludf.DUMMYFUNCTION("GOOGLEFINANCE(""ASX:NVQ"", ""low52"")"),0.02)</f>
        <v>0.02</v>
      </c>
      <c r="I1569" s="9">
        <f>IFERROR(__xludf.DUMMYFUNCTION("GOOGLEFINANCE(""ASX:NVQ"", ""marketcap"")"),5617399.0)</f>
        <v>5617399</v>
      </c>
      <c r="J1569" s="5"/>
      <c r="K1569" s="5"/>
      <c r="L1569" s="5"/>
      <c r="M1569" s="5"/>
      <c r="N1569" s="11" t="str">
        <f>IFERROR(__xludf.DUMMYFUNCTION("IFERROR(GOOGLEFINANCE(""ASX:NVQ"", ""pe""), ""N/A"")"),"N/A")</f>
        <v>N/A</v>
      </c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>
      <c r="A1570" s="6" t="s">
        <v>3137</v>
      </c>
      <c r="B1570" s="6" t="s">
        <v>3138</v>
      </c>
      <c r="C1570" s="5" t="s">
        <v>330</v>
      </c>
      <c r="D1570" s="7">
        <f>IFERROR(__xludf.DUMMYFUNCTION("GOOGLEFINANCE(""ASX:NVU"", ""price"")"),0.08)</f>
        <v>0.08</v>
      </c>
      <c r="E1570" s="8">
        <f>IFERROR(__xludf.DUMMYFUNCTION("GOOGLEFINANCE(""ASX:NVU"", ""closeyest"")"),0.08)</f>
        <v>0.08</v>
      </c>
      <c r="F1570" s="5" t="str">
        <f>IFERROR(__xludf.DUMMYFUNCTION("GOOGLEFINANCE(""ASX:NVU"", ""pe"")"),"#N/A")</f>
        <v>#N/A</v>
      </c>
      <c r="G1570" s="9">
        <f>IFERROR(__xludf.DUMMYFUNCTION("GOOGLEFINANCE(""ASX:NVU"", ""high52"")"),0.13)</f>
        <v>0.13</v>
      </c>
      <c r="H1570" s="9">
        <f>IFERROR(__xludf.DUMMYFUNCTION("GOOGLEFINANCE(""ASX:NVU"", ""low52"")"),0.03)</f>
        <v>0.03</v>
      </c>
      <c r="I1570" s="9">
        <f>IFERROR(__xludf.DUMMYFUNCTION("GOOGLEFINANCE(""ASX:NVU"", ""marketcap"")"),7.830894E7)</f>
        <v>78308940</v>
      </c>
      <c r="J1570" s="5"/>
      <c r="K1570" s="5"/>
      <c r="L1570" s="5"/>
      <c r="M1570" s="5"/>
      <c r="N1570" s="11" t="str">
        <f>IFERROR(__xludf.DUMMYFUNCTION("IFERROR(GOOGLEFINANCE(""ASX:NVU"", ""pe""), ""N/A"")"),"N/A")</f>
        <v>N/A</v>
      </c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>
      <c r="A1571" s="6" t="s">
        <v>3139</v>
      </c>
      <c r="B1571" s="6" t="s">
        <v>3140</v>
      </c>
      <c r="C1571" s="5" t="s">
        <v>22</v>
      </c>
      <c r="D1571" s="7">
        <f>IFERROR(__xludf.DUMMYFUNCTION("GOOGLEFINANCE(""ASX:NVX"", ""price"")"),0.53)</f>
        <v>0.53</v>
      </c>
      <c r="E1571" s="8">
        <f>IFERROR(__xludf.DUMMYFUNCTION("GOOGLEFINANCE(""ASX:NVX"", ""closeyest"")"),0.52)</f>
        <v>0.52</v>
      </c>
      <c r="F1571" s="5" t="str">
        <f>IFERROR(__xludf.DUMMYFUNCTION("GOOGLEFINANCE(""ASX:NVX"", ""pe"")"),"#N/A")</f>
        <v>#N/A</v>
      </c>
      <c r="G1571" s="9">
        <f>IFERROR(__xludf.DUMMYFUNCTION("GOOGLEFINANCE(""ASX:NVX"", ""high52"")"),1.01)</f>
        <v>1.01</v>
      </c>
      <c r="H1571" s="9">
        <f>IFERROR(__xludf.DUMMYFUNCTION("GOOGLEFINANCE(""ASX:NVX"", ""low52"")"),0.33)</f>
        <v>0.33</v>
      </c>
      <c r="I1571" s="9">
        <f>IFERROR(__xludf.DUMMYFUNCTION("GOOGLEFINANCE(""ASX:NVX"", ""marketcap"")"),4.36244845E8)</f>
        <v>436244845</v>
      </c>
      <c r="J1571" s="5"/>
      <c r="K1571" s="5"/>
      <c r="L1571" s="5"/>
      <c r="M1571" s="5"/>
      <c r="N1571" s="11" t="s">
        <v>19</v>
      </c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>
      <c r="A1572" s="6" t="s">
        <v>3141</v>
      </c>
      <c r="B1572" s="6" t="s">
        <v>3142</v>
      </c>
      <c r="C1572" s="5" t="s">
        <v>88</v>
      </c>
      <c r="D1572" s="7">
        <f>IFERROR(__xludf.DUMMYFUNCTION("GOOGLEFINANCE(""ASX:NWF"", ""price"")"),0.09)</f>
        <v>0.09</v>
      </c>
      <c r="E1572" s="8">
        <f>IFERROR(__xludf.DUMMYFUNCTION("GOOGLEFINANCE(""ASX:NWF"", ""closeyest"")"),0.09)</f>
        <v>0.09</v>
      </c>
      <c r="F1572" s="5" t="str">
        <f>IFERROR(__xludf.DUMMYFUNCTION("GOOGLEFINANCE(""ASX:NWF"", ""pe"")"),"#N/A")</f>
        <v>#N/A</v>
      </c>
      <c r="G1572" s="9">
        <f>IFERROR(__xludf.DUMMYFUNCTION("GOOGLEFINANCE(""ASX:NWF"", ""high52"")"),0.09)</f>
        <v>0.09</v>
      </c>
      <c r="H1572" s="9">
        <f>IFERROR(__xludf.DUMMYFUNCTION("GOOGLEFINANCE(""ASX:NWF"", ""low52"")"),0.08)</f>
        <v>0.08</v>
      </c>
      <c r="I1572" s="9">
        <f>IFERROR(__xludf.DUMMYFUNCTION("GOOGLEFINANCE(""ASX:NWF"", ""marketcap"")"),8.372256E7)</f>
        <v>83722560</v>
      </c>
      <c r="J1572" s="5"/>
      <c r="K1572" s="5"/>
      <c r="L1572" s="5"/>
      <c r="M1572" s="5"/>
      <c r="N1572" s="11" t="s">
        <v>19</v>
      </c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>
      <c r="A1573" s="6" t="s">
        <v>3143</v>
      </c>
      <c r="B1573" s="6" t="s">
        <v>3144</v>
      </c>
      <c r="C1573" s="5" t="s">
        <v>123</v>
      </c>
      <c r="D1573" s="7">
        <f>IFERROR(__xludf.DUMMYFUNCTION("GOOGLEFINANCE(""ASX:NWH"", ""price"")"),5.29)</f>
        <v>5.29</v>
      </c>
      <c r="E1573" s="8">
        <f>IFERROR(__xludf.DUMMYFUNCTION("GOOGLEFINANCE(""ASX:NWH"", ""closeyest"")"),5.32)</f>
        <v>5.32</v>
      </c>
      <c r="F1573" s="9">
        <f>IFERROR(__xludf.DUMMYFUNCTION("GOOGLEFINANCE(""ASX:NWH"", ""pe"")"),88.49)</f>
        <v>88.49</v>
      </c>
      <c r="G1573" s="9">
        <f>IFERROR(__xludf.DUMMYFUNCTION("GOOGLEFINANCE(""ASX:NWH"", ""high52"")"),5.6)</f>
        <v>5.6</v>
      </c>
      <c r="H1573" s="9">
        <f>IFERROR(__xludf.DUMMYFUNCTION("GOOGLEFINANCE(""ASX:NWH"", ""low52"")"),2.21)</f>
        <v>2.21</v>
      </c>
      <c r="I1573" s="9">
        <f>IFERROR(__xludf.DUMMYFUNCTION("GOOGLEFINANCE(""ASX:NWH"", ""marketcap"")"),2.430579354E9)</f>
        <v>2430579354</v>
      </c>
      <c r="J1573" s="5"/>
      <c r="K1573" s="5"/>
      <c r="L1573" s="5"/>
      <c r="M1573" s="5"/>
      <c r="N1573" s="9">
        <f>IFERROR(__xludf.DUMMYFUNCTION("IFERROR(GOOGLEFINANCE(""ASX:NWH"", ""pe""), ""N/A"")"),88.49)</f>
        <v>88.49</v>
      </c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>
      <c r="A1574" s="6" t="s">
        <v>3145</v>
      </c>
      <c r="B1574" s="6" t="s">
        <v>3146</v>
      </c>
      <c r="C1574" s="5" t="s">
        <v>171</v>
      </c>
      <c r="D1574" s="7">
        <f>IFERROR(__xludf.DUMMYFUNCTION("GOOGLEFINANCE(""ASX:NWL"", ""price"")"),25.62)</f>
        <v>25.62</v>
      </c>
      <c r="E1574" s="8">
        <f>IFERROR(__xludf.DUMMYFUNCTION("GOOGLEFINANCE(""ASX:NWL"", ""closeyest"")"),25.16)</f>
        <v>25.16</v>
      </c>
      <c r="F1574" s="9">
        <f>IFERROR(__xludf.DUMMYFUNCTION("GOOGLEFINANCE(""ASX:NWL"", ""pe"")"),53.96)</f>
        <v>53.96</v>
      </c>
      <c r="G1574" s="9">
        <f>IFERROR(__xludf.DUMMYFUNCTION("GOOGLEFINANCE(""ASX:NWL"", ""high52"")"),38.3)</f>
        <v>38.3</v>
      </c>
      <c r="H1574" s="9">
        <f>IFERROR(__xludf.DUMMYFUNCTION("GOOGLEFINANCE(""ASX:NWL"", ""low52"")"),19.96)</f>
        <v>19.96</v>
      </c>
      <c r="I1574" s="9">
        <f>IFERROR(__xludf.DUMMYFUNCTION("GOOGLEFINANCE(""ASX:NWL"", ""marketcap"")"),6.286402663E9)</f>
        <v>6286402663</v>
      </c>
      <c r="J1574" s="5"/>
      <c r="K1574" s="5"/>
      <c r="L1574" s="5"/>
      <c r="M1574" s="5"/>
      <c r="N1574" s="9">
        <f>IFERROR(__xludf.DUMMYFUNCTION("IFERROR(GOOGLEFINANCE(""ASX:NWL"", ""pe""), ""N/A"")"),53.96)</f>
        <v>53.96</v>
      </c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>
      <c r="A1575" s="6" t="s">
        <v>3147</v>
      </c>
      <c r="B1575" s="6" t="s">
        <v>3148</v>
      </c>
      <c r="C1575" s="5" t="s">
        <v>18</v>
      </c>
      <c r="D1575" s="7">
        <f>IFERROR(__xludf.DUMMYFUNCTION("GOOGLEFINANCE(""ASX:NWM"", ""price"")"),0.01)</f>
        <v>0.01</v>
      </c>
      <c r="E1575" s="8">
        <f>IFERROR(__xludf.DUMMYFUNCTION("GOOGLEFINANCE(""ASX:NWM"", ""closeyest"")"),0.01)</f>
        <v>0.01</v>
      </c>
      <c r="F1575" s="5" t="str">
        <f>IFERROR(__xludf.DUMMYFUNCTION("GOOGLEFINANCE(""ASX:NWM"", ""pe"")"),"#N/A")</f>
        <v>#N/A</v>
      </c>
      <c r="G1575" s="9">
        <f>IFERROR(__xludf.DUMMYFUNCTION("GOOGLEFINANCE(""ASX:NWM"", ""high52"")"),0.02)</f>
        <v>0.02</v>
      </c>
      <c r="H1575" s="9">
        <f>IFERROR(__xludf.DUMMYFUNCTION("GOOGLEFINANCE(""ASX:NWM"", ""low52"")"),0.01)</f>
        <v>0.01</v>
      </c>
      <c r="I1575" s="9">
        <f>IFERROR(__xludf.DUMMYFUNCTION("GOOGLEFINANCE(""ASX:NWM"", ""marketcap"")"),1.2361284E7)</f>
        <v>12361284</v>
      </c>
      <c r="J1575" s="12">
        <v>0.01</v>
      </c>
      <c r="K1575" s="12">
        <v>0.01</v>
      </c>
      <c r="L1575" s="12">
        <v>0.018</v>
      </c>
      <c r="M1575" s="12">
        <v>0.009</v>
      </c>
      <c r="N1575" s="11" t="s">
        <v>19</v>
      </c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>
      <c r="A1576" s="6" t="s">
        <v>3149</v>
      </c>
      <c r="B1576" s="6" t="s">
        <v>3150</v>
      </c>
      <c r="C1576" s="5" t="s">
        <v>522</v>
      </c>
      <c r="D1576" s="7">
        <f>IFERROR(__xludf.DUMMYFUNCTION("GOOGLEFINANCE(""ASX:NWS"", ""price"")"),44.67)</f>
        <v>44.67</v>
      </c>
      <c r="E1576" s="8">
        <f>IFERROR(__xludf.DUMMYFUNCTION("GOOGLEFINANCE(""ASX:NWS"", ""closeyest"")"),44.43)</f>
        <v>44.43</v>
      </c>
      <c r="F1576" s="5" t="str">
        <f>IFERROR(__xludf.DUMMYFUNCTION("GOOGLEFINANCE(""ASX:NWS"", ""pe"")"),"#N/A")</f>
        <v>#N/A</v>
      </c>
      <c r="G1576" s="9">
        <f>IFERROR(__xludf.DUMMYFUNCTION("GOOGLEFINANCE(""ASX:NWS"", ""high52"")"),57.16)</f>
        <v>57.16</v>
      </c>
      <c r="H1576" s="9">
        <f>IFERROR(__xludf.DUMMYFUNCTION("GOOGLEFINANCE(""ASX:NWS"", ""low52"")"),43.35)</f>
        <v>43.35</v>
      </c>
      <c r="I1576" s="9">
        <f>IFERROR(__xludf.DUMMYFUNCTION("GOOGLEFINANCE(""ASX:NWS"", ""marketcap"")"),1.5558569425E10)</f>
        <v>15558569425</v>
      </c>
      <c r="J1576" s="5"/>
      <c r="K1576" s="5"/>
      <c r="L1576" s="5"/>
      <c r="M1576" s="5"/>
      <c r="N1576" s="11" t="s">
        <v>19</v>
      </c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>
      <c r="A1577" s="6" t="s">
        <v>3151</v>
      </c>
      <c r="B1577" s="6" t="s">
        <v>3152</v>
      </c>
      <c r="C1577" s="5" t="s">
        <v>1457</v>
      </c>
      <c r="D1577" s="7">
        <f>IFERROR(__xludf.DUMMYFUNCTION("GOOGLEFINANCE(""ASX:NXD"", ""price"")"),0.3)</f>
        <v>0.3</v>
      </c>
      <c r="E1577" s="8">
        <f>IFERROR(__xludf.DUMMYFUNCTION("GOOGLEFINANCE(""ASX:NXD"", ""closeyest"")"),0.31)</f>
        <v>0.31</v>
      </c>
      <c r="F1577" s="5" t="str">
        <f>IFERROR(__xludf.DUMMYFUNCTION("GOOGLEFINANCE(""ASX:NXD"", ""pe"")"),"#N/A")</f>
        <v>#N/A</v>
      </c>
      <c r="G1577" s="9">
        <f>IFERROR(__xludf.DUMMYFUNCTION("GOOGLEFINANCE(""ASX:NXD"", ""high52"")"),0.44)</f>
        <v>0.44</v>
      </c>
      <c r="H1577" s="9">
        <f>IFERROR(__xludf.DUMMYFUNCTION("GOOGLEFINANCE(""ASX:NXD"", ""low52"")"),0.1)</f>
        <v>0.1</v>
      </c>
      <c r="I1577" s="9">
        <f>IFERROR(__xludf.DUMMYFUNCTION("GOOGLEFINANCE(""ASX:NXD"", ""marketcap"")"),6.4600188E7)</f>
        <v>64600188</v>
      </c>
      <c r="J1577" s="5"/>
      <c r="K1577" s="5"/>
      <c r="L1577" s="5"/>
      <c r="M1577" s="5"/>
      <c r="N1577" s="11" t="s">
        <v>19</v>
      </c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>
      <c r="A1578" s="6" t="s">
        <v>3153</v>
      </c>
      <c r="B1578" s="6" t="s">
        <v>3154</v>
      </c>
      <c r="C1578" s="5" t="s">
        <v>28</v>
      </c>
      <c r="D1578" s="7">
        <f>IFERROR(__xludf.DUMMYFUNCTION("GOOGLEFINANCE(""ASX:NXG"", ""price"")"),15.9)</f>
        <v>15.9</v>
      </c>
      <c r="E1578" s="8">
        <f>IFERROR(__xludf.DUMMYFUNCTION("GOOGLEFINANCE(""ASX:NXG"", ""closeyest"")"),15.83)</f>
        <v>15.83</v>
      </c>
      <c r="F1578" s="5" t="str">
        <f>IFERROR(__xludf.DUMMYFUNCTION("GOOGLEFINANCE(""ASX:NXG"", ""pe"")"),"#N/A")</f>
        <v>#N/A</v>
      </c>
      <c r="G1578" s="9">
        <f>IFERROR(__xludf.DUMMYFUNCTION("GOOGLEFINANCE(""ASX:NXG"", ""high52"")"),16.32)</f>
        <v>16.32</v>
      </c>
      <c r="H1578" s="9">
        <f>IFERROR(__xludf.DUMMYFUNCTION("GOOGLEFINANCE(""ASX:NXG"", ""low52"")"),6.44)</f>
        <v>6.44</v>
      </c>
      <c r="I1578" s="9">
        <f>IFERROR(__xludf.DUMMYFUNCTION("GOOGLEFINANCE(""ASX:NXG"", ""marketcap"")"),9.155141421E9)</f>
        <v>9155141421</v>
      </c>
      <c r="J1578" s="5"/>
      <c r="K1578" s="5"/>
      <c r="L1578" s="5"/>
      <c r="M1578" s="5"/>
      <c r="N1578" s="11" t="s">
        <v>19</v>
      </c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>
      <c r="A1579" s="6" t="s">
        <v>3153</v>
      </c>
      <c r="B1579" s="6" t="s">
        <v>3154</v>
      </c>
      <c r="C1579" s="5" t="s">
        <v>28</v>
      </c>
      <c r="D1579" s="7">
        <f>IFERROR(__xludf.DUMMYFUNCTION("GOOGLEFINANCE(""ASX:NXG"", ""price"")"),15.9)</f>
        <v>15.9</v>
      </c>
      <c r="E1579" s="8">
        <f>IFERROR(__xludf.DUMMYFUNCTION("GOOGLEFINANCE(""ASX:NXG"", ""closeyest"")"),15.83)</f>
        <v>15.83</v>
      </c>
      <c r="F1579" s="5" t="str">
        <f>IFERROR(__xludf.DUMMYFUNCTION("GOOGLEFINANCE(""ASX:NXG"", ""pe"")"),"#N/A")</f>
        <v>#N/A</v>
      </c>
      <c r="G1579" s="9">
        <f>IFERROR(__xludf.DUMMYFUNCTION("GOOGLEFINANCE(""ASX:NXG"", ""high52"")"),16.32)</f>
        <v>16.32</v>
      </c>
      <c r="H1579" s="9">
        <f>IFERROR(__xludf.DUMMYFUNCTION("GOOGLEFINANCE(""ASX:NXG"", ""low52"")"),6.44)</f>
        <v>6.44</v>
      </c>
      <c r="I1579" s="9">
        <f>IFERROR(__xludf.DUMMYFUNCTION("GOOGLEFINANCE(""ASX:NXG"", ""marketcap"")"),9.155141421E9)</f>
        <v>9155141421</v>
      </c>
      <c r="J1579" s="5"/>
      <c r="K1579" s="5"/>
      <c r="L1579" s="5"/>
      <c r="M1579" s="5"/>
      <c r="N1579" s="11" t="s">
        <v>19</v>
      </c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>
      <c r="A1580" s="13" t="s">
        <v>3153</v>
      </c>
      <c r="B1580" s="13" t="s">
        <v>3154</v>
      </c>
      <c r="C1580" s="14" t="s">
        <v>28</v>
      </c>
      <c r="D1580" s="15">
        <f>IFERROR(__xludf.DUMMYFUNCTION("GOOGLEFINANCE(""ASX:NXG"", ""price"")"),15.9)</f>
        <v>15.9</v>
      </c>
      <c r="E1580" s="8">
        <f>IFERROR(__xludf.DUMMYFUNCTION("GOOGLEFINANCE(""ASX:NXG"", ""closeyest"")"),15.83)</f>
        <v>15.83</v>
      </c>
      <c r="F1580" s="5" t="str">
        <f>IFERROR(__xludf.DUMMYFUNCTION("GOOGLEFINANCE(""ASX:NXG"", ""pe"")"),"#N/A")</f>
        <v>#N/A</v>
      </c>
      <c r="G1580" s="9">
        <f>IFERROR(__xludf.DUMMYFUNCTION("GOOGLEFINANCE(""ASX:NXG"", ""high52"")"),16.32)</f>
        <v>16.32</v>
      </c>
      <c r="H1580" s="9">
        <f>IFERROR(__xludf.DUMMYFUNCTION("GOOGLEFINANCE(""ASX:NXG"", ""low52"")"),6.44)</f>
        <v>6.44</v>
      </c>
      <c r="I1580" s="9">
        <f>IFERROR(__xludf.DUMMYFUNCTION("GOOGLEFINANCE(""ASX:NXG"", ""marketcap"")"),9.155141421E9)</f>
        <v>9155141421</v>
      </c>
      <c r="J1580" s="5"/>
      <c r="K1580" s="5"/>
      <c r="L1580" s="5"/>
      <c r="M1580" s="5"/>
      <c r="N1580" s="11" t="s">
        <v>19</v>
      </c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>
      <c r="A1581" s="6" t="s">
        <v>3155</v>
      </c>
      <c r="B1581" s="6" t="s">
        <v>3156</v>
      </c>
      <c r="C1581" s="5" t="s">
        <v>15</v>
      </c>
      <c r="D1581" s="7">
        <f>IFERROR(__xludf.DUMMYFUNCTION("GOOGLEFINANCE(""ASX:NXL"", ""price"")"),1.83)</f>
        <v>1.83</v>
      </c>
      <c r="E1581" s="8">
        <f>IFERROR(__xludf.DUMMYFUNCTION("GOOGLEFINANCE(""ASX:NXL"", ""closeyest"")"),1.79)</f>
        <v>1.79</v>
      </c>
      <c r="F1581" s="5" t="str">
        <f>IFERROR(__xludf.DUMMYFUNCTION("GOOGLEFINANCE(""ASX:NXL"", ""pe"")"),"#N/A")</f>
        <v>#N/A</v>
      </c>
      <c r="G1581" s="9">
        <f>IFERROR(__xludf.DUMMYFUNCTION("GOOGLEFINANCE(""ASX:NXL"", ""high52"")"),6.6)</f>
        <v>6.6</v>
      </c>
      <c r="H1581" s="9">
        <f>IFERROR(__xludf.DUMMYFUNCTION("GOOGLEFINANCE(""ASX:NXL"", ""low52"")"),1.72)</f>
        <v>1.72</v>
      </c>
      <c r="I1581" s="9">
        <f>IFERROR(__xludf.DUMMYFUNCTION("GOOGLEFINANCE(""ASX:NXL"", ""marketcap"")"),6.10749223E8)</f>
        <v>610749223</v>
      </c>
      <c r="J1581" s="5"/>
      <c r="K1581" s="5"/>
      <c r="L1581" s="5"/>
      <c r="M1581" s="5"/>
      <c r="N1581" s="11" t="s">
        <v>19</v>
      </c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>
      <c r="A1582" s="6" t="s">
        <v>3157</v>
      </c>
      <c r="B1582" s="6" t="s">
        <v>3158</v>
      </c>
      <c r="C1582" s="5" t="s">
        <v>88</v>
      </c>
      <c r="D1582" s="7">
        <f>IFERROR(__xludf.DUMMYFUNCTION("GOOGLEFINANCE(""ASX:NXM"", ""price"")"),0.07)</f>
        <v>0.07</v>
      </c>
      <c r="E1582" s="8">
        <f>IFERROR(__xludf.DUMMYFUNCTION("GOOGLEFINANCE(""ASX:NXM"", ""closeyest"")"),0.07)</f>
        <v>0.07</v>
      </c>
      <c r="F1582" s="5" t="str">
        <f>IFERROR(__xludf.DUMMYFUNCTION("GOOGLEFINANCE(""ASX:NXM"", ""pe"")"),"#N/A")</f>
        <v>#N/A</v>
      </c>
      <c r="G1582" s="9">
        <f>IFERROR(__xludf.DUMMYFUNCTION("GOOGLEFINANCE(""ASX:NXM"", ""high52"")"),0.1)</f>
        <v>0.1</v>
      </c>
      <c r="H1582" s="9">
        <f>IFERROR(__xludf.DUMMYFUNCTION("GOOGLEFINANCE(""ASX:NXM"", ""low52"")"),0.04)</f>
        <v>0.04</v>
      </c>
      <c r="I1582" s="9">
        <f>IFERROR(__xludf.DUMMYFUNCTION("GOOGLEFINANCE(""ASX:NXM"", ""marketcap"")"),4.4712703E7)</f>
        <v>44712703</v>
      </c>
      <c r="J1582" s="5"/>
      <c r="K1582" s="5"/>
      <c r="L1582" s="5"/>
      <c r="M1582" s="5"/>
      <c r="N1582" s="11" t="s">
        <v>19</v>
      </c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>
      <c r="A1583" s="6" t="s">
        <v>3159</v>
      </c>
      <c r="B1583" s="6" t="s">
        <v>3160</v>
      </c>
      <c r="C1583" s="5" t="s">
        <v>25</v>
      </c>
      <c r="D1583" s="7">
        <f>IFERROR(__xludf.DUMMYFUNCTION("GOOGLEFINANCE(""ASX:NXN"", ""price"")"),0.17)</f>
        <v>0.17</v>
      </c>
      <c r="E1583" s="8">
        <f>IFERROR(__xludf.DUMMYFUNCTION("GOOGLEFINANCE(""ASX:NXN"", ""closeyest"")"),0.18)</f>
        <v>0.18</v>
      </c>
      <c r="F1583" s="5" t="str">
        <f>IFERROR(__xludf.DUMMYFUNCTION("GOOGLEFINANCE(""ASX:NXN"", ""pe"")"),"#N/A")</f>
        <v>#N/A</v>
      </c>
      <c r="G1583" s="9">
        <f>IFERROR(__xludf.DUMMYFUNCTION("GOOGLEFINANCE(""ASX:NXN"", ""high52"")"),0.32)</f>
        <v>0.32</v>
      </c>
      <c r="H1583" s="9">
        <f>IFERROR(__xludf.DUMMYFUNCTION("GOOGLEFINANCE(""ASX:NXN"", ""low52"")"),0.13)</f>
        <v>0.13</v>
      </c>
      <c r="I1583" s="9">
        <f>IFERROR(__xludf.DUMMYFUNCTION("GOOGLEFINANCE(""ASX:NXN"", ""marketcap"")"),1.2336238E7)</f>
        <v>12336238</v>
      </c>
      <c r="J1583" s="5"/>
      <c r="K1583" s="5"/>
      <c r="L1583" s="5"/>
      <c r="M1583" s="5"/>
      <c r="N1583" s="11" t="s">
        <v>19</v>
      </c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>
      <c r="A1584" s="6" t="s">
        <v>3161</v>
      </c>
      <c r="B1584" s="6" t="s">
        <v>3162</v>
      </c>
      <c r="C1584" s="5" t="s">
        <v>174</v>
      </c>
      <c r="D1584" s="7">
        <f>IFERROR(__xludf.DUMMYFUNCTION("GOOGLEFINANCE(""ASX:NXS"", ""price"")"),0.14)</f>
        <v>0.14</v>
      </c>
      <c r="E1584" s="8">
        <f>IFERROR(__xludf.DUMMYFUNCTION("GOOGLEFINANCE(""ASX:NXS"", ""closeyest"")"),0.14)</f>
        <v>0.14</v>
      </c>
      <c r="F1584" s="5" t="str">
        <f>IFERROR(__xludf.DUMMYFUNCTION("GOOGLEFINANCE(""ASX:NXS"", ""pe"")"),"#N/A")</f>
        <v>#N/A</v>
      </c>
      <c r="G1584" s="9">
        <f>IFERROR(__xludf.DUMMYFUNCTION("GOOGLEFINANCE(""ASX:NXS"", ""high52"")"),0.16)</f>
        <v>0.16</v>
      </c>
      <c r="H1584" s="9">
        <f>IFERROR(__xludf.DUMMYFUNCTION("GOOGLEFINANCE(""ASX:NXS"", ""low52"")"),0.06)</f>
        <v>0.06</v>
      </c>
      <c r="I1584" s="9">
        <f>IFERROR(__xludf.DUMMYFUNCTION("GOOGLEFINANCE(""ASX:NXS"", ""marketcap"")"),4.243068E7)</f>
        <v>42430680</v>
      </c>
      <c r="J1584" s="5"/>
      <c r="K1584" s="5"/>
      <c r="L1584" s="5"/>
      <c r="M1584" s="5"/>
      <c r="N1584" s="11" t="s">
        <v>19</v>
      </c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>
      <c r="A1585" s="6" t="s">
        <v>3163</v>
      </c>
      <c r="B1585" s="6" t="s">
        <v>3164</v>
      </c>
      <c r="C1585" s="5" t="s">
        <v>184</v>
      </c>
      <c r="D1585" s="7">
        <f>IFERROR(__xludf.DUMMYFUNCTION("GOOGLEFINANCE(""ASX:NXT"", ""price"")"),12.69)</f>
        <v>12.69</v>
      </c>
      <c r="E1585" s="8">
        <f>IFERROR(__xludf.DUMMYFUNCTION("GOOGLEFINANCE(""ASX:NXT"", ""closeyest"")"),12.54)</f>
        <v>12.54</v>
      </c>
      <c r="F1585" s="5" t="str">
        <f>IFERROR(__xludf.DUMMYFUNCTION("GOOGLEFINANCE(""ASX:NXT"", ""pe"")"),"#N/A")</f>
        <v>#N/A</v>
      </c>
      <c r="G1585" s="9">
        <f>IFERROR(__xludf.DUMMYFUNCTION("GOOGLEFINANCE(""ASX:NXT"", ""high52"")"),18.22)</f>
        <v>18.22</v>
      </c>
      <c r="H1585" s="9">
        <f>IFERROR(__xludf.DUMMYFUNCTION("GOOGLEFINANCE(""ASX:NXT"", ""low52"")"),9.4)</f>
        <v>9.4</v>
      </c>
      <c r="I1585" s="9">
        <f>IFERROR(__xludf.DUMMYFUNCTION("GOOGLEFINANCE(""ASX:NXT"", ""marketcap"")"),8.132392576E9)</f>
        <v>8132392576</v>
      </c>
      <c r="J1585" s="5"/>
      <c r="K1585" s="5"/>
      <c r="L1585" s="5"/>
      <c r="M1585" s="5"/>
      <c r="N1585" s="11" t="s">
        <v>19</v>
      </c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>
      <c r="A1586" s="6" t="s">
        <v>3165</v>
      </c>
      <c r="B1586" s="6" t="s">
        <v>3166</v>
      </c>
      <c r="C1586" s="5" t="s">
        <v>18</v>
      </c>
      <c r="D1586" s="7">
        <f>IFERROR(__xludf.DUMMYFUNCTION("GOOGLEFINANCE(""ASX:NYM"", ""price"")"),0.03)</f>
        <v>0.03</v>
      </c>
      <c r="E1586" s="8">
        <f>IFERROR(__xludf.DUMMYFUNCTION("GOOGLEFINANCE(""ASX:NYM"", ""closeyest"")"),0.03)</f>
        <v>0.03</v>
      </c>
      <c r="F1586" s="5" t="str">
        <f>IFERROR(__xludf.DUMMYFUNCTION("GOOGLEFINANCE(""ASX:NYM"", ""pe"")"),"#N/A")</f>
        <v>#N/A</v>
      </c>
      <c r="G1586" s="9">
        <f>IFERROR(__xludf.DUMMYFUNCTION("GOOGLEFINANCE(""ASX:NYM"", ""high52"")"),0.07)</f>
        <v>0.07</v>
      </c>
      <c r="H1586" s="9">
        <f>IFERROR(__xludf.DUMMYFUNCTION("GOOGLEFINANCE(""ASX:NYM"", ""low52"")"),0.03)</f>
        <v>0.03</v>
      </c>
      <c r="I1586" s="9">
        <f>IFERROR(__xludf.DUMMYFUNCTION("GOOGLEFINANCE(""ASX:NYM"", ""marketcap"")"),6384915.0)</f>
        <v>6384915</v>
      </c>
      <c r="J1586" s="5"/>
      <c r="K1586" s="5"/>
      <c r="L1586" s="5"/>
      <c r="M1586" s="5"/>
      <c r="N1586" s="11" t="s">
        <v>19</v>
      </c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>
      <c r="A1587" s="6" t="s">
        <v>3167</v>
      </c>
      <c r="B1587" s="6" t="s">
        <v>3168</v>
      </c>
      <c r="C1587" s="5" t="s">
        <v>25</v>
      </c>
      <c r="D1587" s="7">
        <f>IFERROR(__xludf.DUMMYFUNCTION("GOOGLEFINANCE(""ASX:NYR"", ""price"")"),1.38)</f>
        <v>1.38</v>
      </c>
      <c r="E1587" s="8">
        <f>IFERROR(__xludf.DUMMYFUNCTION("GOOGLEFINANCE(""ASX:NYR"", ""closeyest"")"),1.2)</f>
        <v>1.2</v>
      </c>
      <c r="F1587" s="5" t="str">
        <f>IFERROR(__xludf.DUMMYFUNCTION("GOOGLEFINANCE(""ASX:NYR"", ""pe"")"),"#N/A")</f>
        <v>#N/A</v>
      </c>
      <c r="G1587" s="9">
        <f>IFERROR(__xludf.DUMMYFUNCTION("GOOGLEFINANCE(""ASX:NYR"", ""high52"")"),1.38)</f>
        <v>1.38</v>
      </c>
      <c r="H1587" s="9">
        <f>IFERROR(__xludf.DUMMYFUNCTION("GOOGLEFINANCE(""ASX:NYR"", ""low52"")"),0.07)</f>
        <v>0.07</v>
      </c>
      <c r="I1587" s="9">
        <f>IFERROR(__xludf.DUMMYFUNCTION("GOOGLEFINANCE(""ASX:NYR"", ""marketcap"")"),3.34262356E8)</f>
        <v>334262356</v>
      </c>
      <c r="J1587" s="5"/>
      <c r="K1587" s="5"/>
      <c r="L1587" s="5"/>
      <c r="M1587" s="5"/>
      <c r="N1587" s="11" t="s">
        <v>19</v>
      </c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>
      <c r="A1588" s="6" t="s">
        <v>3169</v>
      </c>
      <c r="B1588" s="6" t="s">
        <v>3170</v>
      </c>
      <c r="C1588" s="5" t="s">
        <v>128</v>
      </c>
      <c r="D1588" s="7">
        <f>IFERROR(__xludf.DUMMYFUNCTION("GOOGLEFINANCE(""ASX:NZK"", ""price"")"),0.19)</f>
        <v>0.19</v>
      </c>
      <c r="E1588" s="8">
        <f>IFERROR(__xludf.DUMMYFUNCTION("GOOGLEFINANCE(""ASX:NZK"", ""closeyest"")"),0.19)</f>
        <v>0.19</v>
      </c>
      <c r="F1588" s="5" t="str">
        <f>IFERROR(__xludf.DUMMYFUNCTION("GOOGLEFINANCE(""ASX:NZK"", ""pe"")"),"#N/A")</f>
        <v>#N/A</v>
      </c>
      <c r="G1588" s="9">
        <f>IFERROR(__xludf.DUMMYFUNCTION("GOOGLEFINANCE(""ASX:NZK"", ""high52"")"),0.23)</f>
        <v>0.23</v>
      </c>
      <c r="H1588" s="9">
        <f>IFERROR(__xludf.DUMMYFUNCTION("GOOGLEFINANCE(""ASX:NZK"", ""low52"")"),0.16)</f>
        <v>0.16</v>
      </c>
      <c r="I1588" s="9">
        <f>IFERROR(__xludf.DUMMYFUNCTION("GOOGLEFINANCE(""ASX:NZK"", ""marketcap"")"),1.064074E8)</f>
        <v>106407400</v>
      </c>
      <c r="J1588" s="5"/>
      <c r="K1588" s="5"/>
      <c r="L1588" s="5"/>
      <c r="M1588" s="5"/>
      <c r="N1588" s="11" t="s">
        <v>19</v>
      </c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>
      <c r="A1589" s="6" t="s">
        <v>3171</v>
      </c>
      <c r="B1589" s="6" t="s">
        <v>3172</v>
      </c>
      <c r="C1589" s="5" t="s">
        <v>522</v>
      </c>
      <c r="D1589" s="7">
        <f>IFERROR(__xludf.DUMMYFUNCTION("GOOGLEFINANCE(""ASX:NZM"", ""price"")"),1.0)</f>
        <v>1</v>
      </c>
      <c r="E1589" s="8">
        <f>IFERROR(__xludf.DUMMYFUNCTION("GOOGLEFINANCE(""ASX:NZM"", ""closeyest"")"),1.01)</f>
        <v>1.01</v>
      </c>
      <c r="F1589" s="5" t="str">
        <f>IFERROR(__xludf.DUMMYFUNCTION("GOOGLEFINANCE(""ASX:NZM"", ""pe"")"),"#N/A")</f>
        <v>#N/A</v>
      </c>
      <c r="G1589" s="9">
        <f>IFERROR(__xludf.DUMMYFUNCTION("GOOGLEFINANCE(""ASX:NZM"", ""high52"")"),1.14)</f>
        <v>1.14</v>
      </c>
      <c r="H1589" s="9">
        <f>IFERROR(__xludf.DUMMYFUNCTION("GOOGLEFINANCE(""ASX:NZM"", ""low52"")"),0.88)</f>
        <v>0.88</v>
      </c>
      <c r="I1589" s="9">
        <f>IFERROR(__xludf.DUMMYFUNCTION("GOOGLEFINANCE(""ASX:NZM"", ""marketcap"")"),2.178134E8)</f>
        <v>217813400</v>
      </c>
      <c r="J1589" s="5"/>
      <c r="K1589" s="5"/>
      <c r="L1589" s="5"/>
      <c r="M1589" s="5"/>
      <c r="N1589" s="11" t="s">
        <v>19</v>
      </c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>
      <c r="A1590" s="6" t="s">
        <v>3173</v>
      </c>
      <c r="B1590" s="6" t="s">
        <v>3174</v>
      </c>
      <c r="C1590" s="5" t="s">
        <v>62</v>
      </c>
      <c r="D1590" s="7">
        <f>IFERROR(__xludf.DUMMYFUNCTION("GOOGLEFINANCE(""ASX:OAK"", ""price"")"),0.08)</f>
        <v>0.08</v>
      </c>
      <c r="E1590" s="8">
        <f>IFERROR(__xludf.DUMMYFUNCTION("GOOGLEFINANCE(""ASX:OAK"", ""closeyest"")"),0.08)</f>
        <v>0.08</v>
      </c>
      <c r="F1590" s="5" t="str">
        <f>IFERROR(__xludf.DUMMYFUNCTION("GOOGLEFINANCE(""ASX:OAK"", ""pe"")"),"#N/A")</f>
        <v>#N/A</v>
      </c>
      <c r="G1590" s="9">
        <f>IFERROR(__xludf.DUMMYFUNCTION("GOOGLEFINANCE(""ASX:OAK"", ""high52"")"),0.1)</f>
        <v>0.1</v>
      </c>
      <c r="H1590" s="9">
        <f>IFERROR(__xludf.DUMMYFUNCTION("GOOGLEFINANCE(""ASX:OAK"", ""low52"")"),0.05)</f>
        <v>0.05</v>
      </c>
      <c r="I1590" s="9">
        <f>IFERROR(__xludf.DUMMYFUNCTION("GOOGLEFINANCE(""ASX:OAK"", ""marketcap"")"),1974219.0)</f>
        <v>1974219</v>
      </c>
      <c r="J1590" s="5"/>
      <c r="K1590" s="5"/>
      <c r="L1590" s="5"/>
      <c r="M1590" s="5"/>
      <c r="N1590" s="11" t="s">
        <v>19</v>
      </c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>
      <c r="A1591" s="6" t="s">
        <v>3175</v>
      </c>
      <c r="B1591" s="6" t="s">
        <v>3176</v>
      </c>
      <c r="C1591" s="5" t="s">
        <v>18</v>
      </c>
      <c r="D1591" s="7">
        <f>IFERROR(__xludf.DUMMYFUNCTION("GOOGLEFINANCE(""ASX:OB1"", ""price"")"),0.02)</f>
        <v>0.02</v>
      </c>
      <c r="E1591" s="8">
        <f>IFERROR(__xludf.DUMMYFUNCTION("GOOGLEFINANCE(""ASX:OB1"", ""closeyest"")"),0.02)</f>
        <v>0.02</v>
      </c>
      <c r="F1591" s="5" t="str">
        <f>IFERROR(__xludf.DUMMYFUNCTION("GOOGLEFINANCE(""ASX:OB1"", ""pe"")"),"#N/A")</f>
        <v>#N/A</v>
      </c>
      <c r="G1591" s="9">
        <f>IFERROR(__xludf.DUMMYFUNCTION("GOOGLEFINANCE(""ASX:OB1"", ""high52"")"),0.04)</f>
        <v>0.04</v>
      </c>
      <c r="H1591" s="9">
        <f>IFERROR(__xludf.DUMMYFUNCTION("GOOGLEFINANCE(""ASX:OB1"", ""low52"")"),0.01)</f>
        <v>0.01</v>
      </c>
      <c r="I1591" s="9">
        <f>IFERROR(__xludf.DUMMYFUNCTION("GOOGLEFINANCE(""ASX:OB1"", ""marketcap"")"),4740578.0)</f>
        <v>4740578</v>
      </c>
      <c r="J1591" s="9">
        <v>0.002</v>
      </c>
      <c r="K1591" s="9">
        <v>0.002</v>
      </c>
      <c r="L1591" s="9">
        <v>0.003</v>
      </c>
      <c r="M1591" s="9">
        <v>0.001</v>
      </c>
      <c r="N1591" s="11" t="s">
        <v>19</v>
      </c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>
      <c r="A1592" s="6" t="s">
        <v>3177</v>
      </c>
      <c r="B1592" s="6" t="s">
        <v>3178</v>
      </c>
      <c r="C1592" s="5" t="s">
        <v>873</v>
      </c>
      <c r="D1592" s="7">
        <f>IFERROR(__xludf.DUMMYFUNCTION("GOOGLEFINANCE(""ASX:OBL"", ""price"")"),1.44)</f>
        <v>1.44</v>
      </c>
      <c r="E1592" s="8">
        <f>IFERROR(__xludf.DUMMYFUNCTION("GOOGLEFINANCE(""ASX:OBL"", ""closeyest"")"),1.42)</f>
        <v>1.42</v>
      </c>
      <c r="F1592" s="9">
        <f>IFERROR(__xludf.DUMMYFUNCTION("GOOGLEFINANCE(""ASX:OBL"", ""pe"")"),1.17)</f>
        <v>1.17</v>
      </c>
      <c r="G1592" s="9">
        <f>IFERROR(__xludf.DUMMYFUNCTION("GOOGLEFINANCE(""ASX:OBL"", ""high52"")"),1.95)</f>
        <v>1.95</v>
      </c>
      <c r="H1592" s="9">
        <f>IFERROR(__xludf.DUMMYFUNCTION("GOOGLEFINANCE(""ASX:OBL"", ""low52"")"),1.19)</f>
        <v>1.19</v>
      </c>
      <c r="I1592" s="9">
        <f>IFERROR(__xludf.DUMMYFUNCTION("GOOGLEFINANCE(""ASX:OBL"", ""marketcap"")"),4.16494096E8)</f>
        <v>416494096</v>
      </c>
      <c r="J1592" s="5"/>
      <c r="K1592" s="5"/>
      <c r="L1592" s="5"/>
      <c r="M1592" s="5"/>
      <c r="N1592" s="9">
        <f>IFERROR(__xludf.DUMMYFUNCTION("IFERROR(GOOGLEFINANCE(""ASX:OBL"", ""pe""), ""N/A"")"),1.17)</f>
        <v>1.17</v>
      </c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>
      <c r="A1593" s="6" t="s">
        <v>3179</v>
      </c>
      <c r="B1593" s="6" t="s">
        <v>3180</v>
      </c>
      <c r="C1593" s="5" t="s">
        <v>88</v>
      </c>
      <c r="D1593" s="7">
        <f>IFERROR(__xludf.DUMMYFUNCTION("GOOGLEFINANCE(""ASX:OBM"", ""price"")"),1.54)</f>
        <v>1.54</v>
      </c>
      <c r="E1593" s="8">
        <f>IFERROR(__xludf.DUMMYFUNCTION("GOOGLEFINANCE(""ASX:OBM"", ""closeyest"")"),1.57)</f>
        <v>1.57</v>
      </c>
      <c r="F1593" s="9">
        <f>IFERROR(__xludf.DUMMYFUNCTION("GOOGLEFINANCE(""ASX:OBM"", ""pe"")"),15.71)</f>
        <v>15.71</v>
      </c>
      <c r="G1593" s="9">
        <f>IFERROR(__xludf.DUMMYFUNCTION("GOOGLEFINANCE(""ASX:OBM"", ""high52"")"),1.59)</f>
        <v>1.59</v>
      </c>
      <c r="H1593" s="9">
        <f>IFERROR(__xludf.DUMMYFUNCTION("GOOGLEFINANCE(""ASX:OBM"", ""low52"")"),0.62)</f>
        <v>0.62</v>
      </c>
      <c r="I1593" s="9">
        <f>IFERROR(__xludf.DUMMYFUNCTION("GOOGLEFINANCE(""ASX:OBM"", ""marketcap"")"),2.959668946E9)</f>
        <v>2959668946</v>
      </c>
      <c r="J1593" s="5"/>
      <c r="K1593" s="5"/>
      <c r="L1593" s="5"/>
      <c r="M1593" s="5"/>
      <c r="N1593" s="9">
        <f>IFERROR(__xludf.DUMMYFUNCTION("IFERROR(GOOGLEFINANCE(""ASX:OBM"", ""pe""), ""N/A"")"),15.71)</f>
        <v>15.71</v>
      </c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>
      <c r="A1594" s="6" t="s">
        <v>3181</v>
      </c>
      <c r="B1594" s="6" t="s">
        <v>3182</v>
      </c>
      <c r="C1594" s="5" t="s">
        <v>164</v>
      </c>
      <c r="D1594" s="7">
        <f>IFERROR(__xludf.DUMMYFUNCTION("GOOGLEFINANCE(""ASX:OCA"", ""price"")"),0.76)</f>
        <v>0.76</v>
      </c>
      <c r="E1594" s="8">
        <f>IFERROR(__xludf.DUMMYFUNCTION("GOOGLEFINANCE(""ASX:OCA"", ""closeyest"")"),0.76)</f>
        <v>0.76</v>
      </c>
      <c r="F1594" s="5" t="str">
        <f>IFERROR(__xludf.DUMMYFUNCTION("GOOGLEFINANCE(""ASX:OCA"", ""pe"")"),"#N/A")</f>
        <v>#N/A</v>
      </c>
      <c r="G1594" s="9">
        <f>IFERROR(__xludf.DUMMYFUNCTION("GOOGLEFINANCE(""ASX:OCA"", ""high52"")"),0.81)</f>
        <v>0.81</v>
      </c>
      <c r="H1594" s="9">
        <f>IFERROR(__xludf.DUMMYFUNCTION("GOOGLEFINANCE(""ASX:OCA"", ""low52"")"),0.49)</f>
        <v>0.49</v>
      </c>
      <c r="I1594" s="9">
        <f>IFERROR(__xludf.DUMMYFUNCTION("GOOGLEFINANCE(""ASX:OCA"", ""marketcap"")"),6.687153E8)</f>
        <v>668715300</v>
      </c>
      <c r="J1594" s="5"/>
      <c r="K1594" s="5"/>
      <c r="L1594" s="5"/>
      <c r="M1594" s="5"/>
      <c r="N1594" s="11" t="s">
        <v>19</v>
      </c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>
      <c r="A1595" s="6" t="s">
        <v>3183</v>
      </c>
      <c r="B1595" s="6" t="s">
        <v>3184</v>
      </c>
      <c r="C1595" s="5" t="s">
        <v>62</v>
      </c>
      <c r="D1595" s="7">
        <f>IFERROR(__xludf.DUMMYFUNCTION("GOOGLEFINANCE(""ASX:OCC"", ""price"")"),1.07)</f>
        <v>1.07</v>
      </c>
      <c r="E1595" s="8">
        <f>IFERROR(__xludf.DUMMYFUNCTION("GOOGLEFINANCE(""ASX:OCC"", ""closeyest"")"),1.07)</f>
        <v>1.07</v>
      </c>
      <c r="F1595" s="5" t="str">
        <f>IFERROR(__xludf.DUMMYFUNCTION("GOOGLEFINANCE(""ASX:OCC"", ""pe"")"),"#N/A")</f>
        <v>#N/A</v>
      </c>
      <c r="G1595" s="9">
        <f>IFERROR(__xludf.DUMMYFUNCTION("GOOGLEFINANCE(""ASX:OCC"", ""high52"")"),1.79)</f>
        <v>1.79</v>
      </c>
      <c r="H1595" s="9">
        <f>IFERROR(__xludf.DUMMYFUNCTION("GOOGLEFINANCE(""ASX:OCC"", ""low52"")"),0.96)</f>
        <v>0.96</v>
      </c>
      <c r="I1595" s="9">
        <f>IFERROR(__xludf.DUMMYFUNCTION("GOOGLEFINANCE(""ASX:OCC"", ""marketcap"")"),2.8762957E8)</f>
        <v>287629570</v>
      </c>
      <c r="J1595" s="5"/>
      <c r="K1595" s="5"/>
      <c r="L1595" s="5"/>
      <c r="M1595" s="5"/>
      <c r="N1595" s="11" t="s">
        <v>19</v>
      </c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>
      <c r="A1596" s="6" t="s">
        <v>3185</v>
      </c>
      <c r="B1596" s="6" t="s">
        <v>3186</v>
      </c>
      <c r="C1596" s="5" t="s">
        <v>184</v>
      </c>
      <c r="D1596" s="7">
        <f>IFERROR(__xludf.DUMMYFUNCTION("GOOGLEFINANCE(""ASX:OCL"", ""price"")"),16.25)</f>
        <v>16.25</v>
      </c>
      <c r="E1596" s="8">
        <f>IFERROR(__xludf.DUMMYFUNCTION("GOOGLEFINANCE(""ASX:OCL"", ""closeyest"")"),16.13)</f>
        <v>16.13</v>
      </c>
      <c r="F1596" s="9">
        <f>IFERROR(__xludf.DUMMYFUNCTION("GOOGLEFINANCE(""ASX:OCL"", ""pe"")"),44.37)</f>
        <v>44.37</v>
      </c>
      <c r="G1596" s="9">
        <f>IFERROR(__xludf.DUMMYFUNCTION("GOOGLEFINANCE(""ASX:OCL"", ""high52"")"),23.1)</f>
        <v>23.1</v>
      </c>
      <c r="H1596" s="9">
        <f>IFERROR(__xludf.DUMMYFUNCTION("GOOGLEFINANCE(""ASX:OCL"", ""low52"")"),13.44)</f>
        <v>13.44</v>
      </c>
      <c r="I1596" s="9">
        <f>IFERROR(__xludf.DUMMYFUNCTION("GOOGLEFINANCE(""ASX:OCL"", ""marketcap"")"),1.558043337E9)</f>
        <v>1558043337</v>
      </c>
      <c r="J1596" s="5"/>
      <c r="K1596" s="5"/>
      <c r="L1596" s="5"/>
      <c r="M1596" s="5"/>
      <c r="N1596" s="9">
        <f>IFERROR(__xludf.DUMMYFUNCTION("IFERROR(GOOGLEFINANCE(""ASX:OCL"", ""pe""), ""N/A"")"),44.37)</f>
        <v>44.37</v>
      </c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>
      <c r="A1597" s="6" t="s">
        <v>3187</v>
      </c>
      <c r="B1597" s="6" t="s">
        <v>3188</v>
      </c>
      <c r="C1597" s="5" t="s">
        <v>39</v>
      </c>
      <c r="D1597" s="7">
        <f>IFERROR(__xludf.DUMMYFUNCTION("GOOGLEFINANCE(""ASX:OCN"", ""price"")"),0.25)</f>
        <v>0.25</v>
      </c>
      <c r="E1597" s="8">
        <f>IFERROR(__xludf.DUMMYFUNCTION("GOOGLEFINANCE(""ASX:OCN"", ""closeyest"")"),0.25)</f>
        <v>0.25</v>
      </c>
      <c r="F1597" s="5" t="str">
        <f>IFERROR(__xludf.DUMMYFUNCTION("GOOGLEFINANCE(""ASX:OCN"", ""pe"")"),"#N/A")</f>
        <v>#N/A</v>
      </c>
      <c r="G1597" s="9">
        <f>IFERROR(__xludf.DUMMYFUNCTION("GOOGLEFINANCE(""ASX:OCN"", ""high52"")"),0.27)</f>
        <v>0.27</v>
      </c>
      <c r="H1597" s="9">
        <f>IFERROR(__xludf.DUMMYFUNCTION("GOOGLEFINANCE(""ASX:OCN"", ""low52"")"),0.02)</f>
        <v>0.02</v>
      </c>
      <c r="I1597" s="9">
        <f>IFERROR(__xludf.DUMMYFUNCTION("GOOGLEFINANCE(""ASX:OCN"", ""marketcap"")"),4.0823625E7)</f>
        <v>40823625</v>
      </c>
      <c r="J1597" s="5"/>
      <c r="K1597" s="5"/>
      <c r="L1597" s="5"/>
      <c r="M1597" s="5"/>
      <c r="N1597" s="11" t="s">
        <v>19</v>
      </c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>
      <c r="A1598" s="6" t="s">
        <v>3189</v>
      </c>
      <c r="B1598" s="6" t="s">
        <v>3190</v>
      </c>
      <c r="C1598" s="5" t="s">
        <v>88</v>
      </c>
      <c r="D1598" s="7">
        <f>IFERROR(__xludf.DUMMYFUNCTION("GOOGLEFINANCE(""ASX:OCT"", ""price"")"),0.05)</f>
        <v>0.05</v>
      </c>
      <c r="E1598" s="8">
        <f>IFERROR(__xludf.DUMMYFUNCTION("GOOGLEFINANCE(""ASX:OCT"", ""closeyest"")"),0.05)</f>
        <v>0.05</v>
      </c>
      <c r="F1598" s="5" t="str">
        <f>IFERROR(__xludf.DUMMYFUNCTION("GOOGLEFINANCE(""ASX:OCT"", ""pe"")"),"#N/A")</f>
        <v>#N/A</v>
      </c>
      <c r="G1598" s="9">
        <f>IFERROR(__xludf.DUMMYFUNCTION("GOOGLEFINANCE(""ASX:OCT"", ""high52"")"),0.14)</f>
        <v>0.14</v>
      </c>
      <c r="H1598" s="9">
        <f>IFERROR(__xludf.DUMMYFUNCTION("GOOGLEFINANCE(""ASX:OCT"", ""low52"")"),0.03)</f>
        <v>0.03</v>
      </c>
      <c r="I1598" s="9">
        <f>IFERROR(__xludf.DUMMYFUNCTION("GOOGLEFINANCE(""ASX:OCT"", ""marketcap"")"),5439460.0)</f>
        <v>5439460</v>
      </c>
      <c r="J1598" s="9">
        <v>16.49</v>
      </c>
      <c r="K1598" s="9">
        <v>16.61</v>
      </c>
      <c r="L1598" s="9">
        <v>18.63</v>
      </c>
      <c r="M1598" s="9">
        <v>9.15</v>
      </c>
      <c r="N1598" s="11" t="s">
        <v>19</v>
      </c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>
      <c r="A1599" s="6" t="s">
        <v>3191</v>
      </c>
      <c r="B1599" s="6" t="s">
        <v>3192</v>
      </c>
      <c r="C1599" s="5" t="s">
        <v>39</v>
      </c>
      <c r="D1599" s="7">
        <f>IFERROR(__xludf.DUMMYFUNCTION("GOOGLEFINANCE(""ASX:OD6"", ""price"")"),0.09)</f>
        <v>0.09</v>
      </c>
      <c r="E1599" s="8">
        <f>IFERROR(__xludf.DUMMYFUNCTION("GOOGLEFINANCE(""ASX:OD6"", ""closeyest"")"),0.09)</f>
        <v>0.09</v>
      </c>
      <c r="F1599" s="5" t="str">
        <f>IFERROR(__xludf.DUMMYFUNCTION("GOOGLEFINANCE(""ASX:OD6"", ""pe"")"),"#N/A")</f>
        <v>#N/A</v>
      </c>
      <c r="G1599" s="9">
        <f>IFERROR(__xludf.DUMMYFUNCTION("GOOGLEFINANCE(""ASX:OD6"", ""high52"")"),0.13)</f>
        <v>0.13</v>
      </c>
      <c r="H1599" s="9">
        <f>IFERROR(__xludf.DUMMYFUNCTION("GOOGLEFINANCE(""ASX:OD6"", ""low52"")"),0.02)</f>
        <v>0.02</v>
      </c>
      <c r="I1599" s="9">
        <f>IFERROR(__xludf.DUMMYFUNCTION("GOOGLEFINANCE(""ASX:OD6"", ""marketcap"")"),1.7511415E7)</f>
        <v>17511415</v>
      </c>
      <c r="J1599" s="5"/>
      <c r="K1599" s="5"/>
      <c r="L1599" s="5"/>
      <c r="M1599" s="5"/>
      <c r="N1599" s="11" t="s">
        <v>19</v>
      </c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>
      <c r="A1600" s="6" t="s">
        <v>3193</v>
      </c>
      <c r="B1600" s="6" t="s">
        <v>3194</v>
      </c>
      <c r="C1600" s="5" t="s">
        <v>783</v>
      </c>
      <c r="D1600" s="7">
        <f>IFERROR(__xludf.DUMMYFUNCTION("GOOGLEFINANCE(""ASX:ODA"", ""price"")"),0.06)</f>
        <v>0.06</v>
      </c>
      <c r="E1600" s="8">
        <f>IFERROR(__xludf.DUMMYFUNCTION("GOOGLEFINANCE(""ASX:ODA"", ""closeyest"")"),0.06)</f>
        <v>0.06</v>
      </c>
      <c r="F1600" s="5" t="str">
        <f>IFERROR(__xludf.DUMMYFUNCTION("GOOGLEFINANCE(""ASX:ODA"", ""pe"")"),"#N/A")</f>
        <v>#N/A</v>
      </c>
      <c r="G1600" s="9">
        <f>IFERROR(__xludf.DUMMYFUNCTION("GOOGLEFINANCE(""ASX:ODA"", ""high52"")"),0.13)</f>
        <v>0.13</v>
      </c>
      <c r="H1600" s="9">
        <f>IFERROR(__xludf.DUMMYFUNCTION("GOOGLEFINANCE(""ASX:ODA"", ""low52"")"),0.06)</f>
        <v>0.06</v>
      </c>
      <c r="I1600" s="9">
        <f>IFERROR(__xludf.DUMMYFUNCTION("GOOGLEFINANCE(""ASX:ODA"", ""marketcap"")"),1.0500789E7)</f>
        <v>10500789</v>
      </c>
      <c r="J1600" s="5"/>
      <c r="K1600" s="5"/>
      <c r="L1600" s="5"/>
      <c r="M1600" s="5"/>
      <c r="N1600" s="11" t="s">
        <v>19</v>
      </c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>
      <c r="A1601" s="6" t="s">
        <v>3195</v>
      </c>
      <c r="B1601" s="6" t="s">
        <v>3196</v>
      </c>
      <c r="C1601" s="5" t="s">
        <v>450</v>
      </c>
      <c r="D1601" s="7">
        <f>IFERROR(__xludf.DUMMYFUNCTION("GOOGLEFINANCE(""ASX:ODE"", ""price"")"),0.02)</f>
        <v>0.02</v>
      </c>
      <c r="E1601" s="8">
        <f>IFERROR(__xludf.DUMMYFUNCTION("GOOGLEFINANCE(""ASX:ODE"", ""closeyest"")"),0.02)</f>
        <v>0.02</v>
      </c>
      <c r="F1601" s="5" t="str">
        <f>IFERROR(__xludf.DUMMYFUNCTION("GOOGLEFINANCE(""ASX:ODE"", ""pe"")"),"#N/A")</f>
        <v>#N/A</v>
      </c>
      <c r="G1601" s="9">
        <f>IFERROR(__xludf.DUMMYFUNCTION("GOOGLEFINANCE(""ASX:ODE"", ""high52"")"),0.02)</f>
        <v>0.02</v>
      </c>
      <c r="H1601" s="9">
        <f>IFERROR(__xludf.DUMMYFUNCTION("GOOGLEFINANCE(""ASX:ODE"", ""low52"")"),0.01)</f>
        <v>0.01</v>
      </c>
      <c r="I1601" s="9">
        <f>IFERROR(__xludf.DUMMYFUNCTION("GOOGLEFINANCE(""ASX:ODE"", ""marketcap"")"),3.1836911E7)</f>
        <v>31836911</v>
      </c>
      <c r="J1601" s="5"/>
      <c r="K1601" s="5"/>
      <c r="L1601" s="5"/>
      <c r="M1601" s="5"/>
      <c r="N1601" s="11" t="s">
        <v>19</v>
      </c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>
      <c r="A1602" s="6" t="s">
        <v>3197</v>
      </c>
      <c r="B1602" s="6" t="s">
        <v>3198</v>
      </c>
      <c r="C1602" s="5" t="s">
        <v>88</v>
      </c>
      <c r="D1602" s="7">
        <f>IFERROR(__xludf.DUMMYFUNCTION("GOOGLEFINANCE(""ASX:ODY"", ""price"")"),0.04)</f>
        <v>0.04</v>
      </c>
      <c r="E1602" s="8">
        <f>IFERROR(__xludf.DUMMYFUNCTION("GOOGLEFINANCE(""ASX:ODY"", ""closeyest"")"),0.04)</f>
        <v>0.04</v>
      </c>
      <c r="F1602" s="5" t="str">
        <f>IFERROR(__xludf.DUMMYFUNCTION("GOOGLEFINANCE(""ASX:ODY"", ""pe"")"),"#N/A")</f>
        <v>#N/A</v>
      </c>
      <c r="G1602" s="9">
        <f>IFERROR(__xludf.DUMMYFUNCTION("GOOGLEFINANCE(""ASX:ODY"", ""high52"")"),0.05)</f>
        <v>0.05</v>
      </c>
      <c r="H1602" s="9">
        <f>IFERROR(__xludf.DUMMYFUNCTION("GOOGLEFINANCE(""ASX:ODY"", ""low52"")"),0.02)</f>
        <v>0.02</v>
      </c>
      <c r="I1602" s="9">
        <f>IFERROR(__xludf.DUMMYFUNCTION("GOOGLEFINANCE(""ASX:ODY"", ""marketcap"")"),4.447002E7)</f>
        <v>44470020</v>
      </c>
      <c r="J1602" s="5"/>
      <c r="K1602" s="5"/>
      <c r="L1602" s="5"/>
      <c r="M1602" s="5"/>
      <c r="N1602" s="11" t="s">
        <v>19</v>
      </c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>
      <c r="A1603" s="6" t="s">
        <v>3199</v>
      </c>
      <c r="B1603" s="6" t="s">
        <v>3200</v>
      </c>
      <c r="C1603" s="5" t="s">
        <v>504</v>
      </c>
      <c r="D1603" s="7">
        <f>IFERROR(__xludf.DUMMYFUNCTION("GOOGLEFINANCE(""ASX:OEC"", ""price"")"),0.14)</f>
        <v>0.14</v>
      </c>
      <c r="E1603" s="8">
        <f>IFERROR(__xludf.DUMMYFUNCTION("GOOGLEFINANCE(""ASX:OEC"", ""closeyest"")"),0.14)</f>
        <v>0.14</v>
      </c>
      <c r="F1603" s="5" t="str">
        <f>IFERROR(__xludf.DUMMYFUNCTION("GOOGLEFINANCE(""ASX:OEC"", ""pe"")"),"#N/A")</f>
        <v>#N/A</v>
      </c>
      <c r="G1603" s="9">
        <f>IFERROR(__xludf.DUMMYFUNCTION("GOOGLEFINANCE(""ASX:OEC"", ""high52"")"),0.37)</f>
        <v>0.37</v>
      </c>
      <c r="H1603" s="9">
        <f>IFERROR(__xludf.DUMMYFUNCTION("GOOGLEFINANCE(""ASX:OEC"", ""low52"")"),0.08)</f>
        <v>0.08</v>
      </c>
      <c r="I1603" s="9">
        <f>IFERROR(__xludf.DUMMYFUNCTION("GOOGLEFINANCE(""ASX:OEC"", ""marketcap"")"),2.5069156E7)</f>
        <v>25069156</v>
      </c>
      <c r="J1603" s="5"/>
      <c r="K1603" s="5"/>
      <c r="L1603" s="5"/>
      <c r="M1603" s="5"/>
      <c r="N1603" s="11" t="s">
        <v>19</v>
      </c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>
      <c r="A1604" s="6" t="s">
        <v>3201</v>
      </c>
      <c r="B1604" s="6" t="s">
        <v>3202</v>
      </c>
      <c r="C1604" s="5" t="s">
        <v>78</v>
      </c>
      <c r="D1604" s="7">
        <f>IFERROR(__xludf.DUMMYFUNCTION("GOOGLEFINANCE(""ASX:OEL"", ""price"")"),0.0)</f>
        <v>0</v>
      </c>
      <c r="E1604" s="8">
        <f>IFERROR(__xludf.DUMMYFUNCTION("GOOGLEFINANCE(""ASX:OEL"", ""closeyest"")"),0.0)</f>
        <v>0</v>
      </c>
      <c r="F1604" s="9">
        <f>IFERROR(__xludf.DUMMYFUNCTION("GOOGLEFINANCE(""ASX:OEL"", ""pe"")"),18.18)</f>
        <v>18.18</v>
      </c>
      <c r="G1604" s="9">
        <f>IFERROR(__xludf.DUMMYFUNCTION("GOOGLEFINANCE(""ASX:OEL"", ""high52"")"),0.01)</f>
        <v>0.01</v>
      </c>
      <c r="H1604" s="9">
        <f>IFERROR(__xludf.DUMMYFUNCTION("GOOGLEFINANCE(""ASX:OEL"", ""low52"")"),0.0)</f>
        <v>0</v>
      </c>
      <c r="I1604" s="9">
        <f>IFERROR(__xludf.DUMMYFUNCTION("GOOGLEFINANCE(""ASX:OEL"", ""marketcap"")"),9590020.0)</f>
        <v>9590020</v>
      </c>
      <c r="J1604" s="12">
        <v>0.004</v>
      </c>
      <c r="K1604" s="12">
        <v>0.004</v>
      </c>
      <c r="L1604" s="12">
        <v>0.013</v>
      </c>
      <c r="M1604" s="12">
        <v>0.004</v>
      </c>
      <c r="N1604" s="9">
        <f>IFERROR(__xludf.DUMMYFUNCTION("IFERROR(GOOGLEFINANCE(""ASX:OEL"", ""pe""), ""N/A"")"),18.18)</f>
        <v>18.18</v>
      </c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>
      <c r="A1605" s="6" t="s">
        <v>3203</v>
      </c>
      <c r="B1605" s="6" t="s">
        <v>3204</v>
      </c>
      <c r="C1605" s="5" t="s">
        <v>171</v>
      </c>
      <c r="D1605" s="7">
        <f>IFERROR(__xludf.DUMMYFUNCTION("GOOGLEFINANCE(""ASX:OEQ"", ""price"")"),0.19)</f>
        <v>0.19</v>
      </c>
      <c r="E1605" s="8">
        <f>IFERROR(__xludf.DUMMYFUNCTION("GOOGLEFINANCE(""ASX:OEQ"", ""closeyest"")"),0.19)</f>
        <v>0.19</v>
      </c>
      <c r="F1605" s="9">
        <f>IFERROR(__xludf.DUMMYFUNCTION("GOOGLEFINANCE(""ASX:OEQ"", ""pe"")"),2.18)</f>
        <v>2.18</v>
      </c>
      <c r="G1605" s="9">
        <f>IFERROR(__xludf.DUMMYFUNCTION("GOOGLEFINANCE(""ASX:OEQ"", ""high52"")"),0.23)</f>
        <v>0.23</v>
      </c>
      <c r="H1605" s="9">
        <f>IFERROR(__xludf.DUMMYFUNCTION("GOOGLEFINANCE(""ASX:OEQ"", ""low52"")"),0.13)</f>
        <v>0.13</v>
      </c>
      <c r="I1605" s="9">
        <f>IFERROR(__xludf.DUMMYFUNCTION("GOOGLEFINANCE(""ASX:OEQ"", ""marketcap"")"),2895110.0)</f>
        <v>2895110</v>
      </c>
      <c r="J1605" s="5"/>
      <c r="K1605" s="5"/>
      <c r="L1605" s="5"/>
      <c r="M1605" s="5"/>
      <c r="N1605" s="9">
        <f>IFERROR(__xludf.DUMMYFUNCTION("IFERROR(GOOGLEFINANCE(""ASX:OEQ"", ""pe""), ""N/A"")"),2.18)</f>
        <v>2.18</v>
      </c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>
      <c r="A1606" s="6" t="s">
        <v>3205</v>
      </c>
      <c r="B1606" s="6" t="s">
        <v>3206</v>
      </c>
      <c r="C1606" s="5" t="s">
        <v>161</v>
      </c>
      <c r="D1606" s="7">
        <f>IFERROR(__xludf.DUMMYFUNCTION("GOOGLEFINANCE(""ASX:OFX"", ""price"")"),0.51)</f>
        <v>0.51</v>
      </c>
      <c r="E1606" s="8">
        <f>IFERROR(__xludf.DUMMYFUNCTION("GOOGLEFINANCE(""ASX:OFX"", ""closeyest"")"),0.51)</f>
        <v>0.51</v>
      </c>
      <c r="F1606" s="9">
        <f>IFERROR(__xludf.DUMMYFUNCTION("GOOGLEFINANCE(""ASX:OFX"", ""pe"")"),5.02)</f>
        <v>5.02</v>
      </c>
      <c r="G1606" s="9">
        <f>IFERROR(__xludf.DUMMYFUNCTION("GOOGLEFINANCE(""ASX:OFX"", ""high52"")"),1.47)</f>
        <v>1.47</v>
      </c>
      <c r="H1606" s="9">
        <f>IFERROR(__xludf.DUMMYFUNCTION("GOOGLEFINANCE(""ASX:OFX"", ""low52"")"),0.48)</f>
        <v>0.48</v>
      </c>
      <c r="I1606" s="9">
        <f>IFERROR(__xludf.DUMMYFUNCTION("GOOGLEFINANCE(""ASX:OFX"", ""marketcap"")"),1.15888257E8)</f>
        <v>115888257</v>
      </c>
      <c r="J1606" s="5"/>
      <c r="K1606" s="5"/>
      <c r="L1606" s="5"/>
      <c r="M1606" s="5"/>
      <c r="N1606" s="9">
        <f>IFERROR(__xludf.DUMMYFUNCTION("IFERROR(GOOGLEFINANCE(""ASX:OFX"", ""pe""), ""N/A"")"),5.02)</f>
        <v>5.02</v>
      </c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>
      <c r="A1607" s="6" t="s">
        <v>3207</v>
      </c>
      <c r="B1607" s="6" t="s">
        <v>3208</v>
      </c>
      <c r="C1607" s="5" t="s">
        <v>62</v>
      </c>
      <c r="D1607" s="7">
        <f>IFERROR(__xludf.DUMMYFUNCTION("GOOGLEFINANCE(""ASX:OIL"", ""price"")"),0.09)</f>
        <v>0.09</v>
      </c>
      <c r="E1607" s="8">
        <f>IFERROR(__xludf.DUMMYFUNCTION("GOOGLEFINANCE(""ASX:OIL"", ""closeyest"")"),0.1)</f>
        <v>0.1</v>
      </c>
      <c r="F1607" s="5" t="str">
        <f>IFERROR(__xludf.DUMMYFUNCTION("GOOGLEFINANCE(""ASX:OIL"", ""pe"")"),"#N/A")</f>
        <v>#N/A</v>
      </c>
      <c r="G1607" s="9">
        <f>IFERROR(__xludf.DUMMYFUNCTION("GOOGLEFINANCE(""ASX:OIL"", ""high52"")"),0.17)</f>
        <v>0.17</v>
      </c>
      <c r="H1607" s="9">
        <f>IFERROR(__xludf.DUMMYFUNCTION("GOOGLEFINANCE(""ASX:OIL"", ""low52"")"),0.08)</f>
        <v>0.08</v>
      </c>
      <c r="I1607" s="9">
        <f>IFERROR(__xludf.DUMMYFUNCTION("GOOGLEFINANCE(""ASX:OIL"", ""marketcap"")"),9.6137357E7)</f>
        <v>96137357</v>
      </c>
      <c r="J1607" s="5"/>
      <c r="K1607" s="5"/>
      <c r="L1607" s="5"/>
      <c r="M1607" s="5"/>
      <c r="N1607" s="11" t="s">
        <v>19</v>
      </c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>
      <c r="A1608" s="6" t="s">
        <v>3209</v>
      </c>
      <c r="B1608" s="6" t="s">
        <v>3210</v>
      </c>
      <c r="C1608" s="5" t="s">
        <v>88</v>
      </c>
      <c r="D1608" s="7">
        <f>IFERROR(__xludf.DUMMYFUNCTION("GOOGLEFINANCE(""ASX:OKJ"", ""price"")"),0.08)</f>
        <v>0.08</v>
      </c>
      <c r="E1608" s="8">
        <f>IFERROR(__xludf.DUMMYFUNCTION("GOOGLEFINANCE(""ASX:OKJ"", ""closeyest"")"),0.08)</f>
        <v>0.08</v>
      </c>
      <c r="F1608" s="5" t="str">
        <f>IFERROR(__xludf.DUMMYFUNCTION("GOOGLEFINANCE(""ASX:OKJ"", ""pe"")"),"#N/A")</f>
        <v>#N/A</v>
      </c>
      <c r="G1608" s="9">
        <f>IFERROR(__xludf.DUMMYFUNCTION("GOOGLEFINANCE(""ASX:OKJ"", ""high52"")"),0.08)</f>
        <v>0.08</v>
      </c>
      <c r="H1608" s="9">
        <f>IFERROR(__xludf.DUMMYFUNCTION("GOOGLEFINANCE(""ASX:OKJ"", ""low52"")"),0.01)</f>
        <v>0.01</v>
      </c>
      <c r="I1608" s="9">
        <f>IFERROR(__xludf.DUMMYFUNCTION("GOOGLEFINANCE(""ASX:OKJ"", ""marketcap"")"),6429796.0)</f>
        <v>6429796</v>
      </c>
      <c r="J1608" s="5"/>
      <c r="K1608" s="5"/>
      <c r="L1608" s="5"/>
      <c r="M1608" s="5"/>
      <c r="N1608" s="11" t="s">
        <v>19</v>
      </c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>
      <c r="A1609" s="6" t="s">
        <v>3211</v>
      </c>
      <c r="B1609" s="6" t="s">
        <v>3212</v>
      </c>
      <c r="C1609" s="5" t="s">
        <v>1666</v>
      </c>
      <c r="D1609" s="7">
        <f>IFERROR(__xludf.DUMMYFUNCTION("GOOGLEFINANCE(""ASX:OLH"", ""price"")"),0.01)</f>
        <v>0.01</v>
      </c>
      <c r="E1609" s="8">
        <f>IFERROR(__xludf.DUMMYFUNCTION("GOOGLEFINANCE(""ASX:OLH"", ""closeyest"")"),0.01)</f>
        <v>0.01</v>
      </c>
      <c r="F1609" s="5" t="str">
        <f>IFERROR(__xludf.DUMMYFUNCTION("GOOGLEFINANCE(""ASX:OLH"", ""pe"")"),"#N/A")</f>
        <v>#N/A</v>
      </c>
      <c r="G1609" s="9">
        <f>IFERROR(__xludf.DUMMYFUNCTION("GOOGLEFINANCE(""ASX:OLH"", ""high52"")"),0.07)</f>
        <v>0.07</v>
      </c>
      <c r="H1609" s="9">
        <f>IFERROR(__xludf.DUMMYFUNCTION("GOOGLEFINANCE(""ASX:OLH"", ""low52"")"),0.01)</f>
        <v>0.01</v>
      </c>
      <c r="I1609" s="9">
        <f>IFERROR(__xludf.DUMMYFUNCTION("GOOGLEFINANCE(""ASX:OLH"", ""marketcap"")"),2982830.0)</f>
        <v>2982830</v>
      </c>
      <c r="J1609" s="5"/>
      <c r="K1609" s="5"/>
      <c r="L1609" s="5"/>
      <c r="M1609" s="5"/>
      <c r="N1609" s="11" t="s">
        <v>19</v>
      </c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>
      <c r="A1610" s="6" t="s">
        <v>3213</v>
      </c>
      <c r="B1610" s="6" t="s">
        <v>3214</v>
      </c>
      <c r="C1610" s="5" t="s">
        <v>399</v>
      </c>
      <c r="D1610" s="7">
        <f>IFERROR(__xludf.DUMMYFUNCTION("GOOGLEFINANCE(""ASX:OLI"", ""price"")"),0.01)</f>
        <v>0.01</v>
      </c>
      <c r="E1610" s="8">
        <f>IFERROR(__xludf.DUMMYFUNCTION("GOOGLEFINANCE(""ASX:OLI"", ""closeyest"")"),0.01)</f>
        <v>0.01</v>
      </c>
      <c r="F1610" s="5" t="str">
        <f>IFERROR(__xludf.DUMMYFUNCTION("GOOGLEFINANCE(""ASX:OLI"", ""pe"")"),"#N/A")</f>
        <v>#N/A</v>
      </c>
      <c r="G1610" s="9">
        <f>IFERROR(__xludf.DUMMYFUNCTION("GOOGLEFINANCE(""ASX:OLI"", ""high52"")"),0.02)</f>
        <v>0.02</v>
      </c>
      <c r="H1610" s="9">
        <f>IFERROR(__xludf.DUMMYFUNCTION("GOOGLEFINANCE(""ASX:OLI"", ""low52"")"),0.0)</f>
        <v>0</v>
      </c>
      <c r="I1610" s="9">
        <f>IFERROR(__xludf.DUMMYFUNCTION("GOOGLEFINANCE(""ASX:OLI"", ""marketcap"")"),4325859.0)</f>
        <v>4325859</v>
      </c>
      <c r="J1610" s="5"/>
      <c r="K1610" s="5"/>
      <c r="L1610" s="5"/>
      <c r="M1610" s="5"/>
      <c r="N1610" s="11" t="s">
        <v>19</v>
      </c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>
      <c r="A1611" s="6" t="s">
        <v>3215</v>
      </c>
      <c r="B1611" s="6" t="s">
        <v>3216</v>
      </c>
      <c r="C1611" s="5" t="s">
        <v>15</v>
      </c>
      <c r="D1611" s="7">
        <f>IFERROR(__xludf.DUMMYFUNCTION("GOOGLEFINANCE(""ASX:OLL"", ""price"")"),0.04)</f>
        <v>0.04</v>
      </c>
      <c r="E1611" s="8">
        <f>IFERROR(__xludf.DUMMYFUNCTION("GOOGLEFINANCE(""ASX:OLL"", ""closeyest"")"),0.04)</f>
        <v>0.04</v>
      </c>
      <c r="F1611" s="5" t="str">
        <f>IFERROR(__xludf.DUMMYFUNCTION("GOOGLEFINANCE(""ASX:OLL"", ""pe"")"),"#N/A")</f>
        <v>#N/A</v>
      </c>
      <c r="G1611" s="9">
        <f>IFERROR(__xludf.DUMMYFUNCTION("GOOGLEFINANCE(""ASX:OLL"", ""high52"")"),0.05)</f>
        <v>0.05</v>
      </c>
      <c r="H1611" s="9">
        <f>IFERROR(__xludf.DUMMYFUNCTION("GOOGLEFINANCE(""ASX:OLL"", ""low52"")"),0.01)</f>
        <v>0.01</v>
      </c>
      <c r="I1611" s="9">
        <f>IFERROR(__xludf.DUMMYFUNCTION("GOOGLEFINANCE(""ASX:OLL"", ""marketcap"")"),2.5337004E7)</f>
        <v>25337004</v>
      </c>
      <c r="J1611" s="5"/>
      <c r="K1611" s="5"/>
      <c r="L1611" s="5"/>
      <c r="M1611" s="5"/>
      <c r="N1611" s="11" t="s">
        <v>19</v>
      </c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>
      <c r="A1612" s="6" t="s">
        <v>3217</v>
      </c>
      <c r="B1612" s="6" t="s">
        <v>3218</v>
      </c>
      <c r="C1612" s="5" t="s">
        <v>18</v>
      </c>
      <c r="D1612" s="7">
        <f>IFERROR(__xludf.DUMMYFUNCTION("GOOGLEFINANCE(""ASX:OLY"", ""price"")"),0.07)</f>
        <v>0.07</v>
      </c>
      <c r="E1612" s="8">
        <f>IFERROR(__xludf.DUMMYFUNCTION("GOOGLEFINANCE(""ASX:OLY"", ""closeyest"")"),0.07)</f>
        <v>0.07</v>
      </c>
      <c r="F1612" s="5" t="str">
        <f>IFERROR(__xludf.DUMMYFUNCTION("GOOGLEFINANCE(""ASX:OLY"", ""pe"")"),"#N/A")</f>
        <v>#N/A</v>
      </c>
      <c r="G1612" s="9">
        <f>IFERROR(__xludf.DUMMYFUNCTION("GOOGLEFINANCE(""ASX:OLY"", ""high52"")"),0.19)</f>
        <v>0.19</v>
      </c>
      <c r="H1612" s="9">
        <f>IFERROR(__xludf.DUMMYFUNCTION("GOOGLEFINANCE(""ASX:OLY"", ""low52"")"),0.03)</f>
        <v>0.03</v>
      </c>
      <c r="I1612" s="9">
        <f>IFERROR(__xludf.DUMMYFUNCTION("GOOGLEFINANCE(""ASX:OLY"", ""marketcap"")"),7856339.0)</f>
        <v>7856339</v>
      </c>
      <c r="J1612" s="5"/>
      <c r="K1612" s="5"/>
      <c r="L1612" s="5"/>
      <c r="M1612" s="5"/>
      <c r="N1612" s="11" t="s">
        <v>19</v>
      </c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>
      <c r="A1613" s="6" t="s">
        <v>3219</v>
      </c>
      <c r="B1613" s="6" t="s">
        <v>3220</v>
      </c>
      <c r="C1613" s="5" t="s">
        <v>18</v>
      </c>
      <c r="D1613" s="7">
        <f>IFERROR(__xludf.DUMMYFUNCTION("GOOGLEFINANCE(""ASX:OM1"", ""price"")"),0.02)</f>
        <v>0.02</v>
      </c>
      <c r="E1613" s="8">
        <f>IFERROR(__xludf.DUMMYFUNCTION("GOOGLEFINANCE(""ASX:OM1"", ""closeyest"")"),0.02)</f>
        <v>0.02</v>
      </c>
      <c r="F1613" s="5" t="str">
        <f>IFERROR(__xludf.DUMMYFUNCTION("GOOGLEFINANCE(""ASX:OM1"", ""pe"")"),"#N/A")</f>
        <v>#N/A</v>
      </c>
      <c r="G1613" s="9">
        <f>IFERROR(__xludf.DUMMYFUNCTION("GOOGLEFINANCE(""ASX:OM1"", ""high52"")"),0.03)</f>
        <v>0.03</v>
      </c>
      <c r="H1613" s="9">
        <f>IFERROR(__xludf.DUMMYFUNCTION("GOOGLEFINANCE(""ASX:OM1"", ""low52"")"),0.01)</f>
        <v>0.01</v>
      </c>
      <c r="I1613" s="9">
        <f>IFERROR(__xludf.DUMMYFUNCTION("GOOGLEFINANCE(""ASX:OM1"", ""marketcap"")"),7991724.0)</f>
        <v>7991724</v>
      </c>
      <c r="J1613" s="5"/>
      <c r="K1613" s="5"/>
      <c r="L1613" s="5"/>
      <c r="M1613" s="5"/>
      <c r="N1613" s="11" t="s">
        <v>19</v>
      </c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>
      <c r="A1614" s="6" t="s">
        <v>3221</v>
      </c>
      <c r="B1614" s="6" t="s">
        <v>3222</v>
      </c>
      <c r="C1614" s="5" t="s">
        <v>78</v>
      </c>
      <c r="D1614" s="7">
        <f>IFERROR(__xludf.DUMMYFUNCTION("GOOGLEFINANCE(""ASX:OMA"", ""price"")"),0.42)</f>
        <v>0.42</v>
      </c>
      <c r="E1614" s="8">
        <f>IFERROR(__xludf.DUMMYFUNCTION("GOOGLEFINANCE(""ASX:OMA"", ""closeyest"")"),0.42)</f>
        <v>0.42</v>
      </c>
      <c r="F1614" s="5" t="str">
        <f>IFERROR(__xludf.DUMMYFUNCTION("GOOGLEFINANCE(""ASX:OMA"", ""pe"")"),"#N/A")</f>
        <v>#N/A</v>
      </c>
      <c r="G1614" s="9">
        <f>IFERROR(__xludf.DUMMYFUNCTION("GOOGLEFINANCE(""ASX:OMA"", ""high52"")"),0.52)</f>
        <v>0.52</v>
      </c>
      <c r="H1614" s="9">
        <f>IFERROR(__xludf.DUMMYFUNCTION("GOOGLEFINANCE(""ASX:OMA"", ""low52"")"),0.2)</f>
        <v>0.2</v>
      </c>
      <c r="I1614" s="9">
        <f>IFERROR(__xludf.DUMMYFUNCTION("GOOGLEFINANCE(""ASX:OMA"", ""marketcap"")"),1.96611359E8)</f>
        <v>196611359</v>
      </c>
      <c r="J1614" s="5"/>
      <c r="K1614" s="5"/>
      <c r="L1614" s="5"/>
      <c r="M1614" s="5"/>
      <c r="N1614" s="11" t="s">
        <v>19</v>
      </c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>
      <c r="A1615" s="6" t="s">
        <v>3223</v>
      </c>
      <c r="B1615" s="6" t="s">
        <v>3224</v>
      </c>
      <c r="C1615" s="5" t="s">
        <v>98</v>
      </c>
      <c r="D1615" s="7">
        <f>IFERROR(__xludf.DUMMYFUNCTION("GOOGLEFINANCE(""ASX:OMG"", ""price"")"),0.01)</f>
        <v>0.01</v>
      </c>
      <c r="E1615" s="8">
        <f>IFERROR(__xludf.DUMMYFUNCTION("GOOGLEFINANCE(""ASX:OMG"", ""closeyest"")"),0.01)</f>
        <v>0.01</v>
      </c>
      <c r="F1615" s="5" t="str">
        <f>IFERROR(__xludf.DUMMYFUNCTION("GOOGLEFINANCE(""ASX:OMG"", ""pe"")"),"#N/A")</f>
        <v>#N/A</v>
      </c>
      <c r="G1615" s="9">
        <f>IFERROR(__xludf.DUMMYFUNCTION("GOOGLEFINANCE(""ASX:OMG"", ""high52"")"),0.02)</f>
        <v>0.02</v>
      </c>
      <c r="H1615" s="9">
        <f>IFERROR(__xludf.DUMMYFUNCTION("GOOGLEFINANCE(""ASX:OMG"", ""low52"")"),0.0)</f>
        <v>0</v>
      </c>
      <c r="I1615" s="9">
        <f>IFERROR(__xludf.DUMMYFUNCTION("GOOGLEFINANCE(""ASX:OMG"", ""marketcap"")"),7636634.0)</f>
        <v>7636634</v>
      </c>
      <c r="J1615" s="5"/>
      <c r="K1615" s="5"/>
      <c r="L1615" s="5"/>
      <c r="M1615" s="5"/>
      <c r="N1615" s="9" t="str">
        <f>IFERROR(__xludf.DUMMYFUNCTION("IFERROR(GOOGLEFINANCE(""ASX:OMG"", ""pe""), ""N/A"")"),"N/A")</f>
        <v>N/A</v>
      </c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>
      <c r="A1616" s="6" t="s">
        <v>3225</v>
      </c>
      <c r="B1616" s="6" t="s">
        <v>3226</v>
      </c>
      <c r="C1616" s="5" t="s">
        <v>39</v>
      </c>
      <c r="D1616" s="7">
        <f>IFERROR(__xludf.DUMMYFUNCTION("GOOGLEFINANCE(""ASX:OMH"", ""price"")"),0.29)</f>
        <v>0.29</v>
      </c>
      <c r="E1616" s="8">
        <f>IFERROR(__xludf.DUMMYFUNCTION("GOOGLEFINANCE(""ASX:OMH"", ""closeyest"")"),0.29)</f>
        <v>0.29</v>
      </c>
      <c r="F1616" s="5" t="str">
        <f>IFERROR(__xludf.DUMMYFUNCTION("GOOGLEFINANCE(""ASX:OMH"", ""pe"")"),"#N/A")</f>
        <v>#N/A</v>
      </c>
      <c r="G1616" s="9">
        <f>IFERROR(__xludf.DUMMYFUNCTION("GOOGLEFINANCE(""ASX:OMH"", ""high52"")"),0.38)</f>
        <v>0.38</v>
      </c>
      <c r="H1616" s="9">
        <f>IFERROR(__xludf.DUMMYFUNCTION("GOOGLEFINANCE(""ASX:OMH"", ""low52"")"),0.23)</f>
        <v>0.23</v>
      </c>
      <c r="I1616" s="9">
        <f>IFERROR(__xludf.DUMMYFUNCTION("GOOGLEFINANCE(""ASX:OMH"", ""marketcap"")"),2.18246308E8)</f>
        <v>218246308</v>
      </c>
      <c r="J1616" s="5"/>
      <c r="K1616" s="5"/>
      <c r="L1616" s="5"/>
      <c r="M1616" s="5"/>
      <c r="N1616" s="9" t="str">
        <f>IFERROR(__xludf.DUMMYFUNCTION("IFERROR(GOOGLEFINANCE(""ASX:OMH"", ""pe""), ""N/A"")"),"N/A")</f>
        <v>N/A</v>
      </c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>
      <c r="A1617" s="6" t="s">
        <v>3227</v>
      </c>
      <c r="B1617" s="6" t="s">
        <v>3228</v>
      </c>
      <c r="C1617" s="5" t="s">
        <v>1470</v>
      </c>
      <c r="D1617" s="7">
        <f>IFERROR(__xludf.DUMMYFUNCTION("GOOGLEFINANCE(""ASX:OML"", ""price"")"),1.31)</f>
        <v>1.31</v>
      </c>
      <c r="E1617" s="8">
        <f>IFERROR(__xludf.DUMMYFUNCTION("GOOGLEFINANCE(""ASX:OML"", ""closeyest"")"),1.31)</f>
        <v>1.31</v>
      </c>
      <c r="F1617" s="9">
        <f>IFERROR(__xludf.DUMMYFUNCTION("GOOGLEFINANCE(""ASX:OML"", ""pe"")"),35.63)</f>
        <v>35.63</v>
      </c>
      <c r="G1617" s="9">
        <f>IFERROR(__xludf.DUMMYFUNCTION("GOOGLEFINANCE(""ASX:OML"", ""high52"")"),1.83)</f>
        <v>1.83</v>
      </c>
      <c r="H1617" s="9">
        <f>IFERROR(__xludf.DUMMYFUNCTION("GOOGLEFINANCE(""ASX:OML"", ""low52"")"),1.11)</f>
        <v>1.11</v>
      </c>
      <c r="I1617" s="9">
        <f>IFERROR(__xludf.DUMMYFUNCTION("GOOGLEFINANCE(""ASX:OML"", ""marketcap"")"),7.05803341E8)</f>
        <v>705803341</v>
      </c>
      <c r="J1617" s="5"/>
      <c r="K1617" s="5"/>
      <c r="L1617" s="5"/>
      <c r="M1617" s="5"/>
      <c r="N1617" s="9">
        <f>IFERROR(__xludf.DUMMYFUNCTION("IFERROR(GOOGLEFINANCE(""ASX:OML"", ""pe""), ""N/A"")"),35.63)</f>
        <v>35.63</v>
      </c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>
      <c r="A1618" s="6" t="s">
        <v>3229</v>
      </c>
      <c r="B1618" s="6" t="s">
        <v>3230</v>
      </c>
      <c r="C1618" s="5" t="s">
        <v>18</v>
      </c>
      <c r="D1618" s="7">
        <f>IFERROR(__xludf.DUMMYFUNCTION("GOOGLEFINANCE(""ASX:OMX"", ""price"")"),0.08)</f>
        <v>0.08</v>
      </c>
      <c r="E1618" s="8">
        <f>IFERROR(__xludf.DUMMYFUNCTION("GOOGLEFINANCE(""ASX:OMX"", ""closeyest"")"),0.08)</f>
        <v>0.08</v>
      </c>
      <c r="F1618" s="5" t="str">
        <f>IFERROR(__xludf.DUMMYFUNCTION("GOOGLEFINANCE(""ASX:OMX"", ""pe"")"),"#N/A")</f>
        <v>#N/A</v>
      </c>
      <c r="G1618" s="9">
        <f>IFERROR(__xludf.DUMMYFUNCTION("GOOGLEFINANCE(""ASX:OMX"", ""high52"")"),0.12)</f>
        <v>0.12</v>
      </c>
      <c r="H1618" s="9">
        <f>IFERROR(__xludf.DUMMYFUNCTION("GOOGLEFINANCE(""ASX:OMX"", ""low52"")"),0.02)</f>
        <v>0.02</v>
      </c>
      <c r="I1618" s="9">
        <f>IFERROR(__xludf.DUMMYFUNCTION("GOOGLEFINANCE(""ASX:OMX"", ""marketcap"")"),1.2999814E7)</f>
        <v>12999814</v>
      </c>
      <c r="J1618" s="5"/>
      <c r="K1618" s="5"/>
      <c r="L1618" s="5"/>
      <c r="M1618" s="5"/>
      <c r="N1618" s="9" t="str">
        <f>IFERROR(__xludf.DUMMYFUNCTION("IFERROR(GOOGLEFINANCE(""ASX:OMX"", ""pe""), ""N/A"")"),"N/A")</f>
        <v>N/A</v>
      </c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>
      <c r="A1619" s="6" t="s">
        <v>3231</v>
      </c>
      <c r="B1619" s="6" t="s">
        <v>3232</v>
      </c>
      <c r="C1619" s="5" t="s">
        <v>15</v>
      </c>
      <c r="D1619" s="7">
        <f>IFERROR(__xludf.DUMMYFUNCTION("GOOGLEFINANCE(""ASX:ONE"", ""price"")"),0.38)</f>
        <v>0.38</v>
      </c>
      <c r="E1619" s="8">
        <f>IFERROR(__xludf.DUMMYFUNCTION("GOOGLEFINANCE(""ASX:ONE"", ""closeyest"")"),0.39)</f>
        <v>0.39</v>
      </c>
      <c r="F1619" s="5" t="str">
        <f>IFERROR(__xludf.DUMMYFUNCTION("GOOGLEFINANCE(""ASX:ONE"", ""pe"")"),"#N/A")</f>
        <v>#N/A</v>
      </c>
      <c r="G1619" s="9">
        <f>IFERROR(__xludf.DUMMYFUNCTION("GOOGLEFINANCE(""ASX:ONE"", ""high52"")"),0.4)</f>
        <v>0.4</v>
      </c>
      <c r="H1619" s="9">
        <f>IFERROR(__xludf.DUMMYFUNCTION("GOOGLEFINANCE(""ASX:ONE"", ""low52"")"),0.17)</f>
        <v>0.17</v>
      </c>
      <c r="I1619" s="9">
        <f>IFERROR(__xludf.DUMMYFUNCTION("GOOGLEFINANCE(""ASX:ONE"", ""marketcap"")"),2.8771125E8)</f>
        <v>287711250</v>
      </c>
      <c r="J1619" s="9">
        <v>0.004</v>
      </c>
      <c r="K1619" s="9">
        <v>0.004</v>
      </c>
      <c r="L1619" s="9">
        <v>0.018</v>
      </c>
      <c r="M1619" s="9">
        <v>0.002</v>
      </c>
      <c r="N1619" s="9" t="str">
        <f>IFERROR(__xludf.DUMMYFUNCTION("IFERROR(GOOGLEFINANCE(""ASX:ONE"", ""pe""), ""N/A"")"),"N/A")</f>
        <v>N/A</v>
      </c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>
      <c r="A1620" s="6" t="s">
        <v>3233</v>
      </c>
      <c r="B1620" s="6" t="s">
        <v>3234</v>
      </c>
      <c r="C1620" s="5" t="s">
        <v>36</v>
      </c>
      <c r="D1620" s="7">
        <f>IFERROR(__xludf.DUMMYFUNCTION("GOOGLEFINANCE(""ASX:OOO"", ""price"")"),4.97)</f>
        <v>4.97</v>
      </c>
      <c r="E1620" s="8">
        <f>IFERROR(__xludf.DUMMYFUNCTION("GOOGLEFINANCE(""ASX:OOO"", ""closeyest"")"),5.12)</f>
        <v>5.12</v>
      </c>
      <c r="F1620" s="5" t="str">
        <f>IFERROR(__xludf.DUMMYFUNCTION("GOOGLEFINANCE(""ASX:OOO"", ""pe"")"),"#N/A")</f>
        <v>#N/A</v>
      </c>
      <c r="G1620" s="9">
        <f>IFERROR(__xludf.DUMMYFUNCTION("GOOGLEFINANCE(""ASX:OOO"", ""high52"")"),6.32)</f>
        <v>6.32</v>
      </c>
      <c r="H1620" s="9">
        <f>IFERROR(__xludf.DUMMYFUNCTION("GOOGLEFINANCE(""ASX:OOO"", ""low52"")"),4.5)</f>
        <v>4.5</v>
      </c>
      <c r="I1620" s="9" t="str">
        <f>IFERROR(__xludf.DUMMYFUNCTION("GOOGLEFINANCE(""ASX:OOO"", ""marketcap"")"),"#N/A")</f>
        <v>#N/A</v>
      </c>
      <c r="J1620" s="5"/>
      <c r="K1620" s="5"/>
      <c r="L1620" s="5"/>
      <c r="M1620" s="5"/>
      <c r="N1620" s="9" t="str">
        <f>IFERROR(__xludf.DUMMYFUNCTION("IFERROR(GOOGLEFINANCE(""ASX:OOO"", ""pe""), ""N/A"")"),"N/A")</f>
        <v>N/A</v>
      </c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>
      <c r="A1621" s="6" t="s">
        <v>3235</v>
      </c>
      <c r="B1621" s="6" t="s">
        <v>3236</v>
      </c>
      <c r="C1621" s="5" t="s">
        <v>1838</v>
      </c>
      <c r="D1621" s="7">
        <f>IFERROR(__xludf.DUMMYFUNCTION("GOOGLEFINANCE(""ASX:OPH"", ""price"")"),3.21)</f>
        <v>3.21</v>
      </c>
      <c r="E1621" s="8">
        <f>IFERROR(__xludf.DUMMYFUNCTION("GOOGLEFINANCE(""ASX:OPH"", ""closeyest"")"),3.22)</f>
        <v>3.22</v>
      </c>
      <c r="F1621" s="9">
        <f>IFERROR(__xludf.DUMMYFUNCTION("GOOGLEFINANCE(""ASX:OPH"", ""pe"")"),4.62)</f>
        <v>4.62</v>
      </c>
      <c r="G1621" s="9">
        <f>IFERROR(__xludf.DUMMYFUNCTION("GOOGLEFINANCE(""ASX:OPH"", ""high52"")"),3.65)</f>
        <v>3.65</v>
      </c>
      <c r="H1621" s="9">
        <f>IFERROR(__xludf.DUMMYFUNCTION("GOOGLEFINANCE(""ASX:OPH"", ""low52"")"),2.57)</f>
        <v>2.57</v>
      </c>
      <c r="I1621" s="9">
        <f>IFERROR(__xludf.DUMMYFUNCTION("GOOGLEFINANCE(""ASX:OPH"", ""marketcap"")"),7.14541514E8)</f>
        <v>714541514</v>
      </c>
      <c r="J1621" s="5"/>
      <c r="K1621" s="5"/>
      <c r="L1621" s="5"/>
      <c r="M1621" s="5"/>
      <c r="N1621" s="9">
        <f>IFERROR(__xludf.DUMMYFUNCTION("IFERROR(GOOGLEFINANCE(""ASX:OPH"", ""pe""), ""N/A"")"),4.62)</f>
        <v>4.62</v>
      </c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>
      <c r="A1622" s="6" t="s">
        <v>3237</v>
      </c>
      <c r="B1622" s="6" t="s">
        <v>3238</v>
      </c>
      <c r="C1622" s="5" t="s">
        <v>70</v>
      </c>
      <c r="D1622" s="7">
        <f>IFERROR(__xludf.DUMMYFUNCTION("GOOGLEFINANCE(""ASX:OPN"", ""price"")"),0.01)</f>
        <v>0.01</v>
      </c>
      <c r="E1622" s="8">
        <f>IFERROR(__xludf.DUMMYFUNCTION("GOOGLEFINANCE(""ASX:OPN"", ""closeyest"")"),0.01)</f>
        <v>0.01</v>
      </c>
      <c r="F1622" s="9">
        <f>IFERROR(__xludf.DUMMYFUNCTION("GOOGLEFINANCE(""ASX:OPN"", ""pe"")"),0.78)</f>
        <v>0.78</v>
      </c>
      <c r="G1622" s="9">
        <f>IFERROR(__xludf.DUMMYFUNCTION("GOOGLEFINANCE(""ASX:OPN"", ""high52"")"),0.6)</f>
        <v>0.6</v>
      </c>
      <c r="H1622" s="9">
        <f>IFERROR(__xludf.DUMMYFUNCTION("GOOGLEFINANCE(""ASX:OPN"", ""low52"")"),0.5)</f>
        <v>0.5</v>
      </c>
      <c r="I1622" s="9">
        <f>IFERROR(__xludf.DUMMYFUNCTION("GOOGLEFINANCE(""ASX:OPN"", ""marketcap"")"),4065048.0)</f>
        <v>4065048</v>
      </c>
      <c r="J1622" s="5"/>
      <c r="K1622" s="5"/>
      <c r="L1622" s="5"/>
      <c r="M1622" s="5"/>
      <c r="N1622" s="9">
        <f>IFERROR(__xludf.DUMMYFUNCTION("IFERROR(GOOGLEFINANCE(""ASX:OPN"", ""pe""), ""N/A"")"),0.78)</f>
        <v>0.78</v>
      </c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>
      <c r="A1623" s="6" t="s">
        <v>3239</v>
      </c>
      <c r="B1623" s="6" t="s">
        <v>3240</v>
      </c>
      <c r="C1623" s="5" t="s">
        <v>25</v>
      </c>
      <c r="D1623" s="7">
        <f>IFERROR(__xludf.DUMMYFUNCTION("GOOGLEFINANCE(""ASX:OPT"", ""price"")"),0.6)</f>
        <v>0.6</v>
      </c>
      <c r="E1623" s="8">
        <f>IFERROR(__xludf.DUMMYFUNCTION("GOOGLEFINANCE(""ASX:OPT"", ""closeyest"")"),0.6)</f>
        <v>0.6</v>
      </c>
      <c r="F1623" s="5" t="str">
        <f>IFERROR(__xludf.DUMMYFUNCTION("GOOGLEFINANCE(""ASX:OPT"", ""pe"")"),"#N/A")</f>
        <v>#N/A</v>
      </c>
      <c r="G1623" s="9">
        <f>IFERROR(__xludf.DUMMYFUNCTION("GOOGLEFINANCE(""ASX:OPT"", ""high52"")"),1.17)</f>
        <v>1.17</v>
      </c>
      <c r="H1623" s="9">
        <f>IFERROR(__xludf.DUMMYFUNCTION("GOOGLEFINANCE(""ASX:OPT"", ""low52"")"),0.59)</f>
        <v>0.59</v>
      </c>
      <c r="I1623" s="9">
        <f>IFERROR(__xludf.DUMMYFUNCTION("GOOGLEFINANCE(""ASX:OPT"", ""marketcap"")"),1.10419768E8)</f>
        <v>110419768</v>
      </c>
      <c r="J1623" s="5"/>
      <c r="K1623" s="5"/>
      <c r="L1623" s="5"/>
      <c r="M1623" s="5"/>
      <c r="N1623" s="9" t="str">
        <f>IFERROR(__xludf.DUMMYFUNCTION("IFERROR(GOOGLEFINANCE(""ASX:OPT"", ""pe""), ""N/A"")"),"N/A")</f>
        <v>N/A</v>
      </c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>
      <c r="A1624" s="6" t="s">
        <v>3241</v>
      </c>
      <c r="B1624" s="6" t="s">
        <v>3242</v>
      </c>
      <c r="C1624" s="5" t="s">
        <v>18</v>
      </c>
      <c r="D1624" s="7">
        <f>IFERROR(__xludf.DUMMYFUNCTION("GOOGLEFINANCE(""ASX:OR3"", ""price"")"),0.06)</f>
        <v>0.06</v>
      </c>
      <c r="E1624" s="8">
        <f>IFERROR(__xludf.DUMMYFUNCTION("GOOGLEFINANCE(""ASX:OR3"", ""closeyest"")"),0.06)</f>
        <v>0.06</v>
      </c>
      <c r="F1624" s="5" t="str">
        <f>IFERROR(__xludf.DUMMYFUNCTION("GOOGLEFINANCE(""ASX:OR3"", ""pe"")"),"#N/A")</f>
        <v>#N/A</v>
      </c>
      <c r="G1624" s="9">
        <f>IFERROR(__xludf.DUMMYFUNCTION("GOOGLEFINANCE(""ASX:OR3"", ""high52"")"),0.07)</f>
        <v>0.07</v>
      </c>
      <c r="H1624" s="9">
        <f>IFERROR(__xludf.DUMMYFUNCTION("GOOGLEFINANCE(""ASX:OR3"", ""low52"")"),0.05)</f>
        <v>0.05</v>
      </c>
      <c r="I1624" s="9">
        <f>IFERROR(__xludf.DUMMYFUNCTION("GOOGLEFINANCE(""ASX:OR3"", ""marketcap"")"),4.5564909E7)</f>
        <v>45564909</v>
      </c>
      <c r="J1624" s="5"/>
      <c r="K1624" s="5"/>
      <c r="L1624" s="5"/>
      <c r="M1624" s="5"/>
      <c r="N1624" s="9" t="str">
        <f>IFERROR(__xludf.DUMMYFUNCTION("IFERROR(GOOGLEFINANCE(""ASX:OR3"", ""pe""), ""N/A"")"),"N/A")</f>
        <v>N/A</v>
      </c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>
      <c r="A1625" s="6" t="s">
        <v>3243</v>
      </c>
      <c r="B1625" s="6" t="s">
        <v>3244</v>
      </c>
      <c r="C1625" s="5" t="s">
        <v>375</v>
      </c>
      <c r="D1625" s="7">
        <f>IFERROR(__xludf.DUMMYFUNCTION("GOOGLEFINANCE(""ASX:ORA"", ""price"")"),2.22)</f>
        <v>2.22</v>
      </c>
      <c r="E1625" s="8">
        <f>IFERROR(__xludf.DUMMYFUNCTION("GOOGLEFINANCE(""ASX:ORA"", ""closeyest"")"),2.2)</f>
        <v>2.2</v>
      </c>
      <c r="F1625" s="9">
        <f>IFERROR(__xludf.DUMMYFUNCTION("GOOGLEFINANCE(""ASX:ORA"", ""pe"")"),44.76)</f>
        <v>44.76</v>
      </c>
      <c r="G1625" s="9">
        <f>IFERROR(__xludf.DUMMYFUNCTION("GOOGLEFINANCE(""ASX:ORA"", ""high52"")"),2.47)</f>
        <v>2.47</v>
      </c>
      <c r="H1625" s="9">
        <f>IFERROR(__xludf.DUMMYFUNCTION("GOOGLEFINANCE(""ASX:ORA"", ""low52"")"),1.66)</f>
        <v>1.66</v>
      </c>
      <c r="I1625" s="9">
        <f>IFERROR(__xludf.DUMMYFUNCTION("GOOGLEFINANCE(""ASX:ORA"", ""marketcap"")"),2.739000515E9)</f>
        <v>2739000515</v>
      </c>
      <c r="J1625" s="5"/>
      <c r="K1625" s="5"/>
      <c r="L1625" s="5"/>
      <c r="M1625" s="5"/>
      <c r="N1625" s="9">
        <f>IFERROR(__xludf.DUMMYFUNCTION("IFERROR(GOOGLEFINANCE(""ASX:ORA"", ""pe""), ""N/A"")"),44.76)</f>
        <v>44.76</v>
      </c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>
      <c r="A1626" s="6" t="s">
        <v>3245</v>
      </c>
      <c r="B1626" s="6" t="s">
        <v>3246</v>
      </c>
      <c r="C1626" s="5" t="s">
        <v>18</v>
      </c>
      <c r="D1626" s="7">
        <f>IFERROR(__xludf.DUMMYFUNCTION("GOOGLEFINANCE(""ASX:ORD"", ""price"")"),0.61)</f>
        <v>0.61</v>
      </c>
      <c r="E1626" s="8">
        <f>IFERROR(__xludf.DUMMYFUNCTION("GOOGLEFINANCE(""ASX:ORD"", ""closeyest"")"),0.62)</f>
        <v>0.62</v>
      </c>
      <c r="F1626" s="5" t="str">
        <f>IFERROR(__xludf.DUMMYFUNCTION("GOOGLEFINANCE(""ASX:ORD"", ""pe"")"),"#N/A")</f>
        <v>#N/A</v>
      </c>
      <c r="G1626" s="9">
        <f>IFERROR(__xludf.DUMMYFUNCTION("GOOGLEFINANCE(""ASX:ORD"", ""high52"")"),0.79)</f>
        <v>0.79</v>
      </c>
      <c r="H1626" s="9">
        <f>IFERROR(__xludf.DUMMYFUNCTION("GOOGLEFINANCE(""ASX:ORD"", ""low52"")"),0.28)</f>
        <v>0.28</v>
      </c>
      <c r="I1626" s="9">
        <f>IFERROR(__xludf.DUMMYFUNCTION("GOOGLEFINANCE(""ASX:ORD"", ""marketcap"")"),3.3771827E7)</f>
        <v>33771827</v>
      </c>
      <c r="J1626" s="5"/>
      <c r="K1626" s="5"/>
      <c r="L1626" s="5"/>
      <c r="M1626" s="5"/>
      <c r="N1626" s="9" t="str">
        <f>IFERROR(__xludf.DUMMYFUNCTION("IFERROR(GOOGLEFINANCE(""ASX:ORD"", ""pe""), ""N/A"")"),"N/A")</f>
        <v>N/A</v>
      </c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>
      <c r="A1627" s="6" t="s">
        <v>3247</v>
      </c>
      <c r="B1627" s="6" t="s">
        <v>3248</v>
      </c>
      <c r="C1627" s="5" t="s">
        <v>3040</v>
      </c>
      <c r="D1627" s="7">
        <f>IFERROR(__xludf.DUMMYFUNCTION("GOOGLEFINANCE(""ASX:ORE"", ""price"")"),2.05)</f>
        <v>2.05</v>
      </c>
      <c r="E1627" s="8">
        <f>IFERROR(__xludf.DUMMYFUNCTION("GOOGLEFINANCE(""ASX:ORE"", ""closeyest"")"),1.89)</f>
        <v>1.89</v>
      </c>
      <c r="F1627" s="5" t="str">
        <f>IFERROR(__xludf.DUMMYFUNCTION("GOOGLEFINANCE(""ASX:ORE"", ""pe"")"),"#N/A")</f>
        <v>#N/A</v>
      </c>
      <c r="G1627" s="9">
        <f>IFERROR(__xludf.DUMMYFUNCTION("GOOGLEFINANCE(""ASX:ORE"", ""high52"")"),2.12)</f>
        <v>2.12</v>
      </c>
      <c r="H1627" s="9">
        <f>IFERROR(__xludf.DUMMYFUNCTION("GOOGLEFINANCE(""ASX:ORE"", ""low52"")"),1.14)</f>
        <v>1.14</v>
      </c>
      <c r="I1627" s="9">
        <f>IFERROR(__xludf.DUMMYFUNCTION("GOOGLEFINANCE(""ASX:ORE"", ""marketcap"")"),1.306927244E9)</f>
        <v>1306927244</v>
      </c>
      <c r="J1627" s="5"/>
      <c r="K1627" s="5"/>
      <c r="L1627" s="5"/>
      <c r="M1627" s="5"/>
      <c r="N1627" s="9" t="str">
        <f>IFERROR(__xludf.DUMMYFUNCTION("IFERROR(GOOGLEFINANCE(""ASX:ORE"", ""pe""), ""N/A"")"),"N/A")</f>
        <v>N/A</v>
      </c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>
      <c r="A1628" s="6" t="s">
        <v>3249</v>
      </c>
      <c r="B1628" s="6" t="s">
        <v>3250</v>
      </c>
      <c r="C1628" s="5" t="s">
        <v>954</v>
      </c>
      <c r="D1628" s="7">
        <f>IFERROR(__xludf.DUMMYFUNCTION("GOOGLEFINANCE(""ASX:ORG"", ""price"")"),11.22)</f>
        <v>11.22</v>
      </c>
      <c r="E1628" s="8">
        <f>IFERROR(__xludf.DUMMYFUNCTION("GOOGLEFINANCE(""ASX:ORG"", ""closeyest"")"),11.2)</f>
        <v>11.2</v>
      </c>
      <c r="F1628" s="9">
        <f>IFERROR(__xludf.DUMMYFUNCTION("GOOGLEFINANCE(""ASX:ORG"", ""pe"")"),13.06)</f>
        <v>13.06</v>
      </c>
      <c r="G1628" s="9">
        <f>IFERROR(__xludf.DUMMYFUNCTION("GOOGLEFINANCE(""ASX:ORG"", ""high52"")"),13.13)</f>
        <v>13.13</v>
      </c>
      <c r="H1628" s="9">
        <f>IFERROR(__xludf.DUMMYFUNCTION("GOOGLEFINANCE(""ASX:ORG"", ""low52"")"),8.62)</f>
        <v>8.62</v>
      </c>
      <c r="I1628" s="9">
        <f>IFERROR(__xludf.DUMMYFUNCTION("GOOGLEFINANCE(""ASX:ORG"", ""marketcap"")"),1.93292218E10)</f>
        <v>19329221800</v>
      </c>
      <c r="J1628" s="5"/>
      <c r="K1628" s="5"/>
      <c r="L1628" s="5"/>
      <c r="M1628" s="5"/>
      <c r="N1628" s="9">
        <f>IFERROR(__xludf.DUMMYFUNCTION("IFERROR(GOOGLEFINANCE(""ASX:ORG"", ""pe""), ""N/A"")"),13.06)</f>
        <v>13.06</v>
      </c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>
      <c r="A1629" s="6" t="s">
        <v>3251</v>
      </c>
      <c r="B1629" s="6" t="s">
        <v>3252</v>
      </c>
      <c r="C1629" s="5" t="s">
        <v>106</v>
      </c>
      <c r="D1629" s="7">
        <f>IFERROR(__xludf.DUMMYFUNCTION("GOOGLEFINANCE(""ASX:ORI"", ""price"")"),25.88)</f>
        <v>25.88</v>
      </c>
      <c r="E1629" s="8">
        <f>IFERROR(__xludf.DUMMYFUNCTION("GOOGLEFINANCE(""ASX:ORI"", ""closeyest"")"),25.38)</f>
        <v>25.38</v>
      </c>
      <c r="F1629" s="9">
        <f>IFERROR(__xludf.DUMMYFUNCTION("GOOGLEFINANCE(""ASX:ORI"", ""pe"")"),78.01)</f>
        <v>78.01</v>
      </c>
      <c r="G1629" s="9">
        <f>IFERROR(__xludf.DUMMYFUNCTION("GOOGLEFINANCE(""ASX:ORI"", ""high52"")"),26.03)</f>
        <v>26.03</v>
      </c>
      <c r="H1629" s="9">
        <f>IFERROR(__xludf.DUMMYFUNCTION("GOOGLEFINANCE(""ASX:ORI"", ""low52"")"),14.88)</f>
        <v>14.88</v>
      </c>
      <c r="I1629" s="9">
        <f>IFERROR(__xludf.DUMMYFUNCTION("GOOGLEFINANCE(""ASX:ORI"", ""marketcap"")"),1.2079212692E10)</f>
        <v>12079212692</v>
      </c>
      <c r="J1629" s="5"/>
      <c r="K1629" s="5"/>
      <c r="L1629" s="5"/>
      <c r="M1629" s="5"/>
      <c r="N1629" s="9">
        <f>IFERROR(__xludf.DUMMYFUNCTION("IFERROR(GOOGLEFINANCE(""ASX:ORI"", ""pe""), ""N/A"")"),78.01)</f>
        <v>78.01</v>
      </c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>
      <c r="A1630" s="6" t="s">
        <v>3253</v>
      </c>
      <c r="B1630" s="6" t="s">
        <v>3254</v>
      </c>
      <c r="C1630" s="5" t="s">
        <v>18</v>
      </c>
      <c r="D1630" s="7">
        <f>IFERROR(__xludf.DUMMYFUNCTION("GOOGLEFINANCE(""ASX:ORN"", ""price"")"),0.02)</f>
        <v>0.02</v>
      </c>
      <c r="E1630" s="8">
        <f>IFERROR(__xludf.DUMMYFUNCTION("GOOGLEFINANCE(""ASX:ORN"", ""closeyest"")"),0.02)</f>
        <v>0.02</v>
      </c>
      <c r="F1630" s="5" t="str">
        <f>IFERROR(__xludf.DUMMYFUNCTION("GOOGLEFINANCE(""ASX:ORN"", ""pe"")"),"#N/A")</f>
        <v>#N/A</v>
      </c>
      <c r="G1630" s="9">
        <f>IFERROR(__xludf.DUMMYFUNCTION("GOOGLEFINANCE(""ASX:ORN"", ""high52"")"),0.03)</f>
        <v>0.03</v>
      </c>
      <c r="H1630" s="9">
        <f>IFERROR(__xludf.DUMMYFUNCTION("GOOGLEFINANCE(""ASX:ORN"", ""low52"")"),0.01)</f>
        <v>0.01</v>
      </c>
      <c r="I1630" s="9">
        <f>IFERROR(__xludf.DUMMYFUNCTION("GOOGLEFINANCE(""ASX:ORN"", ""marketcap"")"),1.96723485E8)</f>
        <v>196723485</v>
      </c>
      <c r="J1630" s="5"/>
      <c r="K1630" s="5"/>
      <c r="L1630" s="5"/>
      <c r="M1630" s="5"/>
      <c r="N1630" s="9" t="str">
        <f>IFERROR(__xludf.DUMMYFUNCTION("IFERROR(GOOGLEFINANCE(""ASX:ORN"", ""pe""), ""N/A"")"),"N/A")</f>
        <v>N/A</v>
      </c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>
      <c r="A1631" s="6" t="s">
        <v>3255</v>
      </c>
      <c r="B1631" s="6" t="s">
        <v>3256</v>
      </c>
      <c r="C1631" s="5" t="s">
        <v>28</v>
      </c>
      <c r="D1631" s="7">
        <f>IFERROR(__xludf.DUMMYFUNCTION("GOOGLEFINANCE(""ASX:ORP"", ""price"")"),0.05)</f>
        <v>0.05</v>
      </c>
      <c r="E1631" s="8">
        <f>IFERROR(__xludf.DUMMYFUNCTION("GOOGLEFINANCE(""ASX:ORP"", ""closeyest"")"),0.06)</f>
        <v>0.06</v>
      </c>
      <c r="F1631" s="5" t="str">
        <f>IFERROR(__xludf.DUMMYFUNCTION("GOOGLEFINANCE(""ASX:ORP"", ""pe"")"),"#N/A")</f>
        <v>#N/A</v>
      </c>
      <c r="G1631" s="9">
        <f>IFERROR(__xludf.DUMMYFUNCTION("GOOGLEFINANCE(""ASX:ORP"", ""high52"")"),0.06)</f>
        <v>0.06</v>
      </c>
      <c r="H1631" s="9">
        <f>IFERROR(__xludf.DUMMYFUNCTION("GOOGLEFINANCE(""ASX:ORP"", ""low52"")"),0.02)</f>
        <v>0.02</v>
      </c>
      <c r="I1631" s="9">
        <f>IFERROR(__xludf.DUMMYFUNCTION("GOOGLEFINANCE(""ASX:ORP"", ""marketcap"")"),1.5527144E7)</f>
        <v>15527144</v>
      </c>
      <c r="J1631" s="5"/>
      <c r="K1631" s="5"/>
      <c r="L1631" s="5"/>
      <c r="M1631" s="5"/>
      <c r="N1631" s="9" t="str">
        <f>IFERROR(__xludf.DUMMYFUNCTION("IFERROR(GOOGLEFINANCE(""ASX:ORP"", ""pe""), ""N/A"")"),"N/A")</f>
        <v>N/A</v>
      </c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>
      <c r="A1632" s="6" t="s">
        <v>3255</v>
      </c>
      <c r="B1632" s="6" t="s">
        <v>3256</v>
      </c>
      <c r="C1632" s="5" t="s">
        <v>28</v>
      </c>
      <c r="D1632" s="7">
        <f>IFERROR(__xludf.DUMMYFUNCTION("GOOGLEFINANCE(""ASX:ORP"", ""price"")"),0.05)</f>
        <v>0.05</v>
      </c>
      <c r="E1632" s="8">
        <f>IFERROR(__xludf.DUMMYFUNCTION("GOOGLEFINANCE(""ASX:ORP"", ""closeyest"")"),0.06)</f>
        <v>0.06</v>
      </c>
      <c r="F1632" s="5" t="str">
        <f>IFERROR(__xludf.DUMMYFUNCTION("GOOGLEFINANCE(""ASX:ORP"", ""pe"")"),"#N/A")</f>
        <v>#N/A</v>
      </c>
      <c r="G1632" s="9">
        <f>IFERROR(__xludf.DUMMYFUNCTION("GOOGLEFINANCE(""ASX:ORP"", ""high52"")"),0.06)</f>
        <v>0.06</v>
      </c>
      <c r="H1632" s="9">
        <f>IFERROR(__xludf.DUMMYFUNCTION("GOOGLEFINANCE(""ASX:ORP"", ""low52"")"),0.02)</f>
        <v>0.02</v>
      </c>
      <c r="I1632" s="9">
        <f>IFERROR(__xludf.DUMMYFUNCTION("GOOGLEFINANCE(""ASX:ORP"", ""marketcap"")"),1.5527144E7)</f>
        <v>15527144</v>
      </c>
      <c r="J1632" s="5"/>
      <c r="K1632" s="5"/>
      <c r="L1632" s="5"/>
      <c r="M1632" s="5"/>
      <c r="N1632" s="9" t="str">
        <f>IFERROR(__xludf.DUMMYFUNCTION("IFERROR(GOOGLEFINANCE(""ASX:ORP"", ""pe""), ""N/A"")"),"N/A")</f>
        <v>N/A</v>
      </c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>
      <c r="A1633" s="13" t="s">
        <v>3255</v>
      </c>
      <c r="B1633" s="13" t="s">
        <v>3256</v>
      </c>
      <c r="C1633" s="14" t="s">
        <v>28</v>
      </c>
      <c r="D1633" s="15">
        <f>IFERROR(__xludf.DUMMYFUNCTION("GOOGLEFINANCE(""ASX:ORP"", ""price"")"),0.05)</f>
        <v>0.05</v>
      </c>
      <c r="E1633" s="8">
        <f>IFERROR(__xludf.DUMMYFUNCTION("GOOGLEFINANCE(""ASX:ORP"", ""closeyest"")"),0.06)</f>
        <v>0.06</v>
      </c>
      <c r="F1633" s="5" t="str">
        <f>IFERROR(__xludf.DUMMYFUNCTION("GOOGLEFINANCE(""ASX:ORP"", ""pe"")"),"#N/A")</f>
        <v>#N/A</v>
      </c>
      <c r="G1633" s="9">
        <f>IFERROR(__xludf.DUMMYFUNCTION("GOOGLEFINANCE(""ASX:ORP"", ""high52"")"),0.06)</f>
        <v>0.06</v>
      </c>
      <c r="H1633" s="9">
        <f>IFERROR(__xludf.DUMMYFUNCTION("GOOGLEFINANCE(""ASX:ORP"", ""low52"")"),0.02)</f>
        <v>0.02</v>
      </c>
      <c r="I1633" s="9">
        <f>IFERROR(__xludf.DUMMYFUNCTION("GOOGLEFINANCE(""ASX:ORP"", ""marketcap"")"),1.5527144E7)</f>
        <v>15527144</v>
      </c>
      <c r="J1633" s="5"/>
      <c r="K1633" s="5"/>
      <c r="L1633" s="5"/>
      <c r="M1633" s="5"/>
      <c r="N1633" s="9" t="str">
        <f>IFERROR(__xludf.DUMMYFUNCTION("IFERROR(GOOGLEFINANCE(""ASX:ORP"", ""pe""), ""N/A"")"),"N/A")</f>
        <v>N/A</v>
      </c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>
      <c r="A1634" s="6" t="s">
        <v>3257</v>
      </c>
      <c r="B1634" s="6" t="s">
        <v>3258</v>
      </c>
      <c r="C1634" s="5" t="s">
        <v>174</v>
      </c>
      <c r="D1634" s="7">
        <f>IFERROR(__xludf.DUMMYFUNCTION("GOOGLEFINANCE(""ASX:OSL"", ""price"")"),0.86)</f>
        <v>0.86</v>
      </c>
      <c r="E1634" s="8">
        <f>IFERROR(__xludf.DUMMYFUNCTION("GOOGLEFINANCE(""ASX:OSL"", ""closeyest"")"),0.9)</f>
        <v>0.9</v>
      </c>
      <c r="F1634" s="5" t="str">
        <f>IFERROR(__xludf.DUMMYFUNCTION("GOOGLEFINANCE(""ASX:OSL"", ""pe"")"),"#N/A")</f>
        <v>#N/A</v>
      </c>
      <c r="G1634" s="9">
        <f>IFERROR(__xludf.DUMMYFUNCTION("GOOGLEFINANCE(""ASX:OSL"", ""high52"")"),2.8)</f>
        <v>2.8</v>
      </c>
      <c r="H1634" s="9">
        <f>IFERROR(__xludf.DUMMYFUNCTION("GOOGLEFINANCE(""ASX:OSL"", ""low52"")"),0.8)</f>
        <v>0.8</v>
      </c>
      <c r="I1634" s="9">
        <f>IFERROR(__xludf.DUMMYFUNCTION("GOOGLEFINANCE(""ASX:OSL"", ""marketcap"")"),1.6247352E7)</f>
        <v>16247352</v>
      </c>
      <c r="J1634" s="5"/>
      <c r="K1634" s="5"/>
      <c r="L1634" s="5"/>
      <c r="M1634" s="5"/>
      <c r="N1634" s="9" t="str">
        <f>IFERROR(__xludf.DUMMYFUNCTION("IFERROR(GOOGLEFINANCE(""ASX:OSL"", ""pe""), ""N/A"")"),"N/A")</f>
        <v>N/A</v>
      </c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>
      <c r="A1635" s="6" t="s">
        <v>3259</v>
      </c>
      <c r="B1635" s="6" t="s">
        <v>3260</v>
      </c>
      <c r="C1635" s="5" t="s">
        <v>18</v>
      </c>
      <c r="D1635" s="7">
        <f>IFERROR(__xludf.DUMMYFUNCTION("GOOGLEFINANCE(""ASX:OSM"", ""price"")"),0.7)</f>
        <v>0.7</v>
      </c>
      <c r="E1635" s="8">
        <f>IFERROR(__xludf.DUMMYFUNCTION("GOOGLEFINANCE(""ASX:OSM"", ""closeyest"")"),0.7)</f>
        <v>0.7</v>
      </c>
      <c r="F1635" s="5" t="str">
        <f>IFERROR(__xludf.DUMMYFUNCTION("GOOGLEFINANCE(""ASX:OSM"", ""pe"")"),"#N/A")</f>
        <v>#N/A</v>
      </c>
      <c r="G1635" s="9">
        <f>IFERROR(__xludf.DUMMYFUNCTION("GOOGLEFINANCE(""ASX:OSM"", ""high52"")"),1.12)</f>
        <v>1.12</v>
      </c>
      <c r="H1635" s="9">
        <f>IFERROR(__xludf.DUMMYFUNCTION("GOOGLEFINANCE(""ASX:OSM"", ""low52"")"),0.35)</f>
        <v>0.35</v>
      </c>
      <c r="I1635" s="9">
        <f>IFERROR(__xludf.DUMMYFUNCTION("GOOGLEFINANCE(""ASX:OSM"", ""marketcap"")"),8.8919528E7)</f>
        <v>88919528</v>
      </c>
      <c r="J1635" s="5"/>
      <c r="K1635" s="5"/>
      <c r="L1635" s="5"/>
      <c r="M1635" s="5"/>
      <c r="N1635" s="9" t="str">
        <f>IFERROR(__xludf.DUMMYFUNCTION("IFERROR(GOOGLEFINANCE(""ASX:OSM"", ""pe""), ""N/A"")"),"N/A")</f>
        <v>N/A</v>
      </c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>
      <c r="A1636" s="6" t="s">
        <v>3261</v>
      </c>
      <c r="B1636" s="6" t="s">
        <v>3262</v>
      </c>
      <c r="C1636" s="5" t="s">
        <v>276</v>
      </c>
      <c r="D1636" s="7">
        <f>IFERROR(__xludf.DUMMYFUNCTION("GOOGLEFINANCE(""ASX:OSX"", ""price"")"),0.01)</f>
        <v>0.01</v>
      </c>
      <c r="E1636" s="8">
        <f>IFERROR(__xludf.DUMMYFUNCTION("GOOGLEFINANCE(""ASX:OSX"", ""closeyest"")"),0.01)</f>
        <v>0.01</v>
      </c>
      <c r="F1636" s="5" t="str">
        <f>IFERROR(__xludf.DUMMYFUNCTION("GOOGLEFINANCE(""ASX:OSX"", ""pe"")"),"#N/A")</f>
        <v>#N/A</v>
      </c>
      <c r="G1636" s="9">
        <f>IFERROR(__xludf.DUMMYFUNCTION("GOOGLEFINANCE(""ASX:OSX"", ""high52"")"),0.05)</f>
        <v>0.05</v>
      </c>
      <c r="H1636" s="9">
        <f>IFERROR(__xludf.DUMMYFUNCTION("GOOGLEFINANCE(""ASX:OSX"", ""low52"")"),0.01)</f>
        <v>0.01</v>
      </c>
      <c r="I1636" s="9">
        <f>IFERROR(__xludf.DUMMYFUNCTION("GOOGLEFINANCE(""ASX:OSX"", ""marketcap"")"),1062756.0)</f>
        <v>1062756</v>
      </c>
      <c r="J1636" s="5"/>
      <c r="K1636" s="5"/>
      <c r="L1636" s="5"/>
      <c r="M1636" s="5"/>
      <c r="N1636" s="9" t="str">
        <f>IFERROR(__xludf.DUMMYFUNCTION("IFERROR(GOOGLEFINANCE(""ASX:OSX"", ""pe""), ""N/A"")"),"N/A")</f>
        <v>N/A</v>
      </c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>
      <c r="A1637" s="6" t="s">
        <v>3263</v>
      </c>
      <c r="B1637" s="6" t="s">
        <v>3264</v>
      </c>
      <c r="C1637" s="5" t="s">
        <v>33</v>
      </c>
      <c r="D1637" s="7">
        <f>IFERROR(__xludf.DUMMYFUNCTION("GOOGLEFINANCE(""ASX:OVT"", ""price"")"),0.0)</f>
        <v>0</v>
      </c>
      <c r="E1637" s="8">
        <f>IFERROR(__xludf.DUMMYFUNCTION("GOOGLEFINANCE(""ASX:OVT"", ""closeyest"")"),0.0)</f>
        <v>0</v>
      </c>
      <c r="F1637" s="5" t="str">
        <f>IFERROR(__xludf.DUMMYFUNCTION("GOOGLEFINANCE(""ASX:OVT"", ""pe"")"),"#N/A")</f>
        <v>#N/A</v>
      </c>
      <c r="G1637" s="9">
        <f>IFERROR(__xludf.DUMMYFUNCTION("GOOGLEFINANCE(""ASX:OVT"", ""high52"")"),0.02)</f>
        <v>0.02</v>
      </c>
      <c r="H1637" s="9">
        <f>IFERROR(__xludf.DUMMYFUNCTION("GOOGLEFINANCE(""ASX:OVT"", ""low52"")"),0.0)</f>
        <v>0</v>
      </c>
      <c r="I1637" s="9">
        <f>IFERROR(__xludf.DUMMYFUNCTION("GOOGLEFINANCE(""ASX:OVT"", ""marketcap"")"),8273685.0)</f>
        <v>8273685</v>
      </c>
      <c r="J1637" s="12">
        <v>0.003</v>
      </c>
      <c r="K1637" s="12">
        <v>0.0025</v>
      </c>
      <c r="L1637" s="12">
        <v>0.023</v>
      </c>
      <c r="M1637" s="12">
        <v>0.002</v>
      </c>
      <c r="N1637" s="9" t="str">
        <f>IFERROR(__xludf.DUMMYFUNCTION("IFERROR(GOOGLEFINANCE(""ASX:OVT"", ""pe""), ""N/A"")"),"N/A")</f>
        <v>N/A</v>
      </c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>
      <c r="A1638" s="6" t="s">
        <v>3265</v>
      </c>
      <c r="B1638" s="6" t="s">
        <v>3266</v>
      </c>
      <c r="C1638" s="5" t="s">
        <v>36</v>
      </c>
      <c r="D1638" s="7">
        <f>IFERROR(__xludf.DUMMYFUNCTION("GOOGLEFINANCE(""ASX:OZBD"", ""price"")"),44.08)</f>
        <v>44.08</v>
      </c>
      <c r="E1638" s="8">
        <f>IFERROR(__xludf.DUMMYFUNCTION("GOOGLEFINANCE(""ASX:OZBD"", ""closeyest"")"),44.03)</f>
        <v>44.03</v>
      </c>
      <c r="F1638" s="5" t="str">
        <f>IFERROR(__xludf.DUMMYFUNCTION("GOOGLEFINANCE(""ASX:OZBD"", ""pe"")"),"#N/A")</f>
        <v>#N/A</v>
      </c>
      <c r="G1638" s="9">
        <f>IFERROR(__xludf.DUMMYFUNCTION("GOOGLEFINANCE(""ASX:OZBD"", ""high52"")"),45.83)</f>
        <v>45.83</v>
      </c>
      <c r="H1638" s="9">
        <f>IFERROR(__xludf.DUMMYFUNCTION("GOOGLEFINANCE(""ASX:OZBD"", ""low52"")"),43.6)</f>
        <v>43.6</v>
      </c>
      <c r="I1638" s="9" t="str">
        <f>IFERROR(__xludf.DUMMYFUNCTION("GOOGLEFINANCE(""ASX:OZBD"", ""marketcap"")"),"#N/A")</f>
        <v>#N/A</v>
      </c>
      <c r="J1638" s="5"/>
      <c r="K1638" s="5"/>
      <c r="L1638" s="5"/>
      <c r="M1638" s="5"/>
      <c r="N1638" s="9" t="str">
        <f>IFERROR(__xludf.DUMMYFUNCTION("IFERROR(GOOGLEFINANCE(""ASX:OZBD"", ""pe""), ""N/A"")"),"N/A")</f>
        <v>N/A</v>
      </c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>
      <c r="A1639" s="6" t="s">
        <v>3267</v>
      </c>
      <c r="B1639" s="6" t="s">
        <v>3268</v>
      </c>
      <c r="C1639" s="5" t="s">
        <v>36</v>
      </c>
      <c r="D1639" s="7">
        <f>IFERROR(__xludf.DUMMYFUNCTION("GOOGLEFINANCE(""ASX:OZF"", ""price"")"),28.89)</f>
        <v>28.89</v>
      </c>
      <c r="E1639" s="8">
        <f>IFERROR(__xludf.DUMMYFUNCTION("GOOGLEFINANCE(""ASX:OZF"", ""closeyest"")"),29.21)</f>
        <v>29.21</v>
      </c>
      <c r="F1639" s="5" t="str">
        <f>IFERROR(__xludf.DUMMYFUNCTION("GOOGLEFINANCE(""ASX:OZF"", ""pe"")"),"#N/A")</f>
        <v>#N/A</v>
      </c>
      <c r="G1639" s="9">
        <f>IFERROR(__xludf.DUMMYFUNCTION("GOOGLEFINANCE(""ASX:OZF"", ""high52"")"),32.11)</f>
        <v>32.11</v>
      </c>
      <c r="H1639" s="9">
        <f>IFERROR(__xludf.DUMMYFUNCTION("GOOGLEFINANCE(""ASX:OZF"", ""low52"")"),24.43)</f>
        <v>24.43</v>
      </c>
      <c r="I1639" s="9" t="str">
        <f>IFERROR(__xludf.DUMMYFUNCTION("GOOGLEFINANCE(""ASX:OZF"", ""marketcap"")"),"#N/A")</f>
        <v>#N/A</v>
      </c>
      <c r="J1639" s="9">
        <v>15.67</v>
      </c>
      <c r="K1639" s="9">
        <v>15.67</v>
      </c>
      <c r="L1639" s="9">
        <v>40.3</v>
      </c>
      <c r="M1639" s="9">
        <v>14.42</v>
      </c>
      <c r="N1639" s="9" t="str">
        <f>IFERROR(__xludf.DUMMYFUNCTION("IFERROR(GOOGLEFINANCE(""ASX:OZF"", ""pe""), ""N/A"")"),"N/A")</f>
        <v>N/A</v>
      </c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>
      <c r="A1640" s="6" t="s">
        <v>3269</v>
      </c>
      <c r="B1640" s="6" t="s">
        <v>3270</v>
      </c>
      <c r="C1640" s="5" t="s">
        <v>88</v>
      </c>
      <c r="D1640" s="7">
        <f>IFERROR(__xludf.DUMMYFUNCTION("GOOGLEFINANCE(""ASX:OZM"", ""price"")"),0.06)</f>
        <v>0.06</v>
      </c>
      <c r="E1640" s="8">
        <f>IFERROR(__xludf.DUMMYFUNCTION("GOOGLEFINANCE(""ASX:OZM"", ""closeyest"")"),0.06)</f>
        <v>0.06</v>
      </c>
      <c r="F1640" s="5" t="str">
        <f>IFERROR(__xludf.DUMMYFUNCTION("GOOGLEFINANCE(""ASX:OZM"", ""pe"")"),"#N/A")</f>
        <v>#N/A</v>
      </c>
      <c r="G1640" s="9">
        <f>IFERROR(__xludf.DUMMYFUNCTION("GOOGLEFINANCE(""ASX:OZM"", ""high52"")"),0.18)</f>
        <v>0.18</v>
      </c>
      <c r="H1640" s="9">
        <f>IFERROR(__xludf.DUMMYFUNCTION("GOOGLEFINANCE(""ASX:OZM"", ""low52"")"),0.03)</f>
        <v>0.03</v>
      </c>
      <c r="I1640" s="9">
        <f>IFERROR(__xludf.DUMMYFUNCTION("GOOGLEFINANCE(""ASX:OZM"", ""marketcap"")"),1.4673977E7)</f>
        <v>14673977</v>
      </c>
      <c r="J1640" s="5"/>
      <c r="K1640" s="5"/>
      <c r="L1640" s="5"/>
      <c r="M1640" s="5"/>
      <c r="N1640" s="9" t="str">
        <f>IFERROR(__xludf.DUMMYFUNCTION("IFERROR(GOOGLEFINANCE(""ASX:OZM"", ""pe""), ""N/A"")"),"N/A")</f>
        <v>N/A</v>
      </c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>
      <c r="A1641" s="6" t="s">
        <v>3271</v>
      </c>
      <c r="B1641" s="6" t="s">
        <v>3272</v>
      </c>
      <c r="C1641" s="5" t="s">
        <v>36</v>
      </c>
      <c r="D1641" s="7">
        <f>IFERROR(__xludf.DUMMYFUNCTION("GOOGLEFINANCE(""ASX:OZR"", ""price"")"),15.74)</f>
        <v>15.74</v>
      </c>
      <c r="E1641" s="8">
        <f>IFERROR(__xludf.DUMMYFUNCTION("GOOGLEFINANCE(""ASX:OZR"", ""closeyest"")"),15.61)</f>
        <v>15.61</v>
      </c>
      <c r="F1641" s="5" t="str">
        <f>IFERROR(__xludf.DUMMYFUNCTION("GOOGLEFINANCE(""ASX:OZR"", ""pe"")"),"#N/A")</f>
        <v>#N/A</v>
      </c>
      <c r="G1641" s="9">
        <f>IFERROR(__xludf.DUMMYFUNCTION("GOOGLEFINANCE(""ASX:OZR"", ""high52"")"),15.94)</f>
        <v>15.94</v>
      </c>
      <c r="H1641" s="9">
        <f>IFERROR(__xludf.DUMMYFUNCTION("GOOGLEFINANCE(""ASX:OZR"", ""low52"")"),10.12)</f>
        <v>10.12</v>
      </c>
      <c r="I1641" s="9" t="str">
        <f>IFERROR(__xludf.DUMMYFUNCTION("GOOGLEFINANCE(""ASX:OZR"", ""marketcap"")"),"#N/A")</f>
        <v>#N/A</v>
      </c>
      <c r="J1641" s="5"/>
      <c r="K1641" s="5"/>
      <c r="L1641" s="5"/>
      <c r="M1641" s="5"/>
      <c r="N1641" s="9" t="str">
        <f>IFERROR(__xludf.DUMMYFUNCTION("IFERROR(GOOGLEFINANCE(""ASX:OZR"", ""pe""), ""N/A"")"),"N/A")</f>
        <v>N/A</v>
      </c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>
      <c r="A1642" s="6" t="s">
        <v>3273</v>
      </c>
      <c r="B1642" s="6" t="s">
        <v>3274</v>
      </c>
      <c r="C1642" s="5" t="s">
        <v>36</v>
      </c>
      <c r="D1642" s="7">
        <f>IFERROR(__xludf.DUMMYFUNCTION("GOOGLEFINANCE(""ASX:OZXX"", ""price"")"),10.44)</f>
        <v>10.44</v>
      </c>
      <c r="E1642" s="8">
        <f>IFERROR(__xludf.DUMMYFUNCTION("GOOGLEFINANCE(""ASX:OZXX"", ""closeyest"")"),10.37)</f>
        <v>10.37</v>
      </c>
      <c r="F1642" s="5" t="str">
        <f>IFERROR(__xludf.DUMMYFUNCTION("GOOGLEFINANCE(""ASX:OZXX"", ""pe"")"),"#N/A")</f>
        <v>#N/A</v>
      </c>
      <c r="G1642" s="9">
        <f>IFERROR(__xludf.DUMMYFUNCTION("GOOGLEFINANCE(""ASX:OZXX"", ""high52"")"),11.91)</f>
        <v>11.91</v>
      </c>
      <c r="H1642" s="9">
        <f>IFERROR(__xludf.DUMMYFUNCTION("GOOGLEFINANCE(""ASX:OZXX"", ""low52"")"),9.9)</f>
        <v>9.9</v>
      </c>
      <c r="I1642" s="9" t="str">
        <f>IFERROR(__xludf.DUMMYFUNCTION("GOOGLEFINANCE(""ASX:OZXX"", ""marketcap"")"),"#N/A")</f>
        <v>#N/A</v>
      </c>
      <c r="J1642" s="5"/>
      <c r="K1642" s="5"/>
      <c r="L1642" s="5"/>
      <c r="M1642" s="5"/>
      <c r="N1642" s="9" t="str">
        <f>IFERROR(__xludf.DUMMYFUNCTION("IFERROR(GOOGLEFINANCE(""ASX:OZXX"", ""pe""), ""N/A"")"),"N/A")</f>
        <v>N/A</v>
      </c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>
      <c r="A1643" s="6" t="s">
        <v>3275</v>
      </c>
      <c r="B1643" s="6" t="s">
        <v>3276</v>
      </c>
      <c r="C1643" s="5" t="s">
        <v>88</v>
      </c>
      <c r="D1643" s="7">
        <f>IFERROR(__xludf.DUMMYFUNCTION("GOOGLEFINANCE(""ASX:OZZ"", ""price"")"),0.06)</f>
        <v>0.06</v>
      </c>
      <c r="E1643" s="8">
        <f>IFERROR(__xludf.DUMMYFUNCTION("GOOGLEFINANCE(""ASX:OZZ"", ""closeyest"")"),0.06)</f>
        <v>0.06</v>
      </c>
      <c r="F1643" s="5" t="str">
        <f>IFERROR(__xludf.DUMMYFUNCTION("GOOGLEFINANCE(""ASX:OZZ"", ""pe"")"),"#N/A")</f>
        <v>#N/A</v>
      </c>
      <c r="G1643" s="9">
        <f>IFERROR(__xludf.DUMMYFUNCTION("GOOGLEFINANCE(""ASX:OZZ"", ""high52"")"),0.06)</f>
        <v>0.06</v>
      </c>
      <c r="H1643" s="9">
        <f>IFERROR(__xludf.DUMMYFUNCTION("GOOGLEFINANCE(""ASX:OZZ"", ""low52"")"),0.06)</f>
        <v>0.06</v>
      </c>
      <c r="I1643" s="9">
        <f>IFERROR(__xludf.DUMMYFUNCTION("GOOGLEFINANCE(""ASX:OZZ"", ""marketcap"")"),4834701.0)</f>
        <v>4834701</v>
      </c>
      <c r="J1643" s="5"/>
      <c r="K1643" s="5"/>
      <c r="L1643" s="5"/>
      <c r="M1643" s="5"/>
      <c r="N1643" s="9" t="str">
        <f>IFERROR(__xludf.DUMMYFUNCTION("IFERROR(GOOGLEFINANCE(""ASX:OZZ"", ""pe""), ""N/A"")"),"N/A")</f>
        <v>N/A</v>
      </c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>
      <c r="A1644" s="6" t="s">
        <v>3277</v>
      </c>
      <c r="B1644" s="6" t="s">
        <v>3278</v>
      </c>
      <c r="C1644" s="5" t="s">
        <v>1899</v>
      </c>
      <c r="D1644" s="7">
        <f>IFERROR(__xludf.DUMMYFUNCTION("GOOGLEFINANCE(""ASX:P1E"", ""price"")"),0.07)</f>
        <v>0.07</v>
      </c>
      <c r="E1644" s="8">
        <f>IFERROR(__xludf.DUMMYFUNCTION("GOOGLEFINANCE(""ASX:P1E"", ""closeyest"")"),0.07)</f>
        <v>0.07</v>
      </c>
      <c r="F1644" s="5" t="str">
        <f>IFERROR(__xludf.DUMMYFUNCTION("GOOGLEFINANCE(""ASX:P1E"", ""pe"")"),"#N/A")</f>
        <v>#N/A</v>
      </c>
      <c r="G1644" s="9">
        <f>IFERROR(__xludf.DUMMYFUNCTION("GOOGLEFINANCE(""ASX:P1E"", ""high52"")"),0.09)</f>
        <v>0.09</v>
      </c>
      <c r="H1644" s="9">
        <f>IFERROR(__xludf.DUMMYFUNCTION("GOOGLEFINANCE(""ASX:P1E"", ""low52"")"),0.07)</f>
        <v>0.07</v>
      </c>
      <c r="I1644" s="9">
        <f>IFERROR(__xludf.DUMMYFUNCTION("GOOGLEFINANCE(""ASX:P1E"", ""marketcap"")"),2.6951873E7)</f>
        <v>26951873</v>
      </c>
      <c r="J1644" s="5"/>
      <c r="K1644" s="5"/>
      <c r="L1644" s="5"/>
      <c r="M1644" s="5"/>
      <c r="N1644" s="9" t="str">
        <f>IFERROR(__xludf.DUMMYFUNCTION("IFERROR(GOOGLEFINANCE(""ASX:P1E"", ""pe""), ""N/A"")"),"N/A")</f>
        <v>N/A</v>
      </c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>
      <c r="A1645" s="6" t="s">
        <v>3279</v>
      </c>
      <c r="B1645" s="6" t="s">
        <v>3280</v>
      </c>
      <c r="C1645" s="5" t="s">
        <v>25</v>
      </c>
      <c r="D1645" s="7">
        <f>IFERROR(__xludf.DUMMYFUNCTION("GOOGLEFINANCE(""ASX:PAB"", ""price"")"),0.03)</f>
        <v>0.03</v>
      </c>
      <c r="E1645" s="8">
        <f>IFERROR(__xludf.DUMMYFUNCTION("GOOGLEFINANCE(""ASX:PAB"", ""closeyest"")"),0.03)</f>
        <v>0.03</v>
      </c>
      <c r="F1645" s="5" t="str">
        <f>IFERROR(__xludf.DUMMYFUNCTION("GOOGLEFINANCE(""ASX:PAB"", ""pe"")"),"#N/A")</f>
        <v>#N/A</v>
      </c>
      <c r="G1645" s="9">
        <f>IFERROR(__xludf.DUMMYFUNCTION("GOOGLEFINANCE(""ASX:PAB"", ""high52"")"),0.05)</f>
        <v>0.05</v>
      </c>
      <c r="H1645" s="9">
        <f>IFERROR(__xludf.DUMMYFUNCTION("GOOGLEFINANCE(""ASX:PAB"", ""low52"")"),0.01)</f>
        <v>0.01</v>
      </c>
      <c r="I1645" s="9">
        <f>IFERROR(__xludf.DUMMYFUNCTION("GOOGLEFINANCE(""ASX:PAB"", ""marketcap"")"),8279701.0)</f>
        <v>8279701</v>
      </c>
      <c r="J1645" s="5"/>
      <c r="K1645" s="5"/>
      <c r="L1645" s="5"/>
      <c r="M1645" s="5"/>
      <c r="N1645" s="9" t="str">
        <f>IFERROR(__xludf.DUMMYFUNCTION("IFERROR(GOOGLEFINANCE(""ASX:PAB"", ""pe""), ""N/A"")"),"N/A")</f>
        <v>N/A</v>
      </c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>
      <c r="A1646" s="6" t="s">
        <v>3281</v>
      </c>
      <c r="B1646" s="6" t="s">
        <v>3282</v>
      </c>
      <c r="C1646" s="5" t="s">
        <v>171</v>
      </c>
      <c r="D1646" s="7">
        <f>IFERROR(__xludf.DUMMYFUNCTION("GOOGLEFINANCE(""ASX:PAC"", ""price"")"),10.16)</f>
        <v>10.16</v>
      </c>
      <c r="E1646" s="8">
        <f>IFERROR(__xludf.DUMMYFUNCTION("GOOGLEFINANCE(""ASX:PAC"", ""closeyest"")"),9.99)</f>
        <v>9.99</v>
      </c>
      <c r="F1646" s="9">
        <f>IFERROR(__xludf.DUMMYFUNCTION("GOOGLEFINANCE(""ASX:PAC"", ""pe"")"),5.27)</f>
        <v>5.27</v>
      </c>
      <c r="G1646" s="9">
        <f>IFERROR(__xludf.DUMMYFUNCTION("GOOGLEFINANCE(""ASX:PAC"", ""high52"")"),12.14)</f>
        <v>12.14</v>
      </c>
      <c r="H1646" s="9">
        <f>IFERROR(__xludf.DUMMYFUNCTION("GOOGLEFINANCE(""ASX:PAC"", ""low52"")"),9.34)</f>
        <v>9.34</v>
      </c>
      <c r="I1646" s="9">
        <f>IFERROR(__xludf.DUMMYFUNCTION("GOOGLEFINANCE(""ASX:PAC"", ""marketcap"")"),3.04414423E8)</f>
        <v>304414423</v>
      </c>
      <c r="J1646" s="5"/>
      <c r="K1646" s="5"/>
      <c r="L1646" s="5"/>
      <c r="M1646" s="5"/>
      <c r="N1646" s="9">
        <f>IFERROR(__xludf.DUMMYFUNCTION("IFERROR(GOOGLEFINANCE(""ASX:PAC"", ""pe""), ""N/A"")"),5.27)</f>
        <v>5.27</v>
      </c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>
      <c r="A1647" s="6" t="s">
        <v>3283</v>
      </c>
      <c r="B1647" s="6" t="s">
        <v>3284</v>
      </c>
      <c r="C1647" s="5" t="s">
        <v>25</v>
      </c>
      <c r="D1647" s="7">
        <f>IFERROR(__xludf.DUMMYFUNCTION("GOOGLEFINANCE(""ASX:PAR"", ""price"")"),0.34)</f>
        <v>0.34</v>
      </c>
      <c r="E1647" s="8">
        <f>IFERROR(__xludf.DUMMYFUNCTION("GOOGLEFINANCE(""ASX:PAR"", ""closeyest"")"),0.36)</f>
        <v>0.36</v>
      </c>
      <c r="F1647" s="5" t="str">
        <f>IFERROR(__xludf.DUMMYFUNCTION("GOOGLEFINANCE(""ASX:PAR"", ""pe"")"),"#N/A")</f>
        <v>#N/A</v>
      </c>
      <c r="G1647" s="9">
        <f>IFERROR(__xludf.DUMMYFUNCTION("GOOGLEFINANCE(""ASX:PAR"", ""high52"")"),0.66)</f>
        <v>0.66</v>
      </c>
      <c r="H1647" s="9">
        <f>IFERROR(__xludf.DUMMYFUNCTION("GOOGLEFINANCE(""ASX:PAR"", ""low52"")"),0.26)</f>
        <v>0.26</v>
      </c>
      <c r="I1647" s="9">
        <f>IFERROR(__xludf.DUMMYFUNCTION("GOOGLEFINANCE(""ASX:PAR"", ""marketcap"")"),1.45696495E8)</f>
        <v>145696495</v>
      </c>
      <c r="J1647" s="5"/>
      <c r="K1647" s="5"/>
      <c r="L1647" s="5"/>
      <c r="M1647" s="5"/>
      <c r="N1647" s="9" t="str">
        <f>IFERROR(__xludf.DUMMYFUNCTION("IFERROR(GOOGLEFINANCE(""ASX:PAR"", ""pe""), ""N/A"")"),"N/A")</f>
        <v>N/A</v>
      </c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>
      <c r="A1648" s="6" t="s">
        <v>3285</v>
      </c>
      <c r="B1648" s="6" t="s">
        <v>3286</v>
      </c>
      <c r="C1648" s="5" t="s">
        <v>39</v>
      </c>
      <c r="D1648" s="7">
        <f>IFERROR(__xludf.DUMMYFUNCTION("GOOGLEFINANCE(""ASX:PAT"", ""price"")"),0.06)</f>
        <v>0.06</v>
      </c>
      <c r="E1648" s="8">
        <f>IFERROR(__xludf.DUMMYFUNCTION("GOOGLEFINANCE(""ASX:PAT"", ""closeyest"")"),0.06)</f>
        <v>0.06</v>
      </c>
      <c r="F1648" s="5" t="str">
        <f>IFERROR(__xludf.DUMMYFUNCTION("GOOGLEFINANCE(""ASX:PAT"", ""pe"")"),"#N/A")</f>
        <v>#N/A</v>
      </c>
      <c r="G1648" s="9">
        <f>IFERROR(__xludf.DUMMYFUNCTION("GOOGLEFINANCE(""ASX:PAT"", ""high52"")"),0.07)</f>
        <v>0.07</v>
      </c>
      <c r="H1648" s="9">
        <f>IFERROR(__xludf.DUMMYFUNCTION("GOOGLEFINANCE(""ASX:PAT"", ""low52"")"),0.03)</f>
        <v>0.03</v>
      </c>
      <c r="I1648" s="9">
        <f>IFERROR(__xludf.DUMMYFUNCTION("GOOGLEFINANCE(""ASX:PAT"", ""marketcap"")"),1.37283E7)</f>
        <v>13728300</v>
      </c>
      <c r="J1648" s="5"/>
      <c r="K1648" s="5"/>
      <c r="L1648" s="5"/>
      <c r="M1648" s="5"/>
      <c r="N1648" s="9" t="str">
        <f>IFERROR(__xludf.DUMMYFUNCTION("IFERROR(GOOGLEFINANCE(""ASX:PAT"", ""pe""), ""N/A"")"),"N/A")</f>
        <v>N/A</v>
      </c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>
      <c r="A1649" s="6" t="s">
        <v>3287</v>
      </c>
      <c r="B1649" s="6" t="s">
        <v>3288</v>
      </c>
      <c r="C1649" s="5" t="s">
        <v>36</v>
      </c>
      <c r="D1649" s="7">
        <f>IFERROR(__xludf.DUMMYFUNCTION("GOOGLEFINANCE(""ASX:PAVE"", ""price"")"),13.02)</f>
        <v>13.02</v>
      </c>
      <c r="E1649" s="8">
        <f>IFERROR(__xludf.DUMMYFUNCTION("GOOGLEFINANCE(""ASX:PAVE"", ""closeyest"")"),12.9)</f>
        <v>12.9</v>
      </c>
      <c r="F1649" s="5" t="str">
        <f>IFERROR(__xludf.DUMMYFUNCTION("GOOGLEFINANCE(""ASX:PAVE"", ""pe"")"),"#N/A")</f>
        <v>#N/A</v>
      </c>
      <c r="G1649" s="9">
        <f>IFERROR(__xludf.DUMMYFUNCTION("GOOGLEFINANCE(""ASX:PAVE"", ""high52"")"),13.12)</f>
        <v>13.12</v>
      </c>
      <c r="H1649" s="9">
        <f>IFERROR(__xludf.DUMMYFUNCTION("GOOGLEFINANCE(""ASX:PAVE"", ""low52"")"),9.51)</f>
        <v>9.51</v>
      </c>
      <c r="I1649" s="9" t="str">
        <f>IFERROR(__xludf.DUMMYFUNCTION("GOOGLEFINANCE(""ASX:PAVE"", ""marketcap"")"),"#N/A")</f>
        <v>#N/A</v>
      </c>
      <c r="J1649" s="5"/>
      <c r="K1649" s="5"/>
      <c r="L1649" s="5"/>
      <c r="M1649" s="5"/>
      <c r="N1649" s="9" t="str">
        <f>IFERROR(__xludf.DUMMYFUNCTION("IFERROR(GOOGLEFINANCE(""ASX:PAVE"", ""pe""), ""N/A"")"),"N/A")</f>
        <v>N/A</v>
      </c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>
      <c r="A1650" s="6" t="s">
        <v>3289</v>
      </c>
      <c r="B1650" s="6" t="s">
        <v>3290</v>
      </c>
      <c r="C1650" s="5" t="s">
        <v>36</v>
      </c>
      <c r="D1650" s="7" t="str">
        <f>IFERROR(__xludf.DUMMYFUNCTION("GOOGLEFINANCE(""ASX:PAXX"", ""price"")"),"#N/A")</f>
        <v>#N/A</v>
      </c>
      <c r="E1650" s="8" t="str">
        <f>IFERROR(__xludf.DUMMYFUNCTION("GOOGLEFINANCE(""ASX:PAXX"", ""closeyest"")"),"#N/A")</f>
        <v>#N/A</v>
      </c>
      <c r="F1650" s="5" t="str">
        <f>IFERROR(__xludf.DUMMYFUNCTION("GOOGLEFINANCE(""ASX:PAXX"", ""pe"")"),"#N/A")</f>
        <v>#N/A</v>
      </c>
      <c r="G1650" s="5" t="str">
        <f>IFERROR(__xludf.DUMMYFUNCTION("GOOGLEFINANCE(""ASX:PAXX"", ""high52"")"),"#N/A")</f>
        <v>#N/A</v>
      </c>
      <c r="H1650" s="5" t="str">
        <f>IFERROR(__xludf.DUMMYFUNCTION("GOOGLEFINANCE(""ASX:PAXX"", ""low52"")"),"#N/A")</f>
        <v>#N/A</v>
      </c>
      <c r="I1650" s="9" t="str">
        <f>IFERROR(__xludf.DUMMYFUNCTION("GOOGLEFINANCE(""ASX:PAXX"", ""marketcap"")"),"#N/A")</f>
        <v>#N/A</v>
      </c>
      <c r="J1650" s="12">
        <v>6.2</v>
      </c>
      <c r="K1650" s="12">
        <v>6.29</v>
      </c>
      <c r="L1650" s="12">
        <v>6.31</v>
      </c>
      <c r="M1650" s="12">
        <v>4.46</v>
      </c>
      <c r="N1650" s="9" t="str">
        <f>IFERROR(__xludf.DUMMYFUNCTION("IFERROR(GOOGLEFINANCE(""ASX:PAXX"", ""pe""), ""N/A"")"),"N/A")</f>
        <v>N/A</v>
      </c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>
      <c r="A1651" s="6" t="s">
        <v>3291</v>
      </c>
      <c r="B1651" s="6" t="s">
        <v>3292</v>
      </c>
      <c r="C1651" s="5" t="s">
        <v>259</v>
      </c>
      <c r="D1651" s="7">
        <f>IFERROR(__xludf.DUMMYFUNCTION("GOOGLEFINANCE(""ASX:PBH"", ""price"")"),0.92)</f>
        <v>0.92</v>
      </c>
      <c r="E1651" s="8">
        <f>IFERROR(__xludf.DUMMYFUNCTION("GOOGLEFINANCE(""ASX:PBH"", ""closeyest"")"),0.92)</f>
        <v>0.92</v>
      </c>
      <c r="F1651" s="5" t="str">
        <f>IFERROR(__xludf.DUMMYFUNCTION("GOOGLEFINANCE(""ASX:PBH"", ""pe"")"),"#N/A")</f>
        <v>#N/A</v>
      </c>
      <c r="G1651" s="9">
        <f>IFERROR(__xludf.DUMMYFUNCTION("GOOGLEFINANCE(""ASX:PBH"", ""high52"")"),1.32)</f>
        <v>1.32</v>
      </c>
      <c r="H1651" s="9">
        <f>IFERROR(__xludf.DUMMYFUNCTION("GOOGLEFINANCE(""ASX:PBH"", ""low52"")"),0.79)</f>
        <v>0.79</v>
      </c>
      <c r="I1651" s="9">
        <f>IFERROR(__xludf.DUMMYFUNCTION("GOOGLEFINANCE(""ASX:PBH"", ""marketcap"")"),3.16313219E8)</f>
        <v>316313219</v>
      </c>
      <c r="J1651" s="5"/>
      <c r="K1651" s="5"/>
      <c r="L1651" s="5"/>
      <c r="M1651" s="5"/>
      <c r="N1651" s="9" t="str">
        <f>IFERROR(__xludf.DUMMYFUNCTION("IFERROR(GOOGLEFINANCE(""ASX:PBH"", ""pe""), ""N/A"")"),"N/A")</f>
        <v>N/A</v>
      </c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>
      <c r="A1652" s="6" t="s">
        <v>3293</v>
      </c>
      <c r="B1652" s="6" t="s">
        <v>3294</v>
      </c>
      <c r="C1652" s="5" t="s">
        <v>18</v>
      </c>
      <c r="D1652" s="7">
        <f>IFERROR(__xludf.DUMMYFUNCTION("GOOGLEFINANCE(""ASX:PBL"", ""price"")"),0.08)</f>
        <v>0.08</v>
      </c>
      <c r="E1652" s="8">
        <f>IFERROR(__xludf.DUMMYFUNCTION("GOOGLEFINANCE(""ASX:PBL"", ""closeyest"")"),0.08)</f>
        <v>0.08</v>
      </c>
      <c r="F1652" s="5" t="str">
        <f>IFERROR(__xludf.DUMMYFUNCTION("GOOGLEFINANCE(""ASX:PBL"", ""pe"")"),"#N/A")</f>
        <v>#N/A</v>
      </c>
      <c r="G1652" s="9">
        <f>IFERROR(__xludf.DUMMYFUNCTION("GOOGLEFINANCE(""ASX:PBL"", ""high52"")"),0.12)</f>
        <v>0.12</v>
      </c>
      <c r="H1652" s="9">
        <f>IFERROR(__xludf.DUMMYFUNCTION("GOOGLEFINANCE(""ASX:PBL"", ""low52"")"),0.03)</f>
        <v>0.03</v>
      </c>
      <c r="I1652" s="9">
        <f>IFERROR(__xludf.DUMMYFUNCTION("GOOGLEFINANCE(""ASX:PBL"", ""marketcap"")"),4672500.0)</f>
        <v>4672500</v>
      </c>
      <c r="J1652" s="5"/>
      <c r="K1652" s="5"/>
      <c r="L1652" s="5"/>
      <c r="M1652" s="5"/>
      <c r="N1652" s="9" t="str">
        <f>IFERROR(__xludf.DUMMYFUNCTION("IFERROR(GOOGLEFINANCE(""ASX:PBL"", ""pe""), ""N/A"")"),"N/A")</f>
        <v>N/A</v>
      </c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>
      <c r="A1653" s="6" t="s">
        <v>3295</v>
      </c>
      <c r="B1653" s="6" t="s">
        <v>3296</v>
      </c>
      <c r="C1653" s="5" t="s">
        <v>88</v>
      </c>
      <c r="D1653" s="7">
        <f>IFERROR(__xludf.DUMMYFUNCTION("GOOGLEFINANCE(""ASX:PC2"", ""price"")"),0.38)</f>
        <v>0.38</v>
      </c>
      <c r="E1653" s="8">
        <f>IFERROR(__xludf.DUMMYFUNCTION("GOOGLEFINANCE(""ASX:PC2"", ""closeyest"")"),0.37)</f>
        <v>0.37</v>
      </c>
      <c r="F1653" s="5" t="str">
        <f>IFERROR(__xludf.DUMMYFUNCTION("GOOGLEFINANCE(""ASX:PC2"", ""pe"")"),"#N/A")</f>
        <v>#N/A</v>
      </c>
      <c r="G1653" s="9">
        <f>IFERROR(__xludf.DUMMYFUNCTION("GOOGLEFINANCE(""ASX:PC2"", ""high52"")"),0.4)</f>
        <v>0.4</v>
      </c>
      <c r="H1653" s="9">
        <f>IFERROR(__xludf.DUMMYFUNCTION("GOOGLEFINANCE(""ASX:PC2"", ""low52"")"),0.21)</f>
        <v>0.21</v>
      </c>
      <c r="I1653" s="9">
        <f>IFERROR(__xludf.DUMMYFUNCTION("GOOGLEFINANCE(""ASX:PC2"", ""marketcap"")"),5.9873331E7)</f>
        <v>59873331</v>
      </c>
      <c r="J1653" s="5"/>
      <c r="K1653" s="5"/>
      <c r="L1653" s="5"/>
      <c r="M1653" s="5"/>
      <c r="N1653" s="9" t="str">
        <f>IFERROR(__xludf.DUMMYFUNCTION("IFERROR(GOOGLEFINANCE(""ASX:PC2"", ""pe""), ""N/A"")"),"N/A")</f>
        <v>N/A</v>
      </c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>
      <c r="A1654" s="6" t="s">
        <v>3297</v>
      </c>
      <c r="B1654" s="6" t="s">
        <v>3298</v>
      </c>
      <c r="C1654" s="5" t="s">
        <v>171</v>
      </c>
      <c r="D1654" s="7">
        <f>IFERROR(__xludf.DUMMYFUNCTION("GOOGLEFINANCE(""ASX:PCG"", ""price"")"),0.66)</f>
        <v>0.66</v>
      </c>
      <c r="E1654" s="8">
        <f>IFERROR(__xludf.DUMMYFUNCTION("GOOGLEFINANCE(""ASX:PCG"", ""closeyest"")"),0.67)</f>
        <v>0.67</v>
      </c>
      <c r="F1654" s="9">
        <f>IFERROR(__xludf.DUMMYFUNCTION("GOOGLEFINANCE(""ASX:PCG"", ""pe"")"),23.41)</f>
        <v>23.41</v>
      </c>
      <c r="G1654" s="9">
        <f>IFERROR(__xludf.DUMMYFUNCTION("GOOGLEFINANCE(""ASX:PCG"", ""high52"")"),0.98)</f>
        <v>0.98</v>
      </c>
      <c r="H1654" s="9">
        <f>IFERROR(__xludf.DUMMYFUNCTION("GOOGLEFINANCE(""ASX:PCG"", ""low52"")"),0.65)</f>
        <v>0.65</v>
      </c>
      <c r="I1654" s="9">
        <f>IFERROR(__xludf.DUMMYFUNCTION("GOOGLEFINANCE(""ASX:PCG"", ""marketcap"")"),6.4009361E7)</f>
        <v>64009361</v>
      </c>
      <c r="J1654" s="5"/>
      <c r="K1654" s="5"/>
      <c r="L1654" s="5"/>
      <c r="M1654" s="5"/>
      <c r="N1654" s="9">
        <f>IFERROR(__xludf.DUMMYFUNCTION("IFERROR(GOOGLEFINANCE(""ASX:PCG"", ""pe""), ""N/A"")"),23.41)</f>
        <v>23.41</v>
      </c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>
      <c r="A1655" s="6" t="s">
        <v>3299</v>
      </c>
      <c r="B1655" s="6" t="s">
        <v>3300</v>
      </c>
      <c r="C1655" s="5" t="s">
        <v>1838</v>
      </c>
      <c r="D1655" s="7">
        <f>IFERROR(__xludf.DUMMYFUNCTION("GOOGLEFINANCE(""ASX:PCI"", ""price"")"),1.12)</f>
        <v>1.12</v>
      </c>
      <c r="E1655" s="8">
        <f>IFERROR(__xludf.DUMMYFUNCTION("GOOGLEFINANCE(""ASX:PCI"", ""closeyest"")"),1.12)</f>
        <v>1.12</v>
      </c>
      <c r="F1655" s="9">
        <f>IFERROR(__xludf.DUMMYFUNCTION("GOOGLEFINANCE(""ASX:PCI"", ""pe"")"),14.57)</f>
        <v>14.57</v>
      </c>
      <c r="G1655" s="9">
        <f>IFERROR(__xludf.DUMMYFUNCTION("GOOGLEFINANCE(""ASX:PCI"", ""high52"")"),1.23)</f>
        <v>1.23</v>
      </c>
      <c r="H1655" s="9">
        <f>IFERROR(__xludf.DUMMYFUNCTION("GOOGLEFINANCE(""ASX:PCI"", ""low52"")"),1.04)</f>
        <v>1.04</v>
      </c>
      <c r="I1655" s="9">
        <f>IFERROR(__xludf.DUMMYFUNCTION("GOOGLEFINANCE(""ASX:PCI"", ""marketcap"")"),8.14661571E8)</f>
        <v>814661571</v>
      </c>
      <c r="J1655" s="5"/>
      <c r="K1655" s="5"/>
      <c r="L1655" s="5"/>
      <c r="M1655" s="5"/>
      <c r="N1655" s="9">
        <f>IFERROR(__xludf.DUMMYFUNCTION("IFERROR(GOOGLEFINANCE(""ASX:PCI"", ""pe""), ""N/A"")"),14.57)</f>
        <v>14.57</v>
      </c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>
      <c r="A1656" s="6" t="s">
        <v>3301</v>
      </c>
      <c r="B1656" s="6" t="s">
        <v>3302</v>
      </c>
      <c r="C1656" s="5" t="s">
        <v>15</v>
      </c>
      <c r="D1656" s="7">
        <f>IFERROR(__xludf.DUMMYFUNCTION("GOOGLEFINANCE(""ASX:PCK"", ""price"")"),0.27)</f>
        <v>0.27</v>
      </c>
      <c r="E1656" s="8">
        <f>IFERROR(__xludf.DUMMYFUNCTION("GOOGLEFINANCE(""ASX:PCK"", ""closeyest"")"),0.28)</f>
        <v>0.28</v>
      </c>
      <c r="F1656" s="5" t="str">
        <f>IFERROR(__xludf.DUMMYFUNCTION("GOOGLEFINANCE(""ASX:PCK"", ""pe"")"),"#N/A")</f>
        <v>#N/A</v>
      </c>
      <c r="G1656" s="9">
        <f>IFERROR(__xludf.DUMMYFUNCTION("GOOGLEFINANCE(""ASX:PCK"", ""high52"")"),1.05)</f>
        <v>1.05</v>
      </c>
      <c r="H1656" s="9">
        <f>IFERROR(__xludf.DUMMYFUNCTION("GOOGLEFINANCE(""ASX:PCK"", ""low52"")"),0.26)</f>
        <v>0.26</v>
      </c>
      <c r="I1656" s="9">
        <f>IFERROR(__xludf.DUMMYFUNCTION("GOOGLEFINANCE(""ASX:PCK"", ""marketcap"")"),5.5491428E7)</f>
        <v>55491428</v>
      </c>
      <c r="J1656" s="5"/>
      <c r="K1656" s="5"/>
      <c r="L1656" s="5"/>
      <c r="M1656" s="5"/>
      <c r="N1656" s="9" t="str">
        <f>IFERROR(__xludf.DUMMYFUNCTION("IFERROR(GOOGLEFINANCE(""ASX:PCK"", ""pe""), ""N/A"")"),"N/A")</f>
        <v>N/A</v>
      </c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>
      <c r="A1657" s="6" t="s">
        <v>3303</v>
      </c>
      <c r="B1657" s="6" t="s">
        <v>3304</v>
      </c>
      <c r="C1657" s="5" t="s">
        <v>78</v>
      </c>
      <c r="D1657" s="7">
        <f>IFERROR(__xludf.DUMMYFUNCTION("GOOGLEFINANCE(""ASX:PCL"", ""price"")"),0.01)</f>
        <v>0.01</v>
      </c>
      <c r="E1657" s="8">
        <f>IFERROR(__xludf.DUMMYFUNCTION("GOOGLEFINANCE(""ASX:PCL"", ""closeyest"")"),0.01)</f>
        <v>0.01</v>
      </c>
      <c r="F1657" s="5" t="str">
        <f>IFERROR(__xludf.DUMMYFUNCTION("GOOGLEFINANCE(""ASX:PCL"", ""pe"")"),"#N/A")</f>
        <v>#N/A</v>
      </c>
      <c r="G1657" s="9">
        <f>IFERROR(__xludf.DUMMYFUNCTION("GOOGLEFINANCE(""ASX:PCL"", ""high52"")"),0.02)</f>
        <v>0.02</v>
      </c>
      <c r="H1657" s="9">
        <f>IFERROR(__xludf.DUMMYFUNCTION("GOOGLEFINANCE(""ASX:PCL"", ""low52"")"),0.01)</f>
        <v>0.01</v>
      </c>
      <c r="I1657" s="9">
        <f>IFERROR(__xludf.DUMMYFUNCTION("GOOGLEFINANCE(""ASX:PCL"", ""marketcap"")"),9.1146879E7)</f>
        <v>91146879</v>
      </c>
      <c r="J1657" s="5"/>
      <c r="K1657" s="5"/>
      <c r="L1657" s="5"/>
      <c r="M1657" s="5"/>
      <c r="N1657" s="9" t="str">
        <f>IFERROR(__xludf.DUMMYFUNCTION("IFERROR(GOOGLEFINANCE(""ASX:PCL"", ""pe""), ""N/A"")"),"N/A")</f>
        <v>N/A</v>
      </c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>
      <c r="A1658" s="6" t="s">
        <v>3305</v>
      </c>
      <c r="B1658" s="6" t="s">
        <v>3306</v>
      </c>
      <c r="C1658" s="5" t="s">
        <v>171</v>
      </c>
      <c r="D1658" s="7">
        <f>IFERROR(__xludf.DUMMYFUNCTION("GOOGLEFINANCE(""ASX:PCX"", ""price"")"),2.02)</f>
        <v>2.02</v>
      </c>
      <c r="E1658" s="8">
        <f>IFERROR(__xludf.DUMMYFUNCTION("GOOGLEFINANCE(""ASX:PCX"", ""closeyest"")"),2.02)</f>
        <v>2.02</v>
      </c>
      <c r="F1658" s="5" t="str">
        <f>IFERROR(__xludf.DUMMYFUNCTION("GOOGLEFINANCE(""ASX:PCX"", ""pe"")"),"#N/A")</f>
        <v>#N/A</v>
      </c>
      <c r="G1658" s="9">
        <f>IFERROR(__xludf.DUMMYFUNCTION("GOOGLEFINANCE(""ASX:PCX"", ""high52"")"),2.15)</f>
        <v>2.15</v>
      </c>
      <c r="H1658" s="9">
        <f>IFERROR(__xludf.DUMMYFUNCTION("GOOGLEFINANCE(""ASX:PCX"", ""low52"")"),1.88)</f>
        <v>1.88</v>
      </c>
      <c r="I1658" s="9" t="str">
        <f>IFERROR(__xludf.DUMMYFUNCTION("GOOGLEFINANCE(""ASX:PCX"", ""marketcap"")"),"#N/A")</f>
        <v>#N/A</v>
      </c>
      <c r="J1658" s="5"/>
      <c r="K1658" s="5"/>
      <c r="L1658" s="5"/>
      <c r="M1658" s="5"/>
      <c r="N1658" s="9" t="str">
        <f>IFERROR(__xludf.DUMMYFUNCTION("IFERROR(GOOGLEFINANCE(""ASX:PCX"", ""pe""), ""N/A"")"),"N/A")</f>
        <v>N/A</v>
      </c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>
      <c r="A1659" s="6" t="s">
        <v>3307</v>
      </c>
      <c r="B1659" s="6" t="s">
        <v>3308</v>
      </c>
      <c r="C1659" s="5" t="s">
        <v>88</v>
      </c>
      <c r="D1659" s="7">
        <f>IFERROR(__xludf.DUMMYFUNCTION("GOOGLEFINANCE(""ASX:PDI"", ""price"")"),0.76)</f>
        <v>0.76</v>
      </c>
      <c r="E1659" s="8">
        <f>IFERROR(__xludf.DUMMYFUNCTION("GOOGLEFINANCE(""ASX:PDI"", ""closeyest"")"),0.74)</f>
        <v>0.74</v>
      </c>
      <c r="F1659" s="5" t="str">
        <f>IFERROR(__xludf.DUMMYFUNCTION("GOOGLEFINANCE(""ASX:PDI"", ""pe"")"),"#N/A")</f>
        <v>#N/A</v>
      </c>
      <c r="G1659" s="9">
        <f>IFERROR(__xludf.DUMMYFUNCTION("GOOGLEFINANCE(""ASX:PDI"", ""high52"")"),0.8)</f>
        <v>0.8</v>
      </c>
      <c r="H1659" s="9">
        <f>IFERROR(__xludf.DUMMYFUNCTION("GOOGLEFINANCE(""ASX:PDI"", ""low52"")"),0.24)</f>
        <v>0.24</v>
      </c>
      <c r="I1659" s="9">
        <f>IFERROR(__xludf.DUMMYFUNCTION("GOOGLEFINANCE(""ASX:PDI"", ""marketcap"")"),1.982854222E9)</f>
        <v>1982854222</v>
      </c>
      <c r="J1659" s="5"/>
      <c r="K1659" s="5"/>
      <c r="L1659" s="5"/>
      <c r="M1659" s="5"/>
      <c r="N1659" s="9" t="str">
        <f>IFERROR(__xludf.DUMMYFUNCTION("IFERROR(GOOGLEFINANCE(""ASX:PDI"", ""pe""), ""N/A"")"),"N/A")</f>
        <v>N/A</v>
      </c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>
      <c r="A1660" s="6" t="s">
        <v>3309</v>
      </c>
      <c r="B1660" s="6" t="s">
        <v>3310</v>
      </c>
      <c r="C1660" s="5" t="s">
        <v>28</v>
      </c>
      <c r="D1660" s="7">
        <f>IFERROR(__xludf.DUMMYFUNCTION("GOOGLEFINANCE(""ASX:PDN"", ""price"")"),10.8)</f>
        <v>10.8</v>
      </c>
      <c r="E1660" s="8">
        <f>IFERROR(__xludf.DUMMYFUNCTION("GOOGLEFINANCE(""ASX:PDN"", ""closeyest"")"),10.87)</f>
        <v>10.87</v>
      </c>
      <c r="F1660" s="5" t="str">
        <f>IFERROR(__xludf.DUMMYFUNCTION("GOOGLEFINANCE(""ASX:PDN"", ""pe"")"),"#N/A")</f>
        <v>#N/A</v>
      </c>
      <c r="G1660" s="9">
        <f>IFERROR(__xludf.DUMMYFUNCTION("GOOGLEFINANCE(""ASX:PDN"", ""high52"")"),11.32)</f>
        <v>11.32</v>
      </c>
      <c r="H1660" s="9">
        <f>IFERROR(__xludf.DUMMYFUNCTION("GOOGLEFINANCE(""ASX:PDN"", ""low52"")"),3.93)</f>
        <v>3.93</v>
      </c>
      <c r="I1660" s="9">
        <f>IFERROR(__xludf.DUMMYFUNCTION("GOOGLEFINANCE(""ASX:PDN"", ""marketcap"")"),4.852745725E9)</f>
        <v>4852745725</v>
      </c>
      <c r="J1660" s="5"/>
      <c r="K1660" s="5"/>
      <c r="L1660" s="5"/>
      <c r="M1660" s="5"/>
      <c r="N1660" s="9" t="str">
        <f>IFERROR(__xludf.DUMMYFUNCTION("IFERROR(GOOGLEFINANCE(""ASX:PDN"", ""pe""), ""N/A"")"),"N/A")</f>
        <v>N/A</v>
      </c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>
      <c r="A1661" s="6" t="s">
        <v>3309</v>
      </c>
      <c r="B1661" s="6" t="s">
        <v>3310</v>
      </c>
      <c r="C1661" s="5" t="s">
        <v>28</v>
      </c>
      <c r="D1661" s="7">
        <f>IFERROR(__xludf.DUMMYFUNCTION("GOOGLEFINANCE(""ASX:PDN"", ""price"")"),10.8)</f>
        <v>10.8</v>
      </c>
      <c r="E1661" s="8">
        <f>IFERROR(__xludf.DUMMYFUNCTION("GOOGLEFINANCE(""ASX:PDN"", ""closeyest"")"),10.87)</f>
        <v>10.87</v>
      </c>
      <c r="F1661" s="5" t="str">
        <f>IFERROR(__xludf.DUMMYFUNCTION("GOOGLEFINANCE(""ASX:PDN"", ""pe"")"),"#N/A")</f>
        <v>#N/A</v>
      </c>
      <c r="G1661" s="9">
        <f>IFERROR(__xludf.DUMMYFUNCTION("GOOGLEFINANCE(""ASX:PDN"", ""high52"")"),11.32)</f>
        <v>11.32</v>
      </c>
      <c r="H1661" s="9">
        <f>IFERROR(__xludf.DUMMYFUNCTION("GOOGLEFINANCE(""ASX:PDN"", ""low52"")"),3.93)</f>
        <v>3.93</v>
      </c>
      <c r="I1661" s="9">
        <f>IFERROR(__xludf.DUMMYFUNCTION("GOOGLEFINANCE(""ASX:PDN"", ""marketcap"")"),4.852745725E9)</f>
        <v>4852745725</v>
      </c>
      <c r="J1661" s="5"/>
      <c r="K1661" s="5"/>
      <c r="L1661" s="5"/>
      <c r="M1661" s="5"/>
      <c r="N1661" s="9" t="str">
        <f>IFERROR(__xludf.DUMMYFUNCTION("IFERROR(GOOGLEFINANCE(""ASX:PDN"", ""pe""), ""N/A"")"),"N/A")</f>
        <v>N/A</v>
      </c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>
      <c r="A1662" s="13" t="s">
        <v>3309</v>
      </c>
      <c r="B1662" s="13" t="s">
        <v>3310</v>
      </c>
      <c r="C1662" s="14" t="s">
        <v>28</v>
      </c>
      <c r="D1662" s="15">
        <f>IFERROR(__xludf.DUMMYFUNCTION("GOOGLEFINANCE(""ASX:PDN"", ""price"")"),10.8)</f>
        <v>10.8</v>
      </c>
      <c r="E1662" s="8">
        <f>IFERROR(__xludf.DUMMYFUNCTION("GOOGLEFINANCE(""ASX:PDN"", ""closeyest"")"),10.87)</f>
        <v>10.87</v>
      </c>
      <c r="F1662" s="5" t="str">
        <f>IFERROR(__xludf.DUMMYFUNCTION("GOOGLEFINANCE(""ASX:PDN"", ""pe"")"),"#N/A")</f>
        <v>#N/A</v>
      </c>
      <c r="G1662" s="9">
        <f>IFERROR(__xludf.DUMMYFUNCTION("GOOGLEFINANCE(""ASX:PDN"", ""high52"")"),11.32)</f>
        <v>11.32</v>
      </c>
      <c r="H1662" s="9">
        <f>IFERROR(__xludf.DUMMYFUNCTION("GOOGLEFINANCE(""ASX:PDN"", ""low52"")"),3.93)</f>
        <v>3.93</v>
      </c>
      <c r="I1662" s="9">
        <f>IFERROR(__xludf.DUMMYFUNCTION("GOOGLEFINANCE(""ASX:PDN"", ""marketcap"")"),4.852745725E9)</f>
        <v>4852745725</v>
      </c>
      <c r="J1662" s="5"/>
      <c r="K1662" s="5"/>
      <c r="L1662" s="5"/>
      <c r="M1662" s="5"/>
      <c r="N1662" s="9" t="str">
        <f>IFERROR(__xludf.DUMMYFUNCTION("IFERROR(GOOGLEFINANCE(""ASX:PDN"", ""pe""), ""N/A"")"),"N/A")</f>
        <v>N/A</v>
      </c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>
      <c r="A1663" s="6" t="s">
        <v>3311</v>
      </c>
      <c r="B1663" s="6" t="s">
        <v>3312</v>
      </c>
      <c r="C1663" s="5" t="s">
        <v>171</v>
      </c>
      <c r="D1663" s="7">
        <f>IFERROR(__xludf.DUMMYFUNCTION("GOOGLEFINANCE(""ASX:PE1"", ""price"")"),1.38)</f>
        <v>1.38</v>
      </c>
      <c r="E1663" s="8">
        <f>IFERROR(__xludf.DUMMYFUNCTION("GOOGLEFINANCE(""ASX:PE1"", ""closeyest"")"),1.39)</f>
        <v>1.39</v>
      </c>
      <c r="F1663" s="9">
        <f>IFERROR(__xludf.DUMMYFUNCTION("GOOGLEFINANCE(""ASX:PE1"", ""pe"")"),7.59)</f>
        <v>7.59</v>
      </c>
      <c r="G1663" s="9">
        <f>IFERROR(__xludf.DUMMYFUNCTION("GOOGLEFINANCE(""ASX:PE1"", ""high52"")"),1.46)</f>
        <v>1.46</v>
      </c>
      <c r="H1663" s="9">
        <f>IFERROR(__xludf.DUMMYFUNCTION("GOOGLEFINANCE(""ASX:PE1"", ""low52"")"),1.08)</f>
        <v>1.08</v>
      </c>
      <c r="I1663" s="9">
        <f>IFERROR(__xludf.DUMMYFUNCTION("GOOGLEFINANCE(""ASX:PE1"", ""marketcap"")"),3.67586175E8)</f>
        <v>367586175</v>
      </c>
      <c r="J1663" s="5"/>
      <c r="K1663" s="5"/>
      <c r="L1663" s="5"/>
      <c r="M1663" s="5"/>
      <c r="N1663" s="9">
        <f>IFERROR(__xludf.DUMMYFUNCTION("IFERROR(GOOGLEFINANCE(""ASX:PE1"", ""pe""), ""N/A"")"),7.59)</f>
        <v>7.59</v>
      </c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>
      <c r="A1664" s="6" t="s">
        <v>3313</v>
      </c>
      <c r="B1664" s="6" t="s">
        <v>3314</v>
      </c>
      <c r="C1664" s="5" t="s">
        <v>25</v>
      </c>
      <c r="D1664" s="7">
        <f>IFERROR(__xludf.DUMMYFUNCTION("GOOGLEFINANCE(""ASX:PEB"", ""price"")"),0.16)</f>
        <v>0.16</v>
      </c>
      <c r="E1664" s="8">
        <f>IFERROR(__xludf.DUMMYFUNCTION("GOOGLEFINANCE(""ASX:PEB"", ""closeyest"")"),0.16)</f>
        <v>0.16</v>
      </c>
      <c r="F1664" s="5" t="str">
        <f>IFERROR(__xludf.DUMMYFUNCTION("GOOGLEFINANCE(""ASX:PEB"", ""pe"")"),"#N/A")</f>
        <v>#N/A</v>
      </c>
      <c r="G1664" s="9">
        <f>IFERROR(__xludf.DUMMYFUNCTION("GOOGLEFINANCE(""ASX:PEB"", ""high52"")"),0.19)</f>
        <v>0.19</v>
      </c>
      <c r="H1664" s="9">
        <f>IFERROR(__xludf.DUMMYFUNCTION("GOOGLEFINANCE(""ASX:PEB"", ""low52"")"),0.05)</f>
        <v>0.05</v>
      </c>
      <c r="I1664" s="9">
        <f>IFERROR(__xludf.DUMMYFUNCTION("GOOGLEFINANCE(""ASX:PEB"", ""marketcap"")"),1.898669E8)</f>
        <v>189866900</v>
      </c>
      <c r="J1664" s="9">
        <v>0.003</v>
      </c>
      <c r="K1664" s="9">
        <v>0.0025</v>
      </c>
      <c r="L1664" s="9">
        <v>0.011</v>
      </c>
      <c r="M1664" s="9">
        <v>0.002</v>
      </c>
      <c r="N1664" s="9" t="str">
        <f>IFERROR(__xludf.DUMMYFUNCTION("IFERROR(GOOGLEFINANCE(""ASX:PEB"", ""pe""), ""N/A"")"),"N/A")</f>
        <v>N/A</v>
      </c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>
      <c r="A1665" s="6" t="s">
        <v>3315</v>
      </c>
      <c r="B1665" s="6" t="s">
        <v>3316</v>
      </c>
      <c r="C1665" s="5" t="s">
        <v>39</v>
      </c>
      <c r="D1665" s="7">
        <f>IFERROR(__xludf.DUMMYFUNCTION("GOOGLEFINANCE(""ASX:PEC"", ""price"")"),0.01)</f>
        <v>0.01</v>
      </c>
      <c r="E1665" s="8">
        <f>IFERROR(__xludf.DUMMYFUNCTION("GOOGLEFINANCE(""ASX:PEC"", ""closeyest"")"),0.01)</f>
        <v>0.01</v>
      </c>
      <c r="F1665" s="5" t="str">
        <f>IFERROR(__xludf.DUMMYFUNCTION("GOOGLEFINANCE(""ASX:PEC"", ""pe"")"),"#N/A")</f>
        <v>#N/A</v>
      </c>
      <c r="G1665" s="9">
        <f>IFERROR(__xludf.DUMMYFUNCTION("GOOGLEFINANCE(""ASX:PEC"", ""high52"")"),0.03)</f>
        <v>0.03</v>
      </c>
      <c r="H1665" s="9">
        <f>IFERROR(__xludf.DUMMYFUNCTION("GOOGLEFINANCE(""ASX:PEC"", ""low52"")"),0.01)</f>
        <v>0.01</v>
      </c>
      <c r="I1665" s="9">
        <f>IFERROR(__xludf.DUMMYFUNCTION("GOOGLEFINANCE(""ASX:PEC"", ""marketcap"")"),1.0501754E7)</f>
        <v>10501754</v>
      </c>
      <c r="J1665" s="5"/>
      <c r="K1665" s="5"/>
      <c r="L1665" s="5"/>
      <c r="M1665" s="5"/>
      <c r="N1665" s="9" t="str">
        <f>IFERROR(__xludf.DUMMYFUNCTION("IFERROR(GOOGLEFINANCE(""ASX:PEC"", ""pe""), ""N/A"")"),"N/A")</f>
        <v>N/A</v>
      </c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>
      <c r="A1666" s="6" t="s">
        <v>3317</v>
      </c>
      <c r="B1666" s="6" t="s">
        <v>3318</v>
      </c>
      <c r="C1666" s="5" t="s">
        <v>28</v>
      </c>
      <c r="D1666" s="7">
        <f>IFERROR(__xludf.DUMMYFUNCTION("GOOGLEFINANCE(""ASX:PEN"", ""price"")"),0.72)</f>
        <v>0.72</v>
      </c>
      <c r="E1666" s="8">
        <f>IFERROR(__xludf.DUMMYFUNCTION("GOOGLEFINANCE(""ASX:PEN"", ""closeyest"")"),0.73)</f>
        <v>0.73</v>
      </c>
      <c r="F1666" s="5" t="str">
        <f>IFERROR(__xludf.DUMMYFUNCTION("GOOGLEFINANCE(""ASX:PEN"", ""pe"")"),"#N/A")</f>
        <v>#N/A</v>
      </c>
      <c r="G1666" s="9">
        <f>IFERROR(__xludf.DUMMYFUNCTION("GOOGLEFINANCE(""ASX:PEN"", ""high52"")"),1.48)</f>
        <v>1.48</v>
      </c>
      <c r="H1666" s="9">
        <f>IFERROR(__xludf.DUMMYFUNCTION("GOOGLEFINANCE(""ASX:PEN"", ""low52"")"),0.28)</f>
        <v>0.28</v>
      </c>
      <c r="I1666" s="9">
        <f>IFERROR(__xludf.DUMMYFUNCTION("GOOGLEFINANCE(""ASX:PEN"", ""marketcap"")"),2.91502307E8)</f>
        <v>291502307</v>
      </c>
      <c r="J1666" s="5"/>
      <c r="K1666" s="5"/>
      <c r="L1666" s="5"/>
      <c r="M1666" s="5"/>
      <c r="N1666" s="9" t="str">
        <f>IFERROR(__xludf.DUMMYFUNCTION("IFERROR(GOOGLEFINANCE(""ASX:PEN"", ""pe""), ""N/A"")"),"N/A")</f>
        <v>N/A</v>
      </c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>
      <c r="A1667" s="6" t="s">
        <v>3317</v>
      </c>
      <c r="B1667" s="6" t="s">
        <v>3318</v>
      </c>
      <c r="C1667" s="5" t="s">
        <v>28</v>
      </c>
      <c r="D1667" s="7">
        <f>IFERROR(__xludf.DUMMYFUNCTION("GOOGLEFINANCE(""ASX:PEN"", ""price"")"),0.72)</f>
        <v>0.72</v>
      </c>
      <c r="E1667" s="8">
        <f>IFERROR(__xludf.DUMMYFUNCTION("GOOGLEFINANCE(""ASX:PEN"", ""closeyest"")"),0.73)</f>
        <v>0.73</v>
      </c>
      <c r="F1667" s="5" t="str">
        <f>IFERROR(__xludf.DUMMYFUNCTION("GOOGLEFINANCE(""ASX:PEN"", ""pe"")"),"#N/A")</f>
        <v>#N/A</v>
      </c>
      <c r="G1667" s="9">
        <f>IFERROR(__xludf.DUMMYFUNCTION("GOOGLEFINANCE(""ASX:PEN"", ""high52"")"),1.48)</f>
        <v>1.48</v>
      </c>
      <c r="H1667" s="9">
        <f>IFERROR(__xludf.DUMMYFUNCTION("GOOGLEFINANCE(""ASX:PEN"", ""low52"")"),0.28)</f>
        <v>0.28</v>
      </c>
      <c r="I1667" s="9">
        <f>IFERROR(__xludf.DUMMYFUNCTION("GOOGLEFINANCE(""ASX:PEN"", ""marketcap"")"),2.91502307E8)</f>
        <v>291502307</v>
      </c>
      <c r="J1667" s="5"/>
      <c r="K1667" s="5"/>
      <c r="L1667" s="5"/>
      <c r="M1667" s="5"/>
      <c r="N1667" s="9" t="str">
        <f>IFERROR(__xludf.DUMMYFUNCTION("IFERROR(GOOGLEFINANCE(""ASX:PEN"", ""pe""), ""N/A"")"),"N/A")</f>
        <v>N/A</v>
      </c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>
      <c r="A1668" s="13" t="s">
        <v>3317</v>
      </c>
      <c r="B1668" s="13" t="s">
        <v>3318</v>
      </c>
      <c r="C1668" s="14" t="s">
        <v>28</v>
      </c>
      <c r="D1668" s="15">
        <f>IFERROR(__xludf.DUMMYFUNCTION("GOOGLEFINANCE(""ASX:PEN"", ""price"")"),0.72)</f>
        <v>0.72</v>
      </c>
      <c r="E1668" s="8">
        <f>IFERROR(__xludf.DUMMYFUNCTION("GOOGLEFINANCE(""ASX:PEN"", ""closeyest"")"),0.73)</f>
        <v>0.73</v>
      </c>
      <c r="F1668" s="5" t="str">
        <f>IFERROR(__xludf.DUMMYFUNCTION("GOOGLEFINANCE(""ASX:PEN"", ""pe"")"),"#N/A")</f>
        <v>#N/A</v>
      </c>
      <c r="G1668" s="9">
        <f>IFERROR(__xludf.DUMMYFUNCTION("GOOGLEFINANCE(""ASX:PEN"", ""high52"")"),1.48)</f>
        <v>1.48</v>
      </c>
      <c r="H1668" s="9">
        <f>IFERROR(__xludf.DUMMYFUNCTION("GOOGLEFINANCE(""ASX:PEN"", ""low52"")"),0.28)</f>
        <v>0.28</v>
      </c>
      <c r="I1668" s="9">
        <f>IFERROR(__xludf.DUMMYFUNCTION("GOOGLEFINANCE(""ASX:PEN"", ""marketcap"")"),2.91502307E8)</f>
        <v>291502307</v>
      </c>
      <c r="J1668" s="5"/>
      <c r="K1668" s="5"/>
      <c r="L1668" s="5"/>
      <c r="M1668" s="5"/>
      <c r="N1668" s="9" t="str">
        <f>IFERROR(__xludf.DUMMYFUNCTION("IFERROR(GOOGLEFINANCE(""ASX:PEN"", ""pe""), ""N/A"")"),"N/A")</f>
        <v>N/A</v>
      </c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>
      <c r="A1669" s="6" t="s">
        <v>3319</v>
      </c>
      <c r="B1669" s="6" t="s">
        <v>3320</v>
      </c>
      <c r="C1669" s="5" t="s">
        <v>25</v>
      </c>
      <c r="D1669" s="7">
        <f>IFERROR(__xludf.DUMMYFUNCTION("GOOGLEFINANCE(""ASX:PER"", ""price"")"),0.01)</f>
        <v>0.01</v>
      </c>
      <c r="E1669" s="8">
        <f>IFERROR(__xludf.DUMMYFUNCTION("GOOGLEFINANCE(""ASX:PER"", ""closeyest"")"),0.01)</f>
        <v>0.01</v>
      </c>
      <c r="F1669" s="5" t="str">
        <f>IFERROR(__xludf.DUMMYFUNCTION("GOOGLEFINANCE(""ASX:PER"", ""pe"")"),"#N/A")</f>
        <v>#N/A</v>
      </c>
      <c r="G1669" s="9">
        <f>IFERROR(__xludf.DUMMYFUNCTION("GOOGLEFINANCE(""ASX:PER"", ""high52"")"),0.02)</f>
        <v>0.02</v>
      </c>
      <c r="H1669" s="9">
        <f>IFERROR(__xludf.DUMMYFUNCTION("GOOGLEFINANCE(""ASX:PER"", ""low52"")"),0.01)</f>
        <v>0.01</v>
      </c>
      <c r="I1669" s="9">
        <f>IFERROR(__xludf.DUMMYFUNCTION("GOOGLEFINANCE(""ASX:PER"", ""marketcap"")"),8808245.0)</f>
        <v>8808245</v>
      </c>
      <c r="J1669" s="5"/>
      <c r="K1669" s="5"/>
      <c r="L1669" s="5"/>
      <c r="M1669" s="5"/>
      <c r="N1669" s="9" t="str">
        <f>IFERROR(__xludf.DUMMYFUNCTION("IFERROR(GOOGLEFINANCE(""ASX:PER"", ""pe""), ""N/A"")"),"N/A")</f>
        <v>N/A</v>
      </c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>
      <c r="A1670" s="6" t="s">
        <v>3321</v>
      </c>
      <c r="B1670" s="6" t="s">
        <v>3322</v>
      </c>
      <c r="C1670" s="5" t="s">
        <v>52</v>
      </c>
      <c r="D1670" s="7">
        <f>IFERROR(__xludf.DUMMYFUNCTION("GOOGLEFINANCE(""ASX:PET"", ""price"")"),0.02)</f>
        <v>0.02</v>
      </c>
      <c r="E1670" s="8">
        <f>IFERROR(__xludf.DUMMYFUNCTION("GOOGLEFINANCE(""ASX:PET"", ""closeyest"")"),0.01)</f>
        <v>0.01</v>
      </c>
      <c r="F1670" s="5" t="str">
        <f>IFERROR(__xludf.DUMMYFUNCTION("GOOGLEFINANCE(""ASX:PET"", ""pe"")"),"#N/A")</f>
        <v>#N/A</v>
      </c>
      <c r="G1670" s="9">
        <f>IFERROR(__xludf.DUMMYFUNCTION("GOOGLEFINANCE(""ASX:PET"", ""high52"")"),0.03)</f>
        <v>0.03</v>
      </c>
      <c r="H1670" s="9">
        <f>IFERROR(__xludf.DUMMYFUNCTION("GOOGLEFINANCE(""ASX:PET"", ""low52"")"),0.01)</f>
        <v>0.01</v>
      </c>
      <c r="I1670" s="9">
        <f>IFERROR(__xludf.DUMMYFUNCTION("GOOGLEFINANCE(""ASX:PET"", ""marketcap"")"),1.3799036E7)</f>
        <v>13799036</v>
      </c>
      <c r="J1670" s="5"/>
      <c r="K1670" s="5"/>
      <c r="L1670" s="5"/>
      <c r="M1670" s="5"/>
      <c r="N1670" s="9" t="str">
        <f>IFERROR(__xludf.DUMMYFUNCTION("IFERROR(GOOGLEFINANCE(""ASX:PET"", ""pe""), ""N/A"")"),"N/A")</f>
        <v>N/A</v>
      </c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>
      <c r="A1671" s="6" t="s">
        <v>3323</v>
      </c>
      <c r="B1671" s="6" t="s">
        <v>3324</v>
      </c>
      <c r="C1671" s="5" t="s">
        <v>18</v>
      </c>
      <c r="D1671" s="7">
        <f>IFERROR(__xludf.DUMMYFUNCTION("GOOGLEFINANCE(""ASX:PEX"", ""price"")"),0.17)</f>
        <v>0.17</v>
      </c>
      <c r="E1671" s="8">
        <f>IFERROR(__xludf.DUMMYFUNCTION("GOOGLEFINANCE(""ASX:PEX"", ""closeyest"")"),0.16)</f>
        <v>0.16</v>
      </c>
      <c r="F1671" s="5" t="str">
        <f>IFERROR(__xludf.DUMMYFUNCTION("GOOGLEFINANCE(""ASX:PEX"", ""pe"")"),"#N/A")</f>
        <v>#N/A</v>
      </c>
      <c r="G1671" s="9">
        <f>IFERROR(__xludf.DUMMYFUNCTION("GOOGLEFINANCE(""ASX:PEX"", ""high52"")"),0.17)</f>
        <v>0.17</v>
      </c>
      <c r="H1671" s="9">
        <f>IFERROR(__xludf.DUMMYFUNCTION("GOOGLEFINANCE(""ASX:PEX"", ""low52"")"),0.06)</f>
        <v>0.06</v>
      </c>
      <c r="I1671" s="9">
        <f>IFERROR(__xludf.DUMMYFUNCTION("GOOGLEFINANCE(""ASX:PEX"", ""marketcap"")"),1.37775879E8)</f>
        <v>137775879</v>
      </c>
      <c r="J1671" s="5"/>
      <c r="K1671" s="5"/>
      <c r="L1671" s="5"/>
      <c r="M1671" s="5"/>
      <c r="N1671" s="9" t="str">
        <f>IFERROR(__xludf.DUMMYFUNCTION("IFERROR(GOOGLEFINANCE(""ASX:PEX"", ""pe""), ""N/A"")"),"N/A")</f>
        <v>N/A</v>
      </c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>
      <c r="A1672" s="6" t="s">
        <v>3325</v>
      </c>
      <c r="B1672" s="6" t="s">
        <v>3326</v>
      </c>
      <c r="C1672" s="5" t="s">
        <v>39</v>
      </c>
      <c r="D1672" s="7">
        <f>IFERROR(__xludf.DUMMYFUNCTION("GOOGLEFINANCE(""ASX:PFE"", ""price"")"),0.02)</f>
        <v>0.02</v>
      </c>
      <c r="E1672" s="8">
        <f>IFERROR(__xludf.DUMMYFUNCTION("GOOGLEFINANCE(""ASX:PFE"", ""closeyest"")"),0.02)</f>
        <v>0.02</v>
      </c>
      <c r="F1672" s="5" t="str">
        <f>IFERROR(__xludf.DUMMYFUNCTION("GOOGLEFINANCE(""ASX:PFE"", ""pe"")"),"#N/A")</f>
        <v>#N/A</v>
      </c>
      <c r="G1672" s="9">
        <f>IFERROR(__xludf.DUMMYFUNCTION("GOOGLEFINANCE(""ASX:PFE"", ""high52"")"),0.04)</f>
        <v>0.04</v>
      </c>
      <c r="H1672" s="9">
        <f>IFERROR(__xludf.DUMMYFUNCTION("GOOGLEFINANCE(""ASX:PFE"", ""low52"")"),0.01)</f>
        <v>0.01</v>
      </c>
      <c r="I1672" s="9">
        <f>IFERROR(__xludf.DUMMYFUNCTION("GOOGLEFINANCE(""ASX:PFE"", ""marketcap"")"),9479640.0)</f>
        <v>9479640</v>
      </c>
      <c r="J1672" s="5"/>
      <c r="K1672" s="5"/>
      <c r="L1672" s="5"/>
      <c r="M1672" s="5"/>
      <c r="N1672" s="9" t="str">
        <f>IFERROR(__xludf.DUMMYFUNCTION("IFERROR(GOOGLEFINANCE(""ASX:PFE"", ""pe""), ""N/A"")"),"N/A")</f>
        <v>N/A</v>
      </c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>
      <c r="A1673" s="6" t="s">
        <v>3327</v>
      </c>
      <c r="B1673" s="6" t="s">
        <v>3328</v>
      </c>
      <c r="C1673" s="5" t="s">
        <v>161</v>
      </c>
      <c r="D1673" s="7">
        <f>IFERROR(__xludf.DUMMYFUNCTION("GOOGLEFINANCE(""ASX:PFG"", ""price"")"),0.24)</f>
        <v>0.24</v>
      </c>
      <c r="E1673" s="8">
        <f>IFERROR(__xludf.DUMMYFUNCTION("GOOGLEFINANCE(""ASX:PFG"", ""closeyest"")"),0.24)</f>
        <v>0.24</v>
      </c>
      <c r="F1673" s="9">
        <f>IFERROR(__xludf.DUMMYFUNCTION("GOOGLEFINANCE(""ASX:PFG"", ""pe"")"),12.59)</f>
        <v>12.59</v>
      </c>
      <c r="G1673" s="9">
        <f>IFERROR(__xludf.DUMMYFUNCTION("GOOGLEFINANCE(""ASX:PFG"", ""high52"")"),0.27)</f>
        <v>0.27</v>
      </c>
      <c r="H1673" s="9">
        <f>IFERROR(__xludf.DUMMYFUNCTION("GOOGLEFINANCE(""ASX:PFG"", ""low52"")"),0.2)</f>
        <v>0.2</v>
      </c>
      <c r="I1673" s="9">
        <f>IFERROR(__xludf.DUMMYFUNCTION("GOOGLEFINANCE(""ASX:PFG"", ""marketcap"")"),6.2585834E7)</f>
        <v>62585834</v>
      </c>
      <c r="J1673" s="9">
        <v>0.002</v>
      </c>
      <c r="K1673" s="9">
        <v>0.002</v>
      </c>
      <c r="L1673" s="9">
        <v>0.004</v>
      </c>
      <c r="M1673" s="9">
        <v>0.001</v>
      </c>
      <c r="N1673" s="9">
        <f>IFERROR(__xludf.DUMMYFUNCTION("IFERROR(GOOGLEFINANCE(""ASX:PFG"", ""pe""), ""N/A"")"),12.59)</f>
        <v>12.59</v>
      </c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>
      <c r="A1674" s="6" t="s">
        <v>3329</v>
      </c>
      <c r="B1674" s="6" t="s">
        <v>3330</v>
      </c>
      <c r="C1674" s="5" t="s">
        <v>15</v>
      </c>
      <c r="D1674" s="7">
        <f>IFERROR(__xludf.DUMMYFUNCTION("GOOGLEFINANCE(""ASX:PFM"", ""price"")"),0.02)</f>
        <v>0.02</v>
      </c>
      <c r="E1674" s="8">
        <f>IFERROR(__xludf.DUMMYFUNCTION("GOOGLEFINANCE(""ASX:PFM"", ""closeyest"")"),0.02)</f>
        <v>0.02</v>
      </c>
      <c r="F1674" s="5" t="str">
        <f>IFERROR(__xludf.DUMMYFUNCTION("GOOGLEFINANCE(""ASX:PFM"", ""pe"")"),"#N/A")</f>
        <v>#N/A</v>
      </c>
      <c r="G1674" s="9">
        <f>IFERROR(__xludf.DUMMYFUNCTION("GOOGLEFINANCE(""ASX:PFM"", ""high52"")"),0.09)</f>
        <v>0.09</v>
      </c>
      <c r="H1674" s="9">
        <f>IFERROR(__xludf.DUMMYFUNCTION("GOOGLEFINANCE(""ASX:PFM"", ""low52"")"),0.02)</f>
        <v>0.02</v>
      </c>
      <c r="I1674" s="9">
        <f>IFERROR(__xludf.DUMMYFUNCTION("GOOGLEFINANCE(""ASX:PFM"", ""marketcap"")"),2092723.0)</f>
        <v>2092723</v>
      </c>
      <c r="J1674" s="5"/>
      <c r="K1674" s="5"/>
      <c r="L1674" s="5"/>
      <c r="M1674" s="5"/>
      <c r="N1674" s="9" t="str">
        <f>IFERROR(__xludf.DUMMYFUNCTION("IFERROR(GOOGLEFINANCE(""ASX:PFM"", ""pe""), ""N/A"")"),"N/A")</f>
        <v>N/A</v>
      </c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>
      <c r="A1675" s="6" t="s">
        <v>3331</v>
      </c>
      <c r="B1675" s="6" t="s">
        <v>3332</v>
      </c>
      <c r="C1675" s="5" t="s">
        <v>246</v>
      </c>
      <c r="D1675" s="7">
        <f>IFERROR(__xludf.DUMMYFUNCTION("GOOGLEFINANCE(""ASX:PFP"", ""price"")"),4.89)</f>
        <v>4.89</v>
      </c>
      <c r="E1675" s="8">
        <f>IFERROR(__xludf.DUMMYFUNCTION("GOOGLEFINANCE(""ASX:PFP"", ""closeyest"")"),4.81)</f>
        <v>4.81</v>
      </c>
      <c r="F1675" s="9">
        <f>IFERROR(__xludf.DUMMYFUNCTION("GOOGLEFINANCE(""ASX:PFP"", ""pe"")"),33.07)</f>
        <v>33.07</v>
      </c>
      <c r="G1675" s="9">
        <f>IFERROR(__xludf.DUMMYFUNCTION("GOOGLEFINANCE(""ASX:PFP"", ""high52"")"),6.02)</f>
        <v>6.02</v>
      </c>
      <c r="H1675" s="9">
        <f>IFERROR(__xludf.DUMMYFUNCTION("GOOGLEFINANCE(""ASX:PFP"", ""low52"")"),4.2)</f>
        <v>4.2</v>
      </c>
      <c r="I1675" s="9">
        <f>IFERROR(__xludf.DUMMYFUNCTION("GOOGLEFINANCE(""ASX:PFP"", ""marketcap"")"),6.74690885E8)</f>
        <v>674690885</v>
      </c>
      <c r="J1675" s="5"/>
      <c r="K1675" s="5"/>
      <c r="L1675" s="5"/>
      <c r="M1675" s="5"/>
      <c r="N1675" s="9">
        <f>IFERROR(__xludf.DUMMYFUNCTION("IFERROR(GOOGLEFINANCE(""ASX:PFP"", ""pe""), ""N/A"")"),33.07)</f>
        <v>33.07</v>
      </c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>
      <c r="A1676" s="6" t="s">
        <v>3333</v>
      </c>
      <c r="B1676" s="6" t="s">
        <v>3334</v>
      </c>
      <c r="C1676" s="5" t="s">
        <v>98</v>
      </c>
      <c r="D1676" s="7">
        <f>IFERROR(__xludf.DUMMYFUNCTION("GOOGLEFINANCE(""ASX:PFT"", ""price"")"),0.04)</f>
        <v>0.04</v>
      </c>
      <c r="E1676" s="8">
        <f>IFERROR(__xludf.DUMMYFUNCTION("GOOGLEFINANCE(""ASX:PFT"", ""closeyest"")"),0.04)</f>
        <v>0.04</v>
      </c>
      <c r="F1676" s="5" t="str">
        <f>IFERROR(__xludf.DUMMYFUNCTION("GOOGLEFINANCE(""ASX:PFT"", ""pe"")"),"#N/A")</f>
        <v>#N/A</v>
      </c>
      <c r="G1676" s="9">
        <f>IFERROR(__xludf.DUMMYFUNCTION("GOOGLEFINANCE(""ASX:PFT"", ""high52"")"),0.07)</f>
        <v>0.07</v>
      </c>
      <c r="H1676" s="9">
        <f>IFERROR(__xludf.DUMMYFUNCTION("GOOGLEFINANCE(""ASX:PFT"", ""low52"")"),0.01)</f>
        <v>0.01</v>
      </c>
      <c r="I1676" s="9">
        <f>IFERROR(__xludf.DUMMYFUNCTION("GOOGLEFINANCE(""ASX:PFT"", ""marketcap"")"),1.335906E7)</f>
        <v>13359060</v>
      </c>
      <c r="J1676" s="5"/>
      <c r="K1676" s="5"/>
      <c r="L1676" s="5"/>
      <c r="M1676" s="5"/>
      <c r="N1676" s="9" t="str">
        <f>IFERROR(__xludf.DUMMYFUNCTION("IFERROR(GOOGLEFINANCE(""ASX:PFT"", ""pe""), ""N/A"")"),"N/A")</f>
        <v>N/A</v>
      </c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>
      <c r="A1677" s="6" t="s">
        <v>3335</v>
      </c>
      <c r="B1677" s="6" t="s">
        <v>3336</v>
      </c>
      <c r="C1677" s="5" t="s">
        <v>36</v>
      </c>
      <c r="D1677" s="7">
        <f>IFERROR(__xludf.DUMMYFUNCTION("GOOGLEFINANCE(""ASX:PGA1"", ""price"")"),13.86)</f>
        <v>13.86</v>
      </c>
      <c r="E1677" s="8">
        <f>IFERROR(__xludf.DUMMYFUNCTION("GOOGLEFINANCE(""ASX:PGA1"", ""closeyest"")"),13.87)</f>
        <v>13.87</v>
      </c>
      <c r="F1677" s="5" t="str">
        <f>IFERROR(__xludf.DUMMYFUNCTION("GOOGLEFINANCE(""ASX:PGA1"", ""pe"")"),"#N/A")</f>
        <v>#N/A</v>
      </c>
      <c r="G1677" s="9">
        <f>IFERROR(__xludf.DUMMYFUNCTION("GOOGLEFINANCE(""ASX:PGA1"", ""high52"")"),14.05)</f>
        <v>14.05</v>
      </c>
      <c r="H1677" s="9">
        <f>IFERROR(__xludf.DUMMYFUNCTION("GOOGLEFINANCE(""ASX:PGA1"", ""low52"")"),9.86)</f>
        <v>9.86</v>
      </c>
      <c r="I1677" s="9" t="str">
        <f>IFERROR(__xludf.DUMMYFUNCTION("GOOGLEFINANCE(""ASX:PGA1"", ""marketcap"")"),"#N/A")</f>
        <v>#N/A</v>
      </c>
      <c r="J1677" s="9">
        <v>0.004</v>
      </c>
      <c r="K1677" s="5"/>
      <c r="L1677" s="9">
        <v>0.004</v>
      </c>
      <c r="M1677" s="9">
        <v>0.004</v>
      </c>
      <c r="N1677" s="9" t="str">
        <f>IFERROR(__xludf.DUMMYFUNCTION("IFERROR(GOOGLEFINANCE(""ASX:PGA1"", ""pe""), ""N/A"")"),"N/A")</f>
        <v>N/A</v>
      </c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>
      <c r="A1678" s="6" t="s">
        <v>3337</v>
      </c>
      <c r="B1678" s="6" t="s">
        <v>3338</v>
      </c>
      <c r="C1678" s="5" t="s">
        <v>276</v>
      </c>
      <c r="D1678" s="7">
        <f>IFERROR(__xludf.DUMMYFUNCTION("GOOGLEFINANCE(""ASX:PGC"", ""price"")"),0.24)</f>
        <v>0.24</v>
      </c>
      <c r="E1678" s="8">
        <f>IFERROR(__xludf.DUMMYFUNCTION("GOOGLEFINANCE(""ASX:PGC"", ""closeyest"")"),0.22)</f>
        <v>0.22</v>
      </c>
      <c r="F1678" s="9">
        <f>IFERROR(__xludf.DUMMYFUNCTION("GOOGLEFINANCE(""ASX:PGC"", ""pe"")"),18.92)</f>
        <v>18.92</v>
      </c>
      <c r="G1678" s="9">
        <f>IFERROR(__xludf.DUMMYFUNCTION("GOOGLEFINANCE(""ASX:PGC"", ""high52"")"),0.59)</f>
        <v>0.59</v>
      </c>
      <c r="H1678" s="9">
        <f>IFERROR(__xludf.DUMMYFUNCTION("GOOGLEFINANCE(""ASX:PGC"", ""low52"")"),0.2)</f>
        <v>0.2</v>
      </c>
      <c r="I1678" s="9">
        <f>IFERROR(__xludf.DUMMYFUNCTION("GOOGLEFINANCE(""ASX:PGC"", ""marketcap"")"),3.80155974E8)</f>
        <v>380155974</v>
      </c>
      <c r="J1678" s="5"/>
      <c r="K1678" s="5"/>
      <c r="L1678" s="5"/>
      <c r="M1678" s="5"/>
      <c r="N1678" s="9">
        <f>IFERROR(__xludf.DUMMYFUNCTION("IFERROR(GOOGLEFINANCE(""ASX:PGC"", ""pe""), ""N/A"")"),18.92)</f>
        <v>18.92</v>
      </c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>
      <c r="A1679" s="6" t="s">
        <v>3339</v>
      </c>
      <c r="B1679" s="6" t="s">
        <v>3340</v>
      </c>
      <c r="C1679" s="5" t="s">
        <v>88</v>
      </c>
      <c r="D1679" s="7">
        <f>IFERROR(__xludf.DUMMYFUNCTION("GOOGLEFINANCE(""ASX:PGD"", ""price"")"),0.26)</f>
        <v>0.26</v>
      </c>
      <c r="E1679" s="8">
        <f>IFERROR(__xludf.DUMMYFUNCTION("GOOGLEFINANCE(""ASX:PGD"", ""closeyest"")"),0.28)</f>
        <v>0.28</v>
      </c>
      <c r="F1679" s="5" t="str">
        <f>IFERROR(__xludf.DUMMYFUNCTION("GOOGLEFINANCE(""ASX:PGD"", ""pe"")"),"#N/A")</f>
        <v>#N/A</v>
      </c>
      <c r="G1679" s="9">
        <f>IFERROR(__xludf.DUMMYFUNCTION("GOOGLEFINANCE(""ASX:PGD"", ""high52"")"),0.39)</f>
        <v>0.39</v>
      </c>
      <c r="H1679" s="9">
        <f>IFERROR(__xludf.DUMMYFUNCTION("GOOGLEFINANCE(""ASX:PGD"", ""low52"")"),0.11)</f>
        <v>0.11</v>
      </c>
      <c r="I1679" s="9">
        <f>IFERROR(__xludf.DUMMYFUNCTION("GOOGLEFINANCE(""ASX:PGD"", ""marketcap"")"),2.5196195E7)</f>
        <v>25196195</v>
      </c>
      <c r="J1679" s="5"/>
      <c r="K1679" s="5"/>
      <c r="L1679" s="5"/>
      <c r="M1679" s="5"/>
      <c r="N1679" s="9" t="str">
        <f>IFERROR(__xludf.DUMMYFUNCTION("IFERROR(GOOGLEFINANCE(""ASX:PGD"", ""pe""), ""N/A"")"),"N/A")</f>
        <v>N/A</v>
      </c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>
      <c r="A1680" s="6" t="s">
        <v>3341</v>
      </c>
      <c r="B1680" s="6" t="s">
        <v>3342</v>
      </c>
      <c r="C1680" s="5" t="s">
        <v>171</v>
      </c>
      <c r="D1680" s="7">
        <f>IFERROR(__xludf.DUMMYFUNCTION("GOOGLEFINANCE(""ASX:PGF"", ""price"")"),2.94)</f>
        <v>2.94</v>
      </c>
      <c r="E1680" s="8">
        <f>IFERROR(__xludf.DUMMYFUNCTION("GOOGLEFINANCE(""ASX:PGF"", ""closeyest"")"),2.98)</f>
        <v>2.98</v>
      </c>
      <c r="F1680" s="9">
        <f>IFERROR(__xludf.DUMMYFUNCTION("GOOGLEFINANCE(""ASX:PGF"", ""pe"")"),8.24)</f>
        <v>8.24</v>
      </c>
      <c r="G1680" s="9">
        <f>IFERROR(__xludf.DUMMYFUNCTION("GOOGLEFINANCE(""ASX:PGF"", ""high52"")"),2.99)</f>
        <v>2.99</v>
      </c>
      <c r="H1680" s="9">
        <f>IFERROR(__xludf.DUMMYFUNCTION("GOOGLEFINANCE(""ASX:PGF"", ""low52"")"),1.96)</f>
        <v>1.96</v>
      </c>
      <c r="I1680" s="9">
        <f>IFERROR(__xludf.DUMMYFUNCTION("GOOGLEFINANCE(""ASX:PGF"", ""marketcap"")"),1.410977763E9)</f>
        <v>1410977763</v>
      </c>
      <c r="J1680" s="5"/>
      <c r="K1680" s="5"/>
      <c r="L1680" s="5"/>
      <c r="M1680" s="5"/>
      <c r="N1680" s="9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>
      <c r="A1681" s="6" t="s">
        <v>3343</v>
      </c>
      <c r="B1681" s="6" t="s">
        <v>3344</v>
      </c>
      <c r="C1681" s="5" t="s">
        <v>18</v>
      </c>
      <c r="D1681" s="7">
        <f>IFERROR(__xludf.DUMMYFUNCTION("GOOGLEFINANCE(""ASX:PGM"", ""price"")"),0.04)</f>
        <v>0.04</v>
      </c>
      <c r="E1681" s="8">
        <f>IFERROR(__xludf.DUMMYFUNCTION("GOOGLEFINANCE(""ASX:PGM"", ""closeyest"")"),0.04)</f>
        <v>0.04</v>
      </c>
      <c r="F1681" s="5" t="str">
        <f>IFERROR(__xludf.DUMMYFUNCTION("GOOGLEFINANCE(""ASX:PGM"", ""pe"")"),"#N/A")</f>
        <v>#N/A</v>
      </c>
      <c r="G1681" s="9">
        <f>IFERROR(__xludf.DUMMYFUNCTION("GOOGLEFINANCE(""ASX:PGM"", ""high52"")"),0.05)</f>
        <v>0.05</v>
      </c>
      <c r="H1681" s="9">
        <f>IFERROR(__xludf.DUMMYFUNCTION("GOOGLEFINANCE(""ASX:PGM"", ""low52"")"),0.02)</f>
        <v>0.02</v>
      </c>
      <c r="I1681" s="9">
        <f>IFERROR(__xludf.DUMMYFUNCTION("GOOGLEFINANCE(""ASX:PGM"", ""marketcap"")"),2.9795774E7)</f>
        <v>29795774</v>
      </c>
      <c r="J1681" s="5"/>
      <c r="K1681" s="5"/>
      <c r="L1681" s="5"/>
      <c r="M1681" s="5"/>
      <c r="N1681" s="9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>
      <c r="A1682" s="6" t="s">
        <v>3345</v>
      </c>
      <c r="B1682" s="6" t="s">
        <v>3346</v>
      </c>
      <c r="C1682" s="5" t="s">
        <v>88</v>
      </c>
      <c r="D1682" s="7">
        <f>IFERROR(__xludf.DUMMYFUNCTION("GOOGLEFINANCE(""ASX:PGO"", ""price"")"),0.09)</f>
        <v>0.09</v>
      </c>
      <c r="E1682" s="8">
        <f>IFERROR(__xludf.DUMMYFUNCTION("GOOGLEFINANCE(""ASX:PGO"", ""closeyest"")"),0.09)</f>
        <v>0.09</v>
      </c>
      <c r="F1682" s="5" t="str">
        <f>IFERROR(__xludf.DUMMYFUNCTION("GOOGLEFINANCE(""ASX:PGO"", ""pe"")"),"#N/A")</f>
        <v>#N/A</v>
      </c>
      <c r="G1682" s="9">
        <f>IFERROR(__xludf.DUMMYFUNCTION("GOOGLEFINANCE(""ASX:PGO"", ""high52"")"),0.11)</f>
        <v>0.11</v>
      </c>
      <c r="H1682" s="9">
        <f>IFERROR(__xludf.DUMMYFUNCTION("GOOGLEFINANCE(""ASX:PGO"", ""low52"")"),0.05)</f>
        <v>0.05</v>
      </c>
      <c r="I1682" s="9">
        <f>IFERROR(__xludf.DUMMYFUNCTION("GOOGLEFINANCE(""ASX:PGO"", ""marketcap"")"),3.7410572E7)</f>
        <v>37410572</v>
      </c>
      <c r="J1682" s="5"/>
      <c r="K1682" s="5"/>
      <c r="L1682" s="5"/>
      <c r="M1682" s="5"/>
      <c r="N1682" s="9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>
      <c r="A1683" s="6" t="s">
        <v>3347</v>
      </c>
      <c r="B1683" s="6" t="s">
        <v>3348</v>
      </c>
      <c r="C1683" s="5" t="s">
        <v>3349</v>
      </c>
      <c r="D1683" s="7">
        <f>IFERROR(__xludf.DUMMYFUNCTION("GOOGLEFINANCE(""ASX:PGY"", ""price"")"),0.0)</f>
        <v>0</v>
      </c>
      <c r="E1683" s="8">
        <f>IFERROR(__xludf.DUMMYFUNCTION("GOOGLEFINANCE(""ASX:PGY"", ""closeyest"")"),0.01)</f>
        <v>0.01</v>
      </c>
      <c r="F1683" s="5" t="str">
        <f>IFERROR(__xludf.DUMMYFUNCTION("GOOGLEFINANCE(""ASX:PGY"", ""pe"")"),"#N/A")</f>
        <v>#N/A</v>
      </c>
      <c r="G1683" s="9">
        <f>IFERROR(__xludf.DUMMYFUNCTION("GOOGLEFINANCE(""ASX:PGY"", ""high52"")"),0.01)</f>
        <v>0.01</v>
      </c>
      <c r="H1683" s="9">
        <f>IFERROR(__xludf.DUMMYFUNCTION("GOOGLEFINANCE(""ASX:PGY"", ""low52"")"),0.0)</f>
        <v>0</v>
      </c>
      <c r="I1683" s="9">
        <f>IFERROR(__xludf.DUMMYFUNCTION("GOOGLEFINANCE(""ASX:PGY"", ""marketcap"")"),4317320.0)</f>
        <v>4317320</v>
      </c>
      <c r="J1683" s="10">
        <v>0.004</v>
      </c>
      <c r="K1683" s="10">
        <v>0.005</v>
      </c>
      <c r="L1683" s="10">
        <v>0.013</v>
      </c>
      <c r="M1683" s="10">
        <v>0.003</v>
      </c>
      <c r="N1683" s="9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>
      <c r="A1684" s="6" t="s">
        <v>3350</v>
      </c>
      <c r="B1684" s="6" t="s">
        <v>3351</v>
      </c>
      <c r="C1684" s="5" t="s">
        <v>18</v>
      </c>
      <c r="D1684" s="7">
        <f>IFERROR(__xludf.DUMMYFUNCTION("GOOGLEFINANCE(""ASX:PHO"", ""price"")"),0.14)</f>
        <v>0.14</v>
      </c>
      <c r="E1684" s="8">
        <f>IFERROR(__xludf.DUMMYFUNCTION("GOOGLEFINANCE(""ASX:PHO"", ""closeyest"")"),0.15)</f>
        <v>0.15</v>
      </c>
      <c r="F1684" s="5" t="str">
        <f>IFERROR(__xludf.DUMMYFUNCTION("GOOGLEFINANCE(""ASX:PHO"", ""pe"")"),"#N/A")</f>
        <v>#N/A</v>
      </c>
      <c r="G1684" s="9">
        <f>IFERROR(__xludf.DUMMYFUNCTION("GOOGLEFINANCE(""ASX:PHO"", ""high52"")"),0.19)</f>
        <v>0.19</v>
      </c>
      <c r="H1684" s="9">
        <f>IFERROR(__xludf.DUMMYFUNCTION("GOOGLEFINANCE(""ASX:PHO"", ""low52"")"),0.05)</f>
        <v>0.05</v>
      </c>
      <c r="I1684" s="9">
        <f>IFERROR(__xludf.DUMMYFUNCTION("GOOGLEFINANCE(""ASX:PHO"", ""marketcap"")"),7.0026906E7)</f>
        <v>70026906</v>
      </c>
      <c r="J1684" s="5"/>
      <c r="K1684" s="5"/>
      <c r="L1684" s="5"/>
      <c r="M1684" s="5"/>
      <c r="N1684" s="9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>
      <c r="A1685" s="6" t="s">
        <v>3352</v>
      </c>
      <c r="B1685" s="6" t="s">
        <v>3353</v>
      </c>
      <c r="C1685" s="5" t="s">
        <v>70</v>
      </c>
      <c r="D1685" s="7">
        <f>IFERROR(__xludf.DUMMYFUNCTION("GOOGLEFINANCE(""ASX:PHX"", ""price"")"),0.15)</f>
        <v>0.15</v>
      </c>
      <c r="E1685" s="8">
        <f>IFERROR(__xludf.DUMMYFUNCTION("GOOGLEFINANCE(""ASX:PHX"", ""closeyest"")"),0.15)</f>
        <v>0.15</v>
      </c>
      <c r="F1685" s="5" t="str">
        <f>IFERROR(__xludf.DUMMYFUNCTION("GOOGLEFINANCE(""ASX:PHX"", ""pe"")"),"#N/A")</f>
        <v>#N/A</v>
      </c>
      <c r="G1685" s="9">
        <f>IFERROR(__xludf.DUMMYFUNCTION("GOOGLEFINANCE(""ASX:PHX"", ""high52"")"),0.2)</f>
        <v>0.2</v>
      </c>
      <c r="H1685" s="9">
        <f>IFERROR(__xludf.DUMMYFUNCTION("GOOGLEFINANCE(""ASX:PHX"", ""low52"")"),0.07)</f>
        <v>0.07</v>
      </c>
      <c r="I1685" s="9">
        <f>IFERROR(__xludf.DUMMYFUNCTION("GOOGLEFINANCE(""ASX:PHX"", ""marketcap"")"),9.3137658E7)</f>
        <v>93137658</v>
      </c>
      <c r="J1685" s="5"/>
      <c r="K1685" s="5"/>
      <c r="L1685" s="5"/>
      <c r="M1685" s="5"/>
      <c r="N1685" s="9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>
      <c r="A1686" s="6" t="s">
        <v>3354</v>
      </c>
      <c r="B1686" s="6" t="s">
        <v>3355</v>
      </c>
      <c r="C1686" s="5" t="s">
        <v>171</v>
      </c>
      <c r="D1686" s="7">
        <f>IFERROR(__xludf.DUMMYFUNCTION("GOOGLEFINANCE(""ASX:PIA"", ""price"")"),1.31)</f>
        <v>1.31</v>
      </c>
      <c r="E1686" s="8">
        <f>IFERROR(__xludf.DUMMYFUNCTION("GOOGLEFINANCE(""ASX:PIA"", ""closeyest"")"),1.3)</f>
        <v>1.3</v>
      </c>
      <c r="F1686" s="9">
        <f>IFERROR(__xludf.DUMMYFUNCTION("GOOGLEFINANCE(""ASX:PIA"", ""pe"")"),9.94)</f>
        <v>9.94</v>
      </c>
      <c r="G1686" s="9">
        <f>IFERROR(__xludf.DUMMYFUNCTION("GOOGLEFINANCE(""ASX:PIA"", ""high52"")"),1.31)</f>
        <v>1.31</v>
      </c>
      <c r="H1686" s="9">
        <f>IFERROR(__xludf.DUMMYFUNCTION("GOOGLEFINANCE(""ASX:PIA"", ""low52"")"),1.02)</f>
        <v>1.02</v>
      </c>
      <c r="I1686" s="9">
        <f>IFERROR(__xludf.DUMMYFUNCTION("GOOGLEFINANCE(""ASX:PIA"", ""marketcap"")"),3.34803217E8)</f>
        <v>334803217</v>
      </c>
      <c r="J1686" s="5"/>
      <c r="K1686" s="5"/>
      <c r="L1686" s="5"/>
      <c r="M1686" s="5"/>
      <c r="N1686" s="9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>
      <c r="A1687" s="6" t="s">
        <v>3356</v>
      </c>
      <c r="B1687" s="6" t="s">
        <v>3357</v>
      </c>
      <c r="C1687" s="5" t="s">
        <v>171</v>
      </c>
      <c r="D1687" s="7">
        <f>IFERROR(__xludf.DUMMYFUNCTION("GOOGLEFINANCE(""ASX:PIC"", ""price"")"),1.27)</f>
        <v>1.27</v>
      </c>
      <c r="E1687" s="8">
        <f>IFERROR(__xludf.DUMMYFUNCTION("GOOGLEFINANCE(""ASX:PIC"", ""closeyest"")"),1.25)</f>
        <v>1.25</v>
      </c>
      <c r="F1687" s="9">
        <f>IFERROR(__xludf.DUMMYFUNCTION("GOOGLEFINANCE(""ASX:PIC"", ""pe"")"),22.33)</f>
        <v>22.33</v>
      </c>
      <c r="G1687" s="9">
        <f>IFERROR(__xludf.DUMMYFUNCTION("GOOGLEFINANCE(""ASX:PIC"", ""high52"")"),1.32)</f>
        <v>1.32</v>
      </c>
      <c r="H1687" s="9">
        <f>IFERROR(__xludf.DUMMYFUNCTION("GOOGLEFINANCE(""ASX:PIC"", ""low52"")"),1.09)</f>
        <v>1.09</v>
      </c>
      <c r="I1687" s="9">
        <f>IFERROR(__xludf.DUMMYFUNCTION("GOOGLEFINANCE(""ASX:PIC"", ""marketcap"")"),4.85898436E8)</f>
        <v>485898436</v>
      </c>
      <c r="J1687" s="5"/>
      <c r="K1687" s="5"/>
      <c r="L1687" s="5"/>
      <c r="M1687" s="5"/>
      <c r="N1687" s="9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>
      <c r="A1688" s="6" t="s">
        <v>3358</v>
      </c>
      <c r="B1688" s="6" t="s">
        <v>3359</v>
      </c>
      <c r="C1688" s="5" t="s">
        <v>15</v>
      </c>
      <c r="D1688" s="7">
        <f>IFERROR(__xludf.DUMMYFUNCTION("GOOGLEFINANCE(""ASX:PIL"", ""price"")"),0.0)</f>
        <v>0</v>
      </c>
      <c r="E1688" s="8">
        <f>IFERROR(__xludf.DUMMYFUNCTION("GOOGLEFINANCE(""ASX:PIL"", ""closeyest"")"),0.0)</f>
        <v>0</v>
      </c>
      <c r="F1688" s="5" t="str">
        <f>IFERROR(__xludf.DUMMYFUNCTION("GOOGLEFINANCE(""ASX:PIL"", ""pe"")"),"#N/A")</f>
        <v>#N/A</v>
      </c>
      <c r="G1688" s="9">
        <f>IFERROR(__xludf.DUMMYFUNCTION("GOOGLEFINANCE(""ASX:PIL"", ""high52"")"),0.01)</f>
        <v>0.01</v>
      </c>
      <c r="H1688" s="9">
        <f>IFERROR(__xludf.DUMMYFUNCTION("GOOGLEFINANCE(""ASX:PIL"", ""low52"")"),0.0)</f>
        <v>0</v>
      </c>
      <c r="I1688" s="9">
        <f>IFERROR(__xludf.DUMMYFUNCTION("GOOGLEFINANCE(""ASX:PIL"", ""marketcap"")"),5018040.0)</f>
        <v>5018040</v>
      </c>
      <c r="J1688" s="12">
        <v>0.004</v>
      </c>
      <c r="K1688" s="12">
        <v>0.004</v>
      </c>
      <c r="L1688" s="12">
        <v>0.006</v>
      </c>
      <c r="M1688" s="12">
        <v>0.002</v>
      </c>
      <c r="N1688" s="9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>
      <c r="A1689" s="6" t="s">
        <v>3360</v>
      </c>
      <c r="B1689" s="6" t="s">
        <v>3361</v>
      </c>
      <c r="C1689" s="5" t="s">
        <v>39</v>
      </c>
      <c r="D1689" s="7">
        <f>IFERROR(__xludf.DUMMYFUNCTION("GOOGLEFINANCE(""ASX:PIM"", ""price"")"),0.05)</f>
        <v>0.05</v>
      </c>
      <c r="E1689" s="8">
        <f>IFERROR(__xludf.DUMMYFUNCTION("GOOGLEFINANCE(""ASX:PIM"", ""closeyest"")"),0.05)</f>
        <v>0.05</v>
      </c>
      <c r="F1689" s="5" t="str">
        <f>IFERROR(__xludf.DUMMYFUNCTION("GOOGLEFINANCE(""ASX:PIM"", ""pe"")"),"#N/A")</f>
        <v>#N/A</v>
      </c>
      <c r="G1689" s="9">
        <f>IFERROR(__xludf.DUMMYFUNCTION("GOOGLEFINANCE(""ASX:PIM"", ""high52"")"),0.25)</f>
        <v>0.25</v>
      </c>
      <c r="H1689" s="9">
        <f>IFERROR(__xludf.DUMMYFUNCTION("GOOGLEFINANCE(""ASX:PIM"", ""low52"")"),0.03)</f>
        <v>0.03</v>
      </c>
      <c r="I1689" s="9">
        <f>IFERROR(__xludf.DUMMYFUNCTION("GOOGLEFINANCE(""ASX:PIM"", ""marketcap"")"),5773170.0)</f>
        <v>5773170</v>
      </c>
      <c r="J1689" s="5"/>
      <c r="K1689" s="5"/>
      <c r="L1689" s="5"/>
      <c r="M1689" s="5"/>
      <c r="N1689" s="9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>
      <c r="A1690" s="6" t="s">
        <v>3362</v>
      </c>
      <c r="B1690" s="6" t="s">
        <v>3363</v>
      </c>
      <c r="C1690" s="5" t="s">
        <v>25</v>
      </c>
      <c r="D1690" s="7">
        <f>IFERROR(__xludf.DUMMYFUNCTION("GOOGLEFINANCE(""ASX:PIQ"", ""price"")"),0.64)</f>
        <v>0.64</v>
      </c>
      <c r="E1690" s="8">
        <f>IFERROR(__xludf.DUMMYFUNCTION("GOOGLEFINANCE(""ASX:PIQ"", ""closeyest"")"),0.66)</f>
        <v>0.66</v>
      </c>
      <c r="F1690" s="5" t="str">
        <f>IFERROR(__xludf.DUMMYFUNCTION("GOOGLEFINANCE(""ASX:PIQ"", ""pe"")"),"#N/A")</f>
        <v>#N/A</v>
      </c>
      <c r="G1690" s="9">
        <f>IFERROR(__xludf.DUMMYFUNCTION("GOOGLEFINANCE(""ASX:PIQ"", ""high52"")"),0.76)</f>
        <v>0.76</v>
      </c>
      <c r="H1690" s="9">
        <f>IFERROR(__xludf.DUMMYFUNCTION("GOOGLEFINANCE(""ASX:PIQ"", ""low52"")"),0.28)</f>
        <v>0.28</v>
      </c>
      <c r="I1690" s="9">
        <f>IFERROR(__xludf.DUMMYFUNCTION("GOOGLEFINANCE(""ASX:PIQ"", ""marketcap"")"),1.04814269E8)</f>
        <v>104814269</v>
      </c>
      <c r="J1690" s="5"/>
      <c r="K1690" s="5"/>
      <c r="L1690" s="5"/>
      <c r="M1690" s="5"/>
      <c r="N1690" s="9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>
      <c r="A1691" s="6" t="s">
        <v>3364</v>
      </c>
      <c r="B1691" s="6" t="s">
        <v>3365</v>
      </c>
      <c r="C1691" s="5" t="s">
        <v>36</v>
      </c>
      <c r="D1691" s="7" t="str">
        <f>IFERROR(__xludf.DUMMYFUNCTION("GOOGLEFINANCE(""ASX:PIXX"", ""price"")"),"#N/A")</f>
        <v>#N/A</v>
      </c>
      <c r="E1691" s="8" t="str">
        <f>IFERROR(__xludf.DUMMYFUNCTION("GOOGLEFINANCE(""ASX:PIXX"", ""closeyest"")"),"#N/A")</f>
        <v>#N/A</v>
      </c>
      <c r="F1691" s="5" t="str">
        <f>IFERROR(__xludf.DUMMYFUNCTION("GOOGLEFINANCE(""ASX:PIXX"", ""pe"")"),"#N/A")</f>
        <v>#N/A</v>
      </c>
      <c r="G1691" s="5" t="str">
        <f>IFERROR(__xludf.DUMMYFUNCTION("GOOGLEFINANCE(""ASX:PIXX"", ""high52"")"),"#N/A")</f>
        <v>#N/A</v>
      </c>
      <c r="H1691" s="5" t="str">
        <f>IFERROR(__xludf.DUMMYFUNCTION("GOOGLEFINANCE(""ASX:PIXX"", ""low52"")"),"#N/A")</f>
        <v>#N/A</v>
      </c>
      <c r="I1691" s="9" t="str">
        <f>IFERROR(__xludf.DUMMYFUNCTION("GOOGLEFINANCE(""ASX:PIXX"", ""marketcap"")"),"#N/A")</f>
        <v>#N/A</v>
      </c>
      <c r="J1691" s="12">
        <v>5.77</v>
      </c>
      <c r="K1691" s="12">
        <v>5.81</v>
      </c>
      <c r="L1691" s="12">
        <v>5.88</v>
      </c>
      <c r="M1691" s="12">
        <v>4.56</v>
      </c>
      <c r="N1691" s="9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>
      <c r="A1692" s="6" t="s">
        <v>3366</v>
      </c>
      <c r="B1692" s="6" t="s">
        <v>3367</v>
      </c>
      <c r="C1692" s="5" t="s">
        <v>123</v>
      </c>
      <c r="D1692" s="7">
        <f>IFERROR(__xludf.DUMMYFUNCTION("GOOGLEFINANCE(""ASX:PKD"", ""price"")"),0.04)</f>
        <v>0.04</v>
      </c>
      <c r="E1692" s="8">
        <f>IFERROR(__xludf.DUMMYFUNCTION("GOOGLEFINANCE(""ASX:PKD"", ""closeyest"")"),0.04)</f>
        <v>0.04</v>
      </c>
      <c r="F1692" s="5" t="str">
        <f>IFERROR(__xludf.DUMMYFUNCTION("GOOGLEFINANCE(""ASX:PKD"", ""pe"")"),"#N/A")</f>
        <v>#N/A</v>
      </c>
      <c r="G1692" s="9">
        <f>IFERROR(__xludf.DUMMYFUNCTION("GOOGLEFINANCE(""ASX:PKD"", ""high52"")"),0.07)</f>
        <v>0.07</v>
      </c>
      <c r="H1692" s="9">
        <f>IFERROR(__xludf.DUMMYFUNCTION("GOOGLEFINANCE(""ASX:PKD"", ""low52"")"),0.02)</f>
        <v>0.02</v>
      </c>
      <c r="I1692" s="9">
        <f>IFERROR(__xludf.DUMMYFUNCTION("GOOGLEFINANCE(""ASX:PKD"", ""marketcap"")"),4473547.0)</f>
        <v>4473547</v>
      </c>
      <c r="J1692" s="5"/>
      <c r="K1692" s="5"/>
      <c r="L1692" s="5"/>
      <c r="M1692" s="5"/>
      <c r="N1692" s="9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>
      <c r="A1693" s="6" t="s">
        <v>3368</v>
      </c>
      <c r="B1693" s="6" t="s">
        <v>3369</v>
      </c>
      <c r="C1693" s="5" t="s">
        <v>39</v>
      </c>
      <c r="D1693" s="7">
        <f>IFERROR(__xludf.DUMMYFUNCTION("GOOGLEFINANCE(""ASX:PKO"", ""price"")"),0.0)</f>
        <v>0</v>
      </c>
      <c r="E1693" s="8">
        <f>IFERROR(__xludf.DUMMYFUNCTION("GOOGLEFINANCE(""ASX:PKO"", ""closeyest"")"),0.0)</f>
        <v>0</v>
      </c>
      <c r="F1693" s="5" t="str">
        <f>IFERROR(__xludf.DUMMYFUNCTION("GOOGLEFINANCE(""ASX:PKO"", ""pe"")"),"#N/A")</f>
        <v>#N/A</v>
      </c>
      <c r="G1693" s="9">
        <f>IFERROR(__xludf.DUMMYFUNCTION("GOOGLEFINANCE(""ASX:PKO"", ""high52"")"),0.01)</f>
        <v>0.01</v>
      </c>
      <c r="H1693" s="9">
        <f>IFERROR(__xludf.DUMMYFUNCTION("GOOGLEFINANCE(""ASX:PKO"", ""low52"")"),0.0)</f>
        <v>0</v>
      </c>
      <c r="I1693" s="9">
        <f>IFERROR(__xludf.DUMMYFUNCTION("GOOGLEFINANCE(""ASX:PKO"", ""marketcap"")"),2975484.0)</f>
        <v>2975484</v>
      </c>
      <c r="J1693" s="12">
        <v>0.004</v>
      </c>
      <c r="K1693" s="12">
        <v>0.004</v>
      </c>
      <c r="L1693" s="12">
        <v>0.006</v>
      </c>
      <c r="M1693" s="12">
        <v>0.001</v>
      </c>
      <c r="N1693" s="9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>
      <c r="A1694" s="6" t="s">
        <v>3370</v>
      </c>
      <c r="B1694" s="6" t="s">
        <v>3371</v>
      </c>
      <c r="C1694" s="5" t="s">
        <v>174</v>
      </c>
      <c r="D1694" s="7" t="str">
        <f>IFERROR(__xludf.DUMMYFUNCTION("GOOGLEFINANCE(""ASX:PKP"", ""price"")"),"#N/A")</f>
        <v>#N/A</v>
      </c>
      <c r="E1694" s="8" t="str">
        <f>IFERROR(__xludf.DUMMYFUNCTION("GOOGLEFINANCE(""ASX:PKP"", ""closeyest"")"),"#N/A")</f>
        <v>#N/A</v>
      </c>
      <c r="F1694" s="5" t="str">
        <f>IFERROR(__xludf.DUMMYFUNCTION("GOOGLEFINANCE(""ASX:PKP"", ""pe"")"),"#N/A")</f>
        <v>#N/A</v>
      </c>
      <c r="G1694" s="5" t="str">
        <f>IFERROR(__xludf.DUMMYFUNCTION("GOOGLEFINANCE(""ASX:PKP"", ""high52"")"),"#N/A")</f>
        <v>#N/A</v>
      </c>
      <c r="H1694" s="5" t="str">
        <f>IFERROR(__xludf.DUMMYFUNCTION("GOOGLEFINANCE(""ASX:PKP"", ""low52"")"),"#N/A")</f>
        <v>#N/A</v>
      </c>
      <c r="I1694" s="9" t="str">
        <f>IFERROR(__xludf.DUMMYFUNCTION("GOOGLEFINANCE(""ASX:PKP"", ""marketcap"")"),"#N/A")</f>
        <v>#N/A</v>
      </c>
      <c r="J1694" s="12">
        <v>0.02</v>
      </c>
      <c r="K1694" s="12">
        <v>0.02</v>
      </c>
      <c r="L1694" s="12">
        <v>0.024</v>
      </c>
      <c r="M1694" s="12">
        <v>0.019</v>
      </c>
      <c r="N1694" s="9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>
      <c r="A1695" s="6" t="s">
        <v>3372</v>
      </c>
      <c r="B1695" s="6" t="s">
        <v>3373</v>
      </c>
      <c r="C1695" s="5" t="s">
        <v>62</v>
      </c>
      <c r="D1695" s="7">
        <f>IFERROR(__xludf.DUMMYFUNCTION("GOOGLEFINANCE(""ASX:PKY"", ""price"")"),0.02)</f>
        <v>0.02</v>
      </c>
      <c r="E1695" s="8">
        <f>IFERROR(__xludf.DUMMYFUNCTION("GOOGLEFINANCE(""ASX:PKY"", ""closeyest"")"),0.02)</f>
        <v>0.02</v>
      </c>
      <c r="F1695" s="5" t="str">
        <f>IFERROR(__xludf.DUMMYFUNCTION("GOOGLEFINANCE(""ASX:PKY"", ""pe"")"),"#N/A")</f>
        <v>#N/A</v>
      </c>
      <c r="G1695" s="9">
        <f>IFERROR(__xludf.DUMMYFUNCTION("GOOGLEFINANCE(""ASX:PKY"", ""high52"")"),0.03)</f>
        <v>0.03</v>
      </c>
      <c r="H1695" s="9">
        <f>IFERROR(__xludf.DUMMYFUNCTION("GOOGLEFINANCE(""ASX:PKY"", ""low52"")"),0.01)</f>
        <v>0.01</v>
      </c>
      <c r="I1695" s="9">
        <f>IFERROR(__xludf.DUMMYFUNCTION("GOOGLEFINANCE(""ASX:PKY"", ""marketcap"")"),5828152.0)</f>
        <v>5828152</v>
      </c>
      <c r="J1695" s="5"/>
      <c r="K1695" s="5"/>
      <c r="L1695" s="5"/>
      <c r="M1695" s="5"/>
      <c r="N1695" s="9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>
      <c r="A1696" s="6" t="s">
        <v>3374</v>
      </c>
      <c r="B1696" s="6" t="s">
        <v>3375</v>
      </c>
      <c r="C1696" s="5" t="s">
        <v>39</v>
      </c>
      <c r="D1696" s="7">
        <f>IFERROR(__xludf.DUMMYFUNCTION("GOOGLEFINANCE(""ASX:PL3"", ""price"")"),0.07)</f>
        <v>0.07</v>
      </c>
      <c r="E1696" s="8">
        <f>IFERROR(__xludf.DUMMYFUNCTION("GOOGLEFINANCE(""ASX:PL3"", ""closeyest"")"),0.06)</f>
        <v>0.06</v>
      </c>
      <c r="F1696" s="5" t="str">
        <f>IFERROR(__xludf.DUMMYFUNCTION("GOOGLEFINANCE(""ASX:PL3"", ""pe"")"),"#N/A")</f>
        <v>#N/A</v>
      </c>
      <c r="G1696" s="9">
        <f>IFERROR(__xludf.DUMMYFUNCTION("GOOGLEFINANCE(""ASX:PL3"", ""high52"")"),0.16)</f>
        <v>0.16</v>
      </c>
      <c r="H1696" s="9">
        <f>IFERROR(__xludf.DUMMYFUNCTION("GOOGLEFINANCE(""ASX:PL3"", ""low52"")"),0.03)</f>
        <v>0.03</v>
      </c>
      <c r="I1696" s="9">
        <f>IFERROR(__xludf.DUMMYFUNCTION("GOOGLEFINANCE(""ASX:PL3"", ""marketcap"")"),1.3164991E7)</f>
        <v>13164991</v>
      </c>
      <c r="J1696" s="5"/>
      <c r="K1696" s="5"/>
      <c r="L1696" s="5"/>
      <c r="M1696" s="5"/>
      <c r="N1696" s="9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>
      <c r="A1697" s="6" t="s">
        <v>3376</v>
      </c>
      <c r="B1697" s="6" t="s">
        <v>3377</v>
      </c>
      <c r="C1697" s="5" t="s">
        <v>171</v>
      </c>
      <c r="D1697" s="7">
        <f>IFERROR(__xludf.DUMMYFUNCTION("GOOGLEFINANCE(""ASX:PL8"", ""price"")"),1.47)</f>
        <v>1.47</v>
      </c>
      <c r="E1697" s="8">
        <f>IFERROR(__xludf.DUMMYFUNCTION("GOOGLEFINANCE(""ASX:PL8"", ""closeyest"")"),1.48)</f>
        <v>1.48</v>
      </c>
      <c r="F1697" s="9">
        <f>IFERROR(__xludf.DUMMYFUNCTION("GOOGLEFINANCE(""ASX:PL8"", ""pe"")"),13.17)</f>
        <v>13.17</v>
      </c>
      <c r="G1697" s="9">
        <f>IFERROR(__xludf.DUMMYFUNCTION("GOOGLEFINANCE(""ASX:PL8"", ""high52"")"),1.5)</f>
        <v>1.5</v>
      </c>
      <c r="H1697" s="9">
        <f>IFERROR(__xludf.DUMMYFUNCTION("GOOGLEFINANCE(""ASX:PL8"", ""low52"")"),1.1)</f>
        <v>1.1</v>
      </c>
      <c r="I1697" s="9">
        <f>IFERROR(__xludf.DUMMYFUNCTION("GOOGLEFINANCE(""ASX:PL8"", ""marketcap"")"),1.09677687E9)</f>
        <v>1096776870</v>
      </c>
      <c r="J1697" s="5"/>
      <c r="K1697" s="5"/>
      <c r="L1697" s="5"/>
      <c r="M1697" s="5"/>
      <c r="N1697" s="9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>
      <c r="A1698" s="6" t="s">
        <v>3378</v>
      </c>
      <c r="B1698" s="6" t="s">
        <v>3379</v>
      </c>
      <c r="C1698" s="5" t="s">
        <v>39</v>
      </c>
      <c r="D1698" s="7">
        <f>IFERROR(__xludf.DUMMYFUNCTION("GOOGLEFINANCE(""ASX:PL9"", ""price"")"),0.01)</f>
        <v>0.01</v>
      </c>
      <c r="E1698" s="8">
        <f>IFERROR(__xludf.DUMMYFUNCTION("GOOGLEFINANCE(""ASX:PL9"", ""closeyest"")"),0.01)</f>
        <v>0.01</v>
      </c>
      <c r="F1698" s="9">
        <f>IFERROR(__xludf.DUMMYFUNCTION("GOOGLEFINANCE(""ASX:PL9"", ""pe"")"),2.73)</f>
        <v>2.73</v>
      </c>
      <c r="G1698" s="9">
        <f>IFERROR(__xludf.DUMMYFUNCTION("GOOGLEFINANCE(""ASX:PL9"", ""high52"")"),0.01)</f>
        <v>0.01</v>
      </c>
      <c r="H1698" s="9">
        <f>IFERROR(__xludf.DUMMYFUNCTION("GOOGLEFINANCE(""ASX:PL9"", ""low52"")"),0.01)</f>
        <v>0.01</v>
      </c>
      <c r="I1698" s="9">
        <f>IFERROR(__xludf.DUMMYFUNCTION("GOOGLEFINANCE(""ASX:PL9"", ""marketcap"")"),4.2689401E7)</f>
        <v>42689401</v>
      </c>
      <c r="J1698" s="9">
        <v>1.62</v>
      </c>
      <c r="K1698" s="9">
        <v>1.645</v>
      </c>
      <c r="L1698" s="9">
        <v>1.69</v>
      </c>
      <c r="M1698" s="9">
        <v>1.095</v>
      </c>
      <c r="N1698" s="9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>
      <c r="A1699" s="6" t="s">
        <v>3380</v>
      </c>
      <c r="B1699" s="6" t="s">
        <v>3381</v>
      </c>
      <c r="C1699" s="5" t="s">
        <v>961</v>
      </c>
      <c r="D1699" s="7">
        <f>IFERROR(__xludf.DUMMYFUNCTION("GOOGLEFINANCE(""ASX:PLA"", ""price"")"),0.31)</f>
        <v>0.31</v>
      </c>
      <c r="E1699" s="8">
        <f>IFERROR(__xludf.DUMMYFUNCTION("GOOGLEFINANCE(""ASX:PLA"", ""closeyest"")"),0.32)</f>
        <v>0.32</v>
      </c>
      <c r="F1699" s="9">
        <f>IFERROR(__xludf.DUMMYFUNCTION("GOOGLEFINANCE(""ASX:PLA"", ""pe"")"),688.89)</f>
        <v>688.89</v>
      </c>
      <c r="G1699" s="9">
        <f>IFERROR(__xludf.DUMMYFUNCTION("GOOGLEFINANCE(""ASX:PLA"", ""high52"")"),0.33)</f>
        <v>0.33</v>
      </c>
      <c r="H1699" s="9">
        <f>IFERROR(__xludf.DUMMYFUNCTION("GOOGLEFINANCE(""ASX:PLA"", ""low52"")"),0.24)</f>
        <v>0.24</v>
      </c>
      <c r="I1699" s="9">
        <f>IFERROR(__xludf.DUMMYFUNCTION("GOOGLEFINANCE(""ASX:PLA"", ""marketcap"")"),2.57687377E8)</f>
        <v>257687377</v>
      </c>
      <c r="J1699" s="5"/>
      <c r="K1699" s="5"/>
      <c r="L1699" s="5"/>
      <c r="M1699" s="5"/>
      <c r="N1699" s="9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>
      <c r="A1700" s="6" t="s">
        <v>3382</v>
      </c>
      <c r="B1700" s="6" t="s">
        <v>3383</v>
      </c>
      <c r="C1700" s="5" t="s">
        <v>18</v>
      </c>
      <c r="D1700" s="7">
        <f>IFERROR(__xludf.DUMMYFUNCTION("GOOGLEFINANCE(""ASX:PLC"", ""price"")"),0.01)</f>
        <v>0.01</v>
      </c>
      <c r="E1700" s="8">
        <f>IFERROR(__xludf.DUMMYFUNCTION("GOOGLEFINANCE(""ASX:PLC"", ""closeyest"")"),0.01)</f>
        <v>0.01</v>
      </c>
      <c r="F1700" s="5" t="str">
        <f>IFERROR(__xludf.DUMMYFUNCTION("GOOGLEFINANCE(""ASX:PLC"", ""pe"")"),"#N/A")</f>
        <v>#N/A</v>
      </c>
      <c r="G1700" s="9">
        <f>IFERROR(__xludf.DUMMYFUNCTION("GOOGLEFINANCE(""ASX:PLC"", ""high52"")"),0.02)</f>
        <v>0.02</v>
      </c>
      <c r="H1700" s="9">
        <f>IFERROR(__xludf.DUMMYFUNCTION("GOOGLEFINANCE(""ASX:PLC"", ""low52"")"),0.0)</f>
        <v>0</v>
      </c>
      <c r="I1700" s="9">
        <f>IFERROR(__xludf.DUMMYFUNCTION("GOOGLEFINANCE(""ASX:PLC"", ""marketcap"")"),2895936.0)</f>
        <v>2895936</v>
      </c>
      <c r="J1700" s="5"/>
      <c r="K1700" s="5"/>
      <c r="L1700" s="5"/>
      <c r="M1700" s="5"/>
      <c r="N1700" s="9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>
      <c r="A1701" s="6" t="s">
        <v>3384</v>
      </c>
      <c r="B1701" s="6" t="s">
        <v>3385</v>
      </c>
      <c r="C1701" s="5" t="s">
        <v>396</v>
      </c>
      <c r="D1701" s="7">
        <f>IFERROR(__xludf.DUMMYFUNCTION("GOOGLEFINANCE(""ASX:PLG"", ""price"")"),0.03)</f>
        <v>0.03</v>
      </c>
      <c r="E1701" s="8">
        <f>IFERROR(__xludf.DUMMYFUNCTION("GOOGLEFINANCE(""ASX:PLG"", ""closeyest"")"),0.03)</f>
        <v>0.03</v>
      </c>
      <c r="F1701" s="5" t="str">
        <f>IFERROR(__xludf.DUMMYFUNCTION("GOOGLEFINANCE(""ASX:PLG"", ""pe"")"),"#N/A")</f>
        <v>#N/A</v>
      </c>
      <c r="G1701" s="9">
        <f>IFERROR(__xludf.DUMMYFUNCTION("GOOGLEFINANCE(""ASX:PLG"", ""high52"")"),0.03)</f>
        <v>0.03</v>
      </c>
      <c r="H1701" s="9">
        <f>IFERROR(__xludf.DUMMYFUNCTION("GOOGLEFINANCE(""ASX:PLG"", ""low52"")"),0.01)</f>
        <v>0.01</v>
      </c>
      <c r="I1701" s="9">
        <f>IFERROR(__xludf.DUMMYFUNCTION("GOOGLEFINANCE(""ASX:PLG"", ""marketcap"")"),6954414.0)</f>
        <v>6954414</v>
      </c>
      <c r="J1701" s="5"/>
      <c r="K1701" s="5"/>
      <c r="L1701" s="5"/>
      <c r="M1701" s="5"/>
      <c r="N1701" s="9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>
      <c r="A1702" s="6" t="s">
        <v>3386</v>
      </c>
      <c r="B1702" s="6" t="s">
        <v>3387</v>
      </c>
      <c r="C1702" s="5" t="s">
        <v>18</v>
      </c>
      <c r="D1702" s="7">
        <f>IFERROR(__xludf.DUMMYFUNCTION("GOOGLEFINANCE(""ASX:PLS"", ""price"")"),4.83)</f>
        <v>4.83</v>
      </c>
      <c r="E1702" s="8">
        <f>IFERROR(__xludf.DUMMYFUNCTION("GOOGLEFINANCE(""ASX:PLS"", ""closeyest"")"),4.84)</f>
        <v>4.84</v>
      </c>
      <c r="F1702" s="5" t="str">
        <f>IFERROR(__xludf.DUMMYFUNCTION("GOOGLEFINANCE(""ASX:PLS"", ""pe"")"),"#N/A")</f>
        <v>#N/A</v>
      </c>
      <c r="G1702" s="9">
        <f>IFERROR(__xludf.DUMMYFUNCTION("GOOGLEFINANCE(""ASX:PLS"", ""high52"")"),4.89)</f>
        <v>4.89</v>
      </c>
      <c r="H1702" s="9">
        <f>IFERROR(__xludf.DUMMYFUNCTION("GOOGLEFINANCE(""ASX:PLS"", ""low52"")"),1.07)</f>
        <v>1.07</v>
      </c>
      <c r="I1702" s="9">
        <f>IFERROR(__xludf.DUMMYFUNCTION("GOOGLEFINANCE(""ASX:PLS"", ""marketcap"")"),1.5556714914E10)</f>
        <v>15556714914</v>
      </c>
      <c r="J1702" s="5"/>
      <c r="K1702" s="5"/>
      <c r="L1702" s="5"/>
      <c r="M1702" s="5"/>
      <c r="N1702" s="9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>
      <c r="A1703" s="6" t="s">
        <v>3388</v>
      </c>
      <c r="B1703" s="6" t="s">
        <v>3389</v>
      </c>
      <c r="C1703" s="5" t="s">
        <v>241</v>
      </c>
      <c r="D1703" s="7">
        <f>IFERROR(__xludf.DUMMYFUNCTION("GOOGLEFINANCE(""ASX:PLT"", ""price"")"),1.13)</f>
        <v>1.13</v>
      </c>
      <c r="E1703" s="8">
        <f>IFERROR(__xludf.DUMMYFUNCTION("GOOGLEFINANCE(""ASX:PLT"", ""closeyest"")"),1.12)</f>
        <v>1.12</v>
      </c>
      <c r="F1703" s="9">
        <f>IFERROR(__xludf.DUMMYFUNCTION("GOOGLEFINANCE(""ASX:PLT"", ""pe"")"),6.31)</f>
        <v>6.31</v>
      </c>
      <c r="G1703" s="9">
        <f>IFERROR(__xludf.DUMMYFUNCTION("GOOGLEFINANCE(""ASX:PLT"", ""high52"")"),1.65)</f>
        <v>1.65</v>
      </c>
      <c r="H1703" s="9">
        <f>IFERROR(__xludf.DUMMYFUNCTION("GOOGLEFINANCE(""ASX:PLT"", ""low52"")"),0.64)</f>
        <v>0.64</v>
      </c>
      <c r="I1703" s="9">
        <f>IFERROR(__xludf.DUMMYFUNCTION("GOOGLEFINANCE(""ASX:PLT"", ""marketcap"")"),2.0326519E8)</f>
        <v>203265190</v>
      </c>
      <c r="J1703" s="9">
        <v>2.45</v>
      </c>
      <c r="K1703" s="9">
        <v>2.45</v>
      </c>
      <c r="L1703" s="9">
        <v>2.54</v>
      </c>
      <c r="M1703" s="9">
        <v>2.125</v>
      </c>
      <c r="N1703" s="9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>
      <c r="A1704" s="6" t="s">
        <v>3390</v>
      </c>
      <c r="B1704" s="6" t="s">
        <v>3391</v>
      </c>
      <c r="C1704" s="5" t="s">
        <v>36</v>
      </c>
      <c r="D1704" s="7">
        <f>IFERROR(__xludf.DUMMYFUNCTION("GOOGLEFINANCE(""ASX:PLUS"", ""price"")"),16.98)</f>
        <v>16.98</v>
      </c>
      <c r="E1704" s="8">
        <f>IFERROR(__xludf.DUMMYFUNCTION("GOOGLEFINANCE(""ASX:PLUS"", ""closeyest"")"),16.96)</f>
        <v>16.96</v>
      </c>
      <c r="F1704" s="5" t="str">
        <f>IFERROR(__xludf.DUMMYFUNCTION("GOOGLEFINANCE(""ASX:PLUS"", ""pe"")"),"#N/A")</f>
        <v>#N/A</v>
      </c>
      <c r="G1704" s="9">
        <f>IFERROR(__xludf.DUMMYFUNCTION("GOOGLEFINANCE(""ASX:PLUS"", ""high52"")"),17.46)</f>
        <v>17.46</v>
      </c>
      <c r="H1704" s="9">
        <f>IFERROR(__xludf.DUMMYFUNCTION("GOOGLEFINANCE(""ASX:PLUS"", ""low52"")"),16.63)</f>
        <v>16.63</v>
      </c>
      <c r="I1704" s="9" t="str">
        <f>IFERROR(__xludf.DUMMYFUNCTION("GOOGLEFINANCE(""ASX:PLUS"", ""marketcap"")"),"#N/A")</f>
        <v>#N/A</v>
      </c>
      <c r="J1704" s="5"/>
      <c r="K1704" s="5"/>
      <c r="L1704" s="5"/>
      <c r="M1704" s="5"/>
      <c r="N1704" s="9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>
      <c r="A1705" s="6" t="s">
        <v>3392</v>
      </c>
      <c r="B1705" s="6" t="s">
        <v>3393</v>
      </c>
      <c r="C1705" s="5" t="s">
        <v>15</v>
      </c>
      <c r="D1705" s="7">
        <f>IFERROR(__xludf.DUMMYFUNCTION("GOOGLEFINANCE(""ASX:PLY"", ""price"")"),0.3)</f>
        <v>0.3</v>
      </c>
      <c r="E1705" s="8">
        <f>IFERROR(__xludf.DUMMYFUNCTION("GOOGLEFINANCE(""ASX:PLY"", ""closeyest"")"),0.32)</f>
        <v>0.32</v>
      </c>
      <c r="F1705" s="5" t="str">
        <f>IFERROR(__xludf.DUMMYFUNCTION("GOOGLEFINANCE(""ASX:PLY"", ""pe"")"),"#N/A")</f>
        <v>#N/A</v>
      </c>
      <c r="G1705" s="9">
        <f>IFERROR(__xludf.DUMMYFUNCTION("GOOGLEFINANCE(""ASX:PLY"", ""high52"")"),0.47)</f>
        <v>0.47</v>
      </c>
      <c r="H1705" s="9">
        <f>IFERROR(__xludf.DUMMYFUNCTION("GOOGLEFINANCE(""ASX:PLY"", ""low52"")"),0.11)</f>
        <v>0.11</v>
      </c>
      <c r="I1705" s="9">
        <f>IFERROR(__xludf.DUMMYFUNCTION("GOOGLEFINANCE(""ASX:PLY"", ""marketcap"")"),1.35444095E8)</f>
        <v>135444095</v>
      </c>
      <c r="J1705" s="5"/>
      <c r="K1705" s="5"/>
      <c r="L1705" s="5"/>
      <c r="M1705" s="5"/>
      <c r="N1705" s="9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>
      <c r="A1706" s="6" t="s">
        <v>3394</v>
      </c>
      <c r="B1706" s="6" t="s">
        <v>3395</v>
      </c>
      <c r="C1706" s="5" t="s">
        <v>62</v>
      </c>
      <c r="D1706" s="7">
        <f>IFERROR(__xludf.DUMMYFUNCTION("GOOGLEFINANCE(""ASX:PME"", ""price"")"),215.0)</f>
        <v>215</v>
      </c>
      <c r="E1706" s="8">
        <f>IFERROR(__xludf.DUMMYFUNCTION("GOOGLEFINANCE(""ASX:PME"", ""closeyest"")"),213.76)</f>
        <v>213.76</v>
      </c>
      <c r="F1706" s="9">
        <f>IFERROR(__xludf.DUMMYFUNCTION("GOOGLEFINANCE(""ASX:PME"", ""pe"")"),195.3)</f>
        <v>195.3</v>
      </c>
      <c r="G1706" s="9">
        <f>IFERROR(__xludf.DUMMYFUNCTION("GOOGLEFINANCE(""ASX:PME"", ""high52"")"),336.0)</f>
        <v>336</v>
      </c>
      <c r="H1706" s="9">
        <f>IFERROR(__xludf.DUMMYFUNCTION("GOOGLEFINANCE(""ASX:PME"", ""low52"")"),161.64)</f>
        <v>161.64</v>
      </c>
      <c r="I1706" s="9">
        <f>IFERROR(__xludf.DUMMYFUNCTION("GOOGLEFINANCE(""ASX:PME"", ""marketcap"")"),2.2469822E10)</f>
        <v>22469822000</v>
      </c>
      <c r="J1706" s="5"/>
      <c r="K1706" s="5"/>
      <c r="L1706" s="5"/>
      <c r="M1706" s="5"/>
      <c r="N1706" s="9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>
      <c r="A1707" s="6" t="s">
        <v>3396</v>
      </c>
      <c r="B1707" s="6" t="s">
        <v>3397</v>
      </c>
      <c r="C1707" s="5" t="s">
        <v>3398</v>
      </c>
      <c r="D1707" s="7" t="str">
        <f>IFERROR(__xludf.DUMMYFUNCTION("GOOGLEFINANCE(""ASX:PMGOLD"", ""price"")"),"#N/A")</f>
        <v>#N/A</v>
      </c>
      <c r="E1707" s="8" t="str">
        <f>IFERROR(__xludf.DUMMYFUNCTION("GOOGLEFINANCE(""ASX:PMGOLD"", ""closeyest"")"),"#N/A")</f>
        <v>#N/A</v>
      </c>
      <c r="F1707" s="5" t="str">
        <f>IFERROR(__xludf.DUMMYFUNCTION("GOOGLEFINANCE(""ASX:PMGOLD"", ""pe"")"),"#N/A")</f>
        <v>#N/A</v>
      </c>
      <c r="G1707" s="5" t="str">
        <f>IFERROR(__xludf.DUMMYFUNCTION("GOOGLEFINANCE(""ASX:PMGOLD"", ""high52"")"),"#N/A")</f>
        <v>#N/A</v>
      </c>
      <c r="H1707" s="5" t="str">
        <f>IFERROR(__xludf.DUMMYFUNCTION("GOOGLEFINANCE(""ASX:PMGOLD"", ""low52"")"),"#N/A")</f>
        <v>#N/A</v>
      </c>
      <c r="I1707" s="9" t="str">
        <f>IFERROR(__xludf.DUMMYFUNCTION("GOOGLEFINANCE(""ASX:PMGOLD"", ""marketcap"")"),"#N/A")</f>
        <v>#N/A</v>
      </c>
      <c r="J1707" s="12">
        <v>17.94</v>
      </c>
      <c r="K1707" s="12">
        <v>17.94</v>
      </c>
      <c r="L1707" s="12">
        <v>67.48</v>
      </c>
      <c r="M1707" s="12">
        <v>0.0</v>
      </c>
      <c r="N1707" s="9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>
      <c r="A1708" s="6" t="s">
        <v>3399</v>
      </c>
      <c r="B1708" s="6" t="s">
        <v>3400</v>
      </c>
      <c r="C1708" s="5" t="s">
        <v>39</v>
      </c>
      <c r="D1708" s="7" t="str">
        <f>IFERROR(__xludf.DUMMYFUNCTION("GOOGLEFINANCE(""ASX:PMM"", ""price"")"),"#N/A")</f>
        <v>#N/A</v>
      </c>
      <c r="E1708" s="8" t="str">
        <f>IFERROR(__xludf.DUMMYFUNCTION("GOOGLEFINANCE(""ASX:PMM"", ""closeyest"")"),"#N/A")</f>
        <v>#N/A</v>
      </c>
      <c r="F1708" s="5" t="str">
        <f>IFERROR(__xludf.DUMMYFUNCTION("GOOGLEFINANCE(""ASX:PMM"", ""pe"")"),"#N/A")</f>
        <v>#N/A</v>
      </c>
      <c r="G1708" s="5" t="str">
        <f>IFERROR(__xludf.DUMMYFUNCTION("GOOGLEFINANCE(""ASX:PMM"", ""high52"")"),"#N/A")</f>
        <v>#N/A</v>
      </c>
      <c r="H1708" s="5" t="str">
        <f>IFERROR(__xludf.DUMMYFUNCTION("GOOGLEFINANCE(""ASX:PMM"", ""low52"")"),"#N/A")</f>
        <v>#N/A</v>
      </c>
      <c r="I1708" s="9" t="str">
        <f>IFERROR(__xludf.DUMMYFUNCTION("GOOGLEFINANCE(""ASX:PMM"", ""marketcap"")"),"#N/A")</f>
        <v>#N/A</v>
      </c>
      <c r="J1708" s="12">
        <v>0.185</v>
      </c>
      <c r="K1708" s="12">
        <v>0.185</v>
      </c>
      <c r="L1708" s="12">
        <v>0.205</v>
      </c>
      <c r="M1708" s="12">
        <v>0.14</v>
      </c>
      <c r="N1708" s="9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>
      <c r="A1709" s="6" t="s">
        <v>3401</v>
      </c>
      <c r="B1709" s="6" t="s">
        <v>3402</v>
      </c>
      <c r="C1709" s="5" t="s">
        <v>18</v>
      </c>
      <c r="D1709" s="7">
        <f>IFERROR(__xludf.DUMMYFUNCTION("GOOGLEFINANCE(""ASX:PMT"", ""price"")"),0.62)</f>
        <v>0.62</v>
      </c>
      <c r="E1709" s="8">
        <f>IFERROR(__xludf.DUMMYFUNCTION("GOOGLEFINANCE(""ASX:PMT"", ""closeyest"")"),0.64)</f>
        <v>0.64</v>
      </c>
      <c r="F1709" s="5" t="str">
        <f>IFERROR(__xludf.DUMMYFUNCTION("GOOGLEFINANCE(""ASX:PMT"", ""pe"")"),"#N/A")</f>
        <v>#N/A</v>
      </c>
      <c r="G1709" s="9">
        <f>IFERROR(__xludf.DUMMYFUNCTION("GOOGLEFINANCE(""ASX:PMT"", ""high52"")"),0.65)</f>
        <v>0.65</v>
      </c>
      <c r="H1709" s="9">
        <f>IFERROR(__xludf.DUMMYFUNCTION("GOOGLEFINANCE(""ASX:PMT"", ""low52"")"),0.19)</f>
        <v>0.19</v>
      </c>
      <c r="I1709" s="9">
        <f>IFERROR(__xludf.DUMMYFUNCTION("GOOGLEFINANCE(""ASX:PMT"", ""marketcap"")"),9.67955732E8)</f>
        <v>967955732</v>
      </c>
      <c r="J1709" s="5"/>
      <c r="K1709" s="5"/>
      <c r="L1709" s="5"/>
      <c r="M1709" s="5"/>
      <c r="N1709" s="9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>
      <c r="A1710" s="6" t="s">
        <v>3403</v>
      </c>
      <c r="B1710" s="6" t="s">
        <v>3404</v>
      </c>
      <c r="C1710" s="5" t="s">
        <v>620</v>
      </c>
      <c r="D1710" s="7">
        <f>IFERROR(__xludf.DUMMYFUNCTION("GOOGLEFINANCE(""ASX:PMV"", ""price"")"),13.39)</f>
        <v>13.39</v>
      </c>
      <c r="E1710" s="8">
        <f>IFERROR(__xludf.DUMMYFUNCTION("GOOGLEFINANCE(""ASX:PMV"", ""closeyest"")"),13.42)</f>
        <v>13.42</v>
      </c>
      <c r="F1710" s="9">
        <f>IFERROR(__xludf.DUMMYFUNCTION("GOOGLEFINANCE(""ASX:PMV"", ""pe"")"),14.89)</f>
        <v>14.89</v>
      </c>
      <c r="G1710" s="9">
        <f>IFERROR(__xludf.DUMMYFUNCTION("GOOGLEFINANCE(""ASX:PMV"", ""high52"")"),33.84)</f>
        <v>33.84</v>
      </c>
      <c r="H1710" s="9">
        <f>IFERROR(__xludf.DUMMYFUNCTION("GOOGLEFINANCE(""ASX:PMV"", ""low52"")"),13.33)</f>
        <v>13.33</v>
      </c>
      <c r="I1710" s="9">
        <f>IFERROR(__xludf.DUMMYFUNCTION("GOOGLEFINANCE(""ASX:PMV"", ""marketcap"")"),2.140791915E9)</f>
        <v>2140791915</v>
      </c>
      <c r="J1710" s="5"/>
      <c r="K1710" s="5"/>
      <c r="L1710" s="5"/>
      <c r="M1710" s="5"/>
      <c r="N1710" s="9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>
      <c r="A1711" s="6" t="s">
        <v>3405</v>
      </c>
      <c r="B1711" s="6" t="s">
        <v>3406</v>
      </c>
      <c r="C1711" s="5" t="s">
        <v>873</v>
      </c>
      <c r="D1711" s="7">
        <f>IFERROR(__xludf.DUMMYFUNCTION("GOOGLEFINANCE(""ASX:PNC"", ""price"")"),0.7)</f>
        <v>0.7</v>
      </c>
      <c r="E1711" s="8">
        <f>IFERROR(__xludf.DUMMYFUNCTION("GOOGLEFINANCE(""ASX:PNC"", ""closeyest"")"),0.67)</f>
        <v>0.67</v>
      </c>
      <c r="F1711" s="9">
        <f>IFERROR(__xludf.DUMMYFUNCTION("GOOGLEFINANCE(""ASX:PNC"", ""pe"")"),19.04)</f>
        <v>19.04</v>
      </c>
      <c r="G1711" s="9">
        <f>IFERROR(__xludf.DUMMYFUNCTION("GOOGLEFINANCE(""ASX:PNC"", ""high52"")"),0.79)</f>
        <v>0.79</v>
      </c>
      <c r="H1711" s="9">
        <f>IFERROR(__xludf.DUMMYFUNCTION("GOOGLEFINANCE(""ASX:PNC"", ""low52"")"),0.37)</f>
        <v>0.37</v>
      </c>
      <c r="I1711" s="9">
        <f>IFERROR(__xludf.DUMMYFUNCTION("GOOGLEFINANCE(""ASX:PNC"", ""marketcap"")"),1.10867719E8)</f>
        <v>110867719</v>
      </c>
      <c r="J1711" s="5"/>
      <c r="K1711" s="5"/>
      <c r="L1711" s="5"/>
      <c r="M1711" s="5"/>
      <c r="N1711" s="9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>
      <c r="A1712" s="6" t="s">
        <v>3407</v>
      </c>
      <c r="B1712" s="6" t="s">
        <v>3408</v>
      </c>
      <c r="C1712" s="5" t="s">
        <v>171</v>
      </c>
      <c r="D1712" s="7">
        <f>IFERROR(__xludf.DUMMYFUNCTION("GOOGLEFINANCE(""ASX:PNI"", ""price"")"),17.22)</f>
        <v>17.22</v>
      </c>
      <c r="E1712" s="8">
        <f>IFERROR(__xludf.DUMMYFUNCTION("GOOGLEFINANCE(""ASX:PNI"", ""closeyest"")"),17.13)</f>
        <v>17.13</v>
      </c>
      <c r="F1712" s="9">
        <f>IFERROR(__xludf.DUMMYFUNCTION("GOOGLEFINANCE(""ASX:PNI"", ""pe"")"),27.61)</f>
        <v>27.61</v>
      </c>
      <c r="G1712" s="9">
        <f>IFERROR(__xludf.DUMMYFUNCTION("GOOGLEFINANCE(""ASX:PNI"", ""high52"")"),27.11)</f>
        <v>27.11</v>
      </c>
      <c r="H1712" s="9">
        <f>IFERROR(__xludf.DUMMYFUNCTION("GOOGLEFINANCE(""ASX:PNI"", ""low52"")"),13.59)</f>
        <v>13.59</v>
      </c>
      <c r="I1712" s="9">
        <f>IFERROR(__xludf.DUMMYFUNCTION("GOOGLEFINANCE(""ASX:PNI"", ""marketcap"")"),3.933016847E9)</f>
        <v>3933016847</v>
      </c>
      <c r="J1712" s="9">
        <v>67.57</v>
      </c>
      <c r="K1712" s="9">
        <v>67.57</v>
      </c>
      <c r="L1712" s="9">
        <v>70.0</v>
      </c>
      <c r="M1712" s="9">
        <v>55.41</v>
      </c>
      <c r="N1712" s="9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>
      <c r="A1713" s="6" t="s">
        <v>3409</v>
      </c>
      <c r="B1713" s="6" t="s">
        <v>3410</v>
      </c>
      <c r="C1713" s="5" t="s">
        <v>39</v>
      </c>
      <c r="D1713" s="7">
        <f>IFERROR(__xludf.DUMMYFUNCTION("GOOGLEFINANCE(""ASX:PNM"", ""price"")"),0.02)</f>
        <v>0.02</v>
      </c>
      <c r="E1713" s="8">
        <f>IFERROR(__xludf.DUMMYFUNCTION("GOOGLEFINANCE(""ASX:PNM"", ""closeyest"")"),0.02)</f>
        <v>0.02</v>
      </c>
      <c r="F1713" s="5" t="str">
        <f>IFERROR(__xludf.DUMMYFUNCTION("GOOGLEFINANCE(""ASX:PNM"", ""pe"")"),"#N/A")</f>
        <v>#N/A</v>
      </c>
      <c r="G1713" s="9">
        <f>IFERROR(__xludf.DUMMYFUNCTION("GOOGLEFINANCE(""ASX:PNM"", ""high52"")"),0.02)</f>
        <v>0.02</v>
      </c>
      <c r="H1713" s="9">
        <f>IFERROR(__xludf.DUMMYFUNCTION("GOOGLEFINANCE(""ASX:PNM"", ""low52"")"),0.02)</f>
        <v>0.02</v>
      </c>
      <c r="I1713" s="9">
        <f>IFERROR(__xludf.DUMMYFUNCTION("GOOGLEFINANCE(""ASX:PNM"", ""marketcap"")"),1.0539984E7)</f>
        <v>10539984</v>
      </c>
      <c r="J1713" s="5"/>
      <c r="K1713" s="5"/>
      <c r="L1713" s="5"/>
      <c r="M1713" s="5"/>
      <c r="N1713" s="9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>
      <c r="A1714" s="6" t="s">
        <v>3411</v>
      </c>
      <c r="B1714" s="6" t="s">
        <v>3412</v>
      </c>
      <c r="C1714" s="5" t="s">
        <v>18</v>
      </c>
      <c r="D1714" s="7">
        <f>IFERROR(__xludf.DUMMYFUNCTION("GOOGLEFINANCE(""ASX:PNN"", ""price"")"),0.09)</f>
        <v>0.09</v>
      </c>
      <c r="E1714" s="8">
        <f>IFERROR(__xludf.DUMMYFUNCTION("GOOGLEFINANCE(""ASX:PNN"", ""closeyest"")"),0.09)</f>
        <v>0.09</v>
      </c>
      <c r="F1714" s="5" t="str">
        <f>IFERROR(__xludf.DUMMYFUNCTION("GOOGLEFINANCE(""ASX:PNN"", ""pe"")"),"#N/A")</f>
        <v>#N/A</v>
      </c>
      <c r="G1714" s="9">
        <f>IFERROR(__xludf.DUMMYFUNCTION("GOOGLEFINANCE(""ASX:PNN"", ""high52"")"),0.31)</f>
        <v>0.31</v>
      </c>
      <c r="H1714" s="9">
        <f>IFERROR(__xludf.DUMMYFUNCTION("GOOGLEFINANCE(""ASX:PNN"", ""low52"")"),0.06)</f>
        <v>0.06</v>
      </c>
      <c r="I1714" s="9">
        <f>IFERROR(__xludf.DUMMYFUNCTION("GOOGLEFINANCE(""ASX:PNN"", ""marketcap"")"),2.558161E7)</f>
        <v>25581610</v>
      </c>
      <c r="J1714" s="5"/>
      <c r="K1714" s="5"/>
      <c r="L1714" s="5"/>
      <c r="M1714" s="5"/>
      <c r="N1714" s="9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>
      <c r="A1715" s="6" t="s">
        <v>3413</v>
      </c>
      <c r="B1715" s="6" t="s">
        <v>3414</v>
      </c>
      <c r="C1715" s="5" t="s">
        <v>88</v>
      </c>
      <c r="D1715" s="7">
        <f>IFERROR(__xludf.DUMMYFUNCTION("GOOGLEFINANCE(""ASX:PNR"", ""price"")"),5.24)</f>
        <v>5.24</v>
      </c>
      <c r="E1715" s="8">
        <f>IFERROR(__xludf.DUMMYFUNCTION("GOOGLEFINANCE(""ASX:PNR"", ""closeyest"")"),5.27)</f>
        <v>5.27</v>
      </c>
      <c r="F1715" s="9">
        <f>IFERROR(__xludf.DUMMYFUNCTION("GOOGLEFINANCE(""ASX:PNR"", ""pe"")"),36.11)</f>
        <v>36.11</v>
      </c>
      <c r="G1715" s="9">
        <f>IFERROR(__xludf.DUMMYFUNCTION("GOOGLEFINANCE(""ASX:PNR"", ""high52"")"),6.61)</f>
        <v>6.61</v>
      </c>
      <c r="H1715" s="9">
        <f>IFERROR(__xludf.DUMMYFUNCTION("GOOGLEFINANCE(""ASX:PNR"", ""low52"")"),1.6)</f>
        <v>1.6</v>
      </c>
      <c r="I1715" s="9">
        <f>IFERROR(__xludf.DUMMYFUNCTION("GOOGLEFINANCE(""ASX:PNR"", ""marketcap"")"),2.065507825E9)</f>
        <v>2065507825</v>
      </c>
      <c r="J1715" s="5"/>
      <c r="K1715" s="5"/>
      <c r="L1715" s="5"/>
      <c r="M1715" s="5"/>
      <c r="N1715" s="9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>
      <c r="A1716" s="6" t="s">
        <v>3415</v>
      </c>
      <c r="B1716" s="6" t="s">
        <v>3416</v>
      </c>
      <c r="C1716" s="5" t="s">
        <v>18</v>
      </c>
      <c r="D1716" s="7">
        <f>IFERROR(__xludf.DUMMYFUNCTION("GOOGLEFINANCE(""ASX:PNT"", ""price"")"),0.01)</f>
        <v>0.01</v>
      </c>
      <c r="E1716" s="8">
        <f>IFERROR(__xludf.DUMMYFUNCTION("GOOGLEFINANCE(""ASX:PNT"", ""closeyest"")"),0.01)</f>
        <v>0.01</v>
      </c>
      <c r="F1716" s="5" t="str">
        <f>IFERROR(__xludf.DUMMYFUNCTION("GOOGLEFINANCE(""ASX:PNT"", ""pe"")"),"#N/A")</f>
        <v>#N/A</v>
      </c>
      <c r="G1716" s="9">
        <f>IFERROR(__xludf.DUMMYFUNCTION("GOOGLEFINANCE(""ASX:PNT"", ""high52"")"),0.02)</f>
        <v>0.02</v>
      </c>
      <c r="H1716" s="9">
        <f>IFERROR(__xludf.DUMMYFUNCTION("GOOGLEFINANCE(""ASX:PNT"", ""low52"")"),0.01)</f>
        <v>0.01</v>
      </c>
      <c r="I1716" s="9">
        <f>IFERROR(__xludf.DUMMYFUNCTION("GOOGLEFINANCE(""ASX:PNT"", ""marketcap"")"),3675349.0)</f>
        <v>3675349</v>
      </c>
      <c r="J1716" s="5"/>
      <c r="K1716" s="5"/>
      <c r="L1716" s="5"/>
      <c r="M1716" s="5"/>
      <c r="N1716" s="9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>
      <c r="A1717" s="6" t="s">
        <v>3417</v>
      </c>
      <c r="B1717" s="6" t="s">
        <v>3418</v>
      </c>
      <c r="C1717" s="5" t="s">
        <v>276</v>
      </c>
      <c r="D1717" s="7">
        <f>IFERROR(__xludf.DUMMYFUNCTION("GOOGLEFINANCE(""ASX:PNV"", ""price"")"),1.21)</f>
        <v>1.21</v>
      </c>
      <c r="E1717" s="8">
        <f>IFERROR(__xludf.DUMMYFUNCTION("GOOGLEFINANCE(""ASX:PNV"", ""closeyest"")"),1.18)</f>
        <v>1.18</v>
      </c>
      <c r="F1717" s="9">
        <f>IFERROR(__xludf.DUMMYFUNCTION("GOOGLEFINANCE(""ASX:PNV"", ""pe"")"),63.42)</f>
        <v>63.42</v>
      </c>
      <c r="G1717" s="9">
        <f>IFERROR(__xludf.DUMMYFUNCTION("GOOGLEFINANCE(""ASX:PNV"", ""high52"")"),2.36)</f>
        <v>2.36</v>
      </c>
      <c r="H1717" s="9">
        <f>IFERROR(__xludf.DUMMYFUNCTION("GOOGLEFINANCE(""ASX:PNV"", ""low52"")"),0.93)</f>
        <v>0.93</v>
      </c>
      <c r="I1717" s="9">
        <f>IFERROR(__xludf.DUMMYFUNCTION("GOOGLEFINANCE(""ASX:PNV"", ""marketcap"")"),8.32522013E8)</f>
        <v>832522013</v>
      </c>
      <c r="J1717" s="5"/>
      <c r="K1717" s="5"/>
      <c r="L1717" s="5"/>
      <c r="M1717" s="5"/>
      <c r="N1717" s="9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>
      <c r="A1718" s="6" t="s">
        <v>3419</v>
      </c>
      <c r="B1718" s="6" t="s">
        <v>3420</v>
      </c>
      <c r="C1718" s="5" t="s">
        <v>18</v>
      </c>
      <c r="D1718" s="7">
        <f>IFERROR(__xludf.DUMMYFUNCTION("GOOGLEFINANCE(""ASX:POD"", ""price"")"),0.09)</f>
        <v>0.09</v>
      </c>
      <c r="E1718" s="8">
        <f>IFERROR(__xludf.DUMMYFUNCTION("GOOGLEFINANCE(""ASX:POD"", ""closeyest"")"),0.09)</f>
        <v>0.09</v>
      </c>
      <c r="F1718" s="5" t="str">
        <f>IFERROR(__xludf.DUMMYFUNCTION("GOOGLEFINANCE(""ASX:POD"", ""pe"")"),"#N/A")</f>
        <v>#N/A</v>
      </c>
      <c r="G1718" s="9">
        <f>IFERROR(__xludf.DUMMYFUNCTION("GOOGLEFINANCE(""ASX:POD"", ""high52"")"),0.12)</f>
        <v>0.12</v>
      </c>
      <c r="H1718" s="9">
        <f>IFERROR(__xludf.DUMMYFUNCTION("GOOGLEFINANCE(""ASX:POD"", ""low52"")"),0.02)</f>
        <v>0.02</v>
      </c>
      <c r="I1718" s="9">
        <f>IFERROR(__xludf.DUMMYFUNCTION("GOOGLEFINANCE(""ASX:POD"", ""marketcap"")"),9.3331263E7)</f>
        <v>93331263</v>
      </c>
      <c r="J1718" s="5"/>
      <c r="K1718" s="5"/>
      <c r="L1718" s="5"/>
      <c r="M1718" s="5"/>
      <c r="N1718" s="9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>
      <c r="A1719" s="6" t="s">
        <v>3421</v>
      </c>
      <c r="B1719" s="6" t="s">
        <v>3422</v>
      </c>
      <c r="C1719" s="5" t="s">
        <v>88</v>
      </c>
      <c r="D1719" s="7">
        <f>IFERROR(__xludf.DUMMYFUNCTION("GOOGLEFINANCE(""ASX:POL"", ""price"")"),1.34)</f>
        <v>1.34</v>
      </c>
      <c r="E1719" s="8">
        <f>IFERROR(__xludf.DUMMYFUNCTION("GOOGLEFINANCE(""ASX:POL"", ""closeyest"")"),1.31)</f>
        <v>1.31</v>
      </c>
      <c r="F1719" s="5" t="str">
        <f>IFERROR(__xludf.DUMMYFUNCTION("GOOGLEFINANCE(""ASX:POL"", ""pe"")"),"#N/A")</f>
        <v>#N/A</v>
      </c>
      <c r="G1719" s="9">
        <f>IFERROR(__xludf.DUMMYFUNCTION("GOOGLEFINANCE(""ASX:POL"", ""high52"")"),1.5)</f>
        <v>1.5</v>
      </c>
      <c r="H1719" s="9">
        <f>IFERROR(__xludf.DUMMYFUNCTION("GOOGLEFINANCE(""ASX:POL"", ""low52"")"),0.63)</f>
        <v>0.63</v>
      </c>
      <c r="I1719" s="9">
        <f>IFERROR(__xludf.DUMMYFUNCTION("GOOGLEFINANCE(""ASX:POL"", ""marketcap"")"),4.1125664E8)</f>
        <v>411256640</v>
      </c>
      <c r="J1719" s="5"/>
      <c r="K1719" s="5"/>
      <c r="L1719" s="5"/>
      <c r="M1719" s="5"/>
      <c r="N1719" s="9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>
      <c r="A1720" s="6" t="s">
        <v>3423</v>
      </c>
      <c r="B1720" s="6" t="s">
        <v>3424</v>
      </c>
      <c r="C1720" s="5" t="s">
        <v>143</v>
      </c>
      <c r="D1720" s="7">
        <f>IFERROR(__xludf.DUMMYFUNCTION("GOOGLEFINANCE(""ASX:PPC"", ""price"")"),1.98)</f>
        <v>1.98</v>
      </c>
      <c r="E1720" s="8">
        <f>IFERROR(__xludf.DUMMYFUNCTION("GOOGLEFINANCE(""ASX:PPC"", ""closeyest"")"),1.99)</f>
        <v>1.99</v>
      </c>
      <c r="F1720" s="9">
        <f>IFERROR(__xludf.DUMMYFUNCTION("GOOGLEFINANCE(""ASX:PPC"", ""pe"")"),15.82)</f>
        <v>15.82</v>
      </c>
      <c r="G1720" s="9">
        <f>IFERROR(__xludf.DUMMYFUNCTION("GOOGLEFINANCE(""ASX:PPC"", ""high52"")"),2.1)</f>
        <v>2.1</v>
      </c>
      <c r="H1720" s="9">
        <f>IFERROR(__xludf.DUMMYFUNCTION("GOOGLEFINANCE(""ASX:PPC"", ""low52"")"),1.26)</f>
        <v>1.26</v>
      </c>
      <c r="I1720" s="9">
        <f>IFERROR(__xludf.DUMMYFUNCTION("GOOGLEFINANCE(""ASX:PPC"", ""marketcap"")"),9.24613838E8)</f>
        <v>924613838</v>
      </c>
      <c r="J1720" s="5"/>
      <c r="K1720" s="5"/>
      <c r="L1720" s="5"/>
      <c r="M1720" s="5"/>
      <c r="N1720" s="9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>
      <c r="A1721" s="6" t="s">
        <v>3425</v>
      </c>
      <c r="B1721" s="6" t="s">
        <v>3426</v>
      </c>
      <c r="C1721" s="5" t="s">
        <v>509</v>
      </c>
      <c r="D1721" s="7">
        <f>IFERROR(__xludf.DUMMYFUNCTION("GOOGLEFINANCE(""ASX:PPE"", ""price"")"),0.86)</f>
        <v>0.86</v>
      </c>
      <c r="E1721" s="8">
        <f>IFERROR(__xludf.DUMMYFUNCTION("GOOGLEFINANCE(""ASX:PPE"", ""closeyest"")"),0.88)</f>
        <v>0.88</v>
      </c>
      <c r="F1721" s="5" t="str">
        <f>IFERROR(__xludf.DUMMYFUNCTION("GOOGLEFINANCE(""ASX:PPE"", ""pe"")"),"#N/A")</f>
        <v>#N/A</v>
      </c>
      <c r="G1721" s="9">
        <f>IFERROR(__xludf.DUMMYFUNCTION("GOOGLEFINANCE(""ASX:PPE"", ""high52"")"),1.01)</f>
        <v>1.01</v>
      </c>
      <c r="H1721" s="9">
        <f>IFERROR(__xludf.DUMMYFUNCTION("GOOGLEFINANCE(""ASX:PPE"", ""low52"")"),0.59)</f>
        <v>0.59</v>
      </c>
      <c r="I1721" s="9">
        <f>IFERROR(__xludf.DUMMYFUNCTION("GOOGLEFINANCE(""ASX:PPE"", ""marketcap"")"),9.3428417E7)</f>
        <v>93428417</v>
      </c>
      <c r="J1721" s="5"/>
      <c r="K1721" s="5"/>
      <c r="L1721" s="5"/>
      <c r="M1721" s="5"/>
      <c r="N1721" s="9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>
      <c r="A1722" s="6" t="s">
        <v>3427</v>
      </c>
      <c r="B1722" s="6" t="s">
        <v>3428</v>
      </c>
      <c r="C1722" s="5" t="s">
        <v>375</v>
      </c>
      <c r="D1722" s="7">
        <f>IFERROR(__xludf.DUMMYFUNCTION("GOOGLEFINANCE(""ASX:PPG"", ""price"")"),0.02)</f>
        <v>0.02</v>
      </c>
      <c r="E1722" s="8">
        <f>IFERROR(__xludf.DUMMYFUNCTION("GOOGLEFINANCE(""ASX:PPG"", ""closeyest"")"),0.02)</f>
        <v>0.02</v>
      </c>
      <c r="F1722" s="5" t="str">
        <f>IFERROR(__xludf.DUMMYFUNCTION("GOOGLEFINANCE(""ASX:PPG"", ""pe"")"),"#N/A")</f>
        <v>#N/A</v>
      </c>
      <c r="G1722" s="9">
        <f>IFERROR(__xludf.DUMMYFUNCTION("GOOGLEFINANCE(""ASX:PPG"", ""high52"")"),0.03)</f>
        <v>0.03</v>
      </c>
      <c r="H1722" s="9">
        <f>IFERROR(__xludf.DUMMYFUNCTION("GOOGLEFINANCE(""ASX:PPG"", ""low52"")"),0.01)</f>
        <v>0.01</v>
      </c>
      <c r="I1722" s="9">
        <f>IFERROR(__xludf.DUMMYFUNCTION("GOOGLEFINANCE(""ASX:PPG"", ""marketcap"")"),3270380.0)</f>
        <v>3270380</v>
      </c>
      <c r="J1722" s="5"/>
      <c r="K1722" s="5"/>
      <c r="L1722" s="5"/>
      <c r="M1722" s="5"/>
      <c r="N1722" s="9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>
      <c r="A1723" s="6" t="s">
        <v>3429</v>
      </c>
      <c r="B1723" s="6" t="s">
        <v>3430</v>
      </c>
      <c r="C1723" s="5" t="s">
        <v>22</v>
      </c>
      <c r="D1723" s="7">
        <f>IFERROR(__xludf.DUMMYFUNCTION("GOOGLEFINANCE(""ASX:PPK"", ""price"")"),0.48)</f>
        <v>0.48</v>
      </c>
      <c r="E1723" s="8">
        <f>IFERROR(__xludf.DUMMYFUNCTION("GOOGLEFINANCE(""ASX:PPK"", ""closeyest"")"),0.48)</f>
        <v>0.48</v>
      </c>
      <c r="F1723" s="5" t="str">
        <f>IFERROR(__xludf.DUMMYFUNCTION("GOOGLEFINANCE(""ASX:PPK"", ""pe"")"),"#N/A")</f>
        <v>#N/A</v>
      </c>
      <c r="G1723" s="9">
        <f>IFERROR(__xludf.DUMMYFUNCTION("GOOGLEFINANCE(""ASX:PPK"", ""high52"")"),0.72)</f>
        <v>0.72</v>
      </c>
      <c r="H1723" s="9">
        <f>IFERROR(__xludf.DUMMYFUNCTION("GOOGLEFINANCE(""ASX:PPK"", ""low52"")"),0.28)</f>
        <v>0.28</v>
      </c>
      <c r="I1723" s="9">
        <f>IFERROR(__xludf.DUMMYFUNCTION("GOOGLEFINANCE(""ASX:PPK"", ""marketcap"")"),4.2667069E7)</f>
        <v>42667069</v>
      </c>
      <c r="J1723" s="5"/>
      <c r="K1723" s="5"/>
      <c r="L1723" s="5"/>
      <c r="M1723" s="5"/>
      <c r="N1723" s="9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>
      <c r="A1724" s="6" t="s">
        <v>3431</v>
      </c>
      <c r="B1724" s="6" t="s">
        <v>3432</v>
      </c>
      <c r="C1724" s="5" t="s">
        <v>1470</v>
      </c>
      <c r="D1724" s="7">
        <f>IFERROR(__xludf.DUMMYFUNCTION("GOOGLEFINANCE(""ASX:PPL"", ""price"")"),0.05)</f>
        <v>0.05</v>
      </c>
      <c r="E1724" s="8">
        <f>IFERROR(__xludf.DUMMYFUNCTION("GOOGLEFINANCE(""ASX:PPL"", ""closeyest"")"),0.05)</f>
        <v>0.05</v>
      </c>
      <c r="F1724" s="9">
        <f>IFERROR(__xludf.DUMMYFUNCTION("GOOGLEFINANCE(""ASX:PPL"", ""pe"")"),37.6)</f>
        <v>37.6</v>
      </c>
      <c r="G1724" s="9">
        <f>IFERROR(__xludf.DUMMYFUNCTION("GOOGLEFINANCE(""ASX:PPL"", ""high52"")"),0.05)</f>
        <v>0.05</v>
      </c>
      <c r="H1724" s="9">
        <f>IFERROR(__xludf.DUMMYFUNCTION("GOOGLEFINANCE(""ASX:PPL"", ""low52"")"),0.03)</f>
        <v>0.03</v>
      </c>
      <c r="I1724" s="9">
        <f>IFERROR(__xludf.DUMMYFUNCTION("GOOGLEFINANCE(""ASX:PPL"", ""marketcap"")"),5.2781233E7)</f>
        <v>52781233</v>
      </c>
      <c r="J1724" s="5"/>
      <c r="K1724" s="5"/>
      <c r="L1724" s="5"/>
      <c r="M1724" s="5"/>
      <c r="N1724" s="9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>
      <c r="A1725" s="6" t="s">
        <v>3433</v>
      </c>
      <c r="B1725" s="6" t="s">
        <v>3434</v>
      </c>
      <c r="C1725" s="5" t="s">
        <v>241</v>
      </c>
      <c r="D1725" s="7">
        <f>IFERROR(__xludf.DUMMYFUNCTION("GOOGLEFINANCE(""ASX:PPM"", ""price"")"),2.12)</f>
        <v>2.12</v>
      </c>
      <c r="E1725" s="8">
        <f>IFERROR(__xludf.DUMMYFUNCTION("GOOGLEFINANCE(""ASX:PPM"", ""closeyest"")"),2.06)</f>
        <v>2.06</v>
      </c>
      <c r="F1725" s="9">
        <f>IFERROR(__xludf.DUMMYFUNCTION("GOOGLEFINANCE(""ASX:PPM"", ""pe"")"),9.88)</f>
        <v>9.88</v>
      </c>
      <c r="G1725" s="9">
        <f>IFERROR(__xludf.DUMMYFUNCTION("GOOGLEFINANCE(""ASX:PPM"", ""high52"")"),2.58)</f>
        <v>2.58</v>
      </c>
      <c r="H1725" s="9">
        <f>IFERROR(__xludf.DUMMYFUNCTION("GOOGLEFINANCE(""ASX:PPM"", ""low52"")"),1.27)</f>
        <v>1.27</v>
      </c>
      <c r="I1725" s="9">
        <f>IFERROR(__xludf.DUMMYFUNCTION("GOOGLEFINANCE(""ASX:PPM"", ""marketcap"")"),9.42371537E8)</f>
        <v>942371537</v>
      </c>
      <c r="J1725" s="5"/>
      <c r="K1725" s="5"/>
      <c r="L1725" s="5"/>
      <c r="M1725" s="5"/>
      <c r="N1725" s="9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>
      <c r="A1726" s="6" t="s">
        <v>3435</v>
      </c>
      <c r="B1726" s="6" t="s">
        <v>3436</v>
      </c>
      <c r="C1726" s="5" t="s">
        <v>33</v>
      </c>
      <c r="D1726" s="7">
        <f>IFERROR(__xludf.DUMMYFUNCTION("GOOGLEFINANCE(""ASX:PPS"", ""price"")"),0.79)</f>
        <v>0.79</v>
      </c>
      <c r="E1726" s="8">
        <f>IFERROR(__xludf.DUMMYFUNCTION("GOOGLEFINANCE(""ASX:PPS"", ""closeyest"")"),0.78)</f>
        <v>0.78</v>
      </c>
      <c r="F1726" s="9">
        <f>IFERROR(__xludf.DUMMYFUNCTION("GOOGLEFINANCE(""ASX:PPS"", ""pe"")"),27.92)</f>
        <v>27.92</v>
      </c>
      <c r="G1726" s="9">
        <f>IFERROR(__xludf.DUMMYFUNCTION("GOOGLEFINANCE(""ASX:PPS"", ""high52"")"),0.95)</f>
        <v>0.95</v>
      </c>
      <c r="H1726" s="9">
        <f>IFERROR(__xludf.DUMMYFUNCTION("GOOGLEFINANCE(""ASX:PPS"", ""low52"")"),0.56)</f>
        <v>0.56</v>
      </c>
      <c r="I1726" s="9">
        <f>IFERROR(__xludf.DUMMYFUNCTION("GOOGLEFINANCE(""ASX:PPS"", ""marketcap"")"),3.75469472E8)</f>
        <v>375469472</v>
      </c>
      <c r="J1726" s="5"/>
      <c r="K1726" s="5"/>
      <c r="L1726" s="5"/>
      <c r="M1726" s="5"/>
      <c r="N1726" s="9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>
      <c r="A1727" s="6" t="s">
        <v>3437</v>
      </c>
      <c r="B1727" s="6" t="s">
        <v>3438</v>
      </c>
      <c r="C1727" s="5" t="s">
        <v>171</v>
      </c>
      <c r="D1727" s="7">
        <f>IFERROR(__xludf.DUMMYFUNCTION("GOOGLEFINANCE(""ASX:PPT"", ""price"")"),19.35)</f>
        <v>19.35</v>
      </c>
      <c r="E1727" s="8">
        <f>IFERROR(__xludf.DUMMYFUNCTION("GOOGLEFINANCE(""ASX:PPT"", ""closeyest"")"),18.91)</f>
        <v>18.91</v>
      </c>
      <c r="F1727" s="5" t="str">
        <f>IFERROR(__xludf.DUMMYFUNCTION("GOOGLEFINANCE(""ASX:PPT"", ""pe"")"),"#N/A")</f>
        <v>#N/A</v>
      </c>
      <c r="G1727" s="9">
        <f>IFERROR(__xludf.DUMMYFUNCTION("GOOGLEFINANCE(""ASX:PPT"", ""high52"")"),24.08)</f>
        <v>24.08</v>
      </c>
      <c r="H1727" s="9">
        <f>IFERROR(__xludf.DUMMYFUNCTION("GOOGLEFINANCE(""ASX:PPT"", ""low52"")"),14.98)</f>
        <v>14.98</v>
      </c>
      <c r="I1727" s="9">
        <f>IFERROR(__xludf.DUMMYFUNCTION("GOOGLEFINANCE(""ASX:PPT"", ""marketcap"")"),2.235495869E9)</f>
        <v>2235495869</v>
      </c>
      <c r="J1727" s="5"/>
      <c r="K1727" s="5"/>
      <c r="L1727" s="5"/>
      <c r="M1727" s="5"/>
      <c r="N1727" s="9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>
      <c r="A1728" s="6" t="s">
        <v>3439</v>
      </c>
      <c r="B1728" s="6" t="s">
        <v>3440</v>
      </c>
      <c r="C1728" s="5" t="s">
        <v>3441</v>
      </c>
      <c r="D1728" s="7">
        <f>IFERROR(__xludf.DUMMYFUNCTION("GOOGLEFINANCE(""ASX:PPY"", ""price"")"),0.01)</f>
        <v>0.01</v>
      </c>
      <c r="E1728" s="8">
        <f>IFERROR(__xludf.DUMMYFUNCTION("GOOGLEFINANCE(""ASX:PPY"", ""closeyest"")"),0.01)</f>
        <v>0.01</v>
      </c>
      <c r="F1728" s="5" t="str">
        <f>IFERROR(__xludf.DUMMYFUNCTION("GOOGLEFINANCE(""ASX:PPY"", ""pe"")"),"#N/A")</f>
        <v>#N/A</v>
      </c>
      <c r="G1728" s="9">
        <f>IFERROR(__xludf.DUMMYFUNCTION("GOOGLEFINANCE(""ASX:PPY"", ""high52"")"),0.05)</f>
        <v>0.05</v>
      </c>
      <c r="H1728" s="9">
        <f>IFERROR(__xludf.DUMMYFUNCTION("GOOGLEFINANCE(""ASX:PPY"", ""low52"")"),0.01)</f>
        <v>0.01</v>
      </c>
      <c r="I1728" s="9">
        <f>IFERROR(__xludf.DUMMYFUNCTION("GOOGLEFINANCE(""ASX:PPY"", ""marketcap"")"),5547439.0)</f>
        <v>5547439</v>
      </c>
      <c r="J1728" s="5"/>
      <c r="K1728" s="5"/>
      <c r="L1728" s="5"/>
      <c r="M1728" s="5"/>
      <c r="N1728" s="9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>
      <c r="A1729" s="6" t="s">
        <v>3442</v>
      </c>
      <c r="B1729" s="6" t="s">
        <v>3443</v>
      </c>
      <c r="C1729" s="5" t="s">
        <v>18</v>
      </c>
      <c r="D1729" s="7">
        <f>IFERROR(__xludf.DUMMYFUNCTION("GOOGLEFINANCE(""ASX:PR1"", ""price"")"),0.27)</f>
        <v>0.27</v>
      </c>
      <c r="E1729" s="8">
        <f>IFERROR(__xludf.DUMMYFUNCTION("GOOGLEFINANCE(""ASX:PR1"", ""closeyest"")"),0.25)</f>
        <v>0.25</v>
      </c>
      <c r="F1729" s="5" t="str">
        <f>IFERROR(__xludf.DUMMYFUNCTION("GOOGLEFINANCE(""ASX:PR1"", ""pe"")"),"#N/A")</f>
        <v>#N/A</v>
      </c>
      <c r="G1729" s="9">
        <f>IFERROR(__xludf.DUMMYFUNCTION("GOOGLEFINANCE(""ASX:PR1"", ""high52"")"),0.28)</f>
        <v>0.28</v>
      </c>
      <c r="H1729" s="9">
        <f>IFERROR(__xludf.DUMMYFUNCTION("GOOGLEFINANCE(""ASX:PR1"", ""low52"")"),0.09)</f>
        <v>0.09</v>
      </c>
      <c r="I1729" s="9">
        <f>IFERROR(__xludf.DUMMYFUNCTION("GOOGLEFINANCE(""ASX:PR1"", ""marketcap"")"),1.5277866E7)</f>
        <v>15277866</v>
      </c>
      <c r="J1729" s="9">
        <v>0.003</v>
      </c>
      <c r="K1729" s="9">
        <v>0.003</v>
      </c>
      <c r="L1729" s="9">
        <v>0.006</v>
      </c>
      <c r="M1729" s="9">
        <v>0.002</v>
      </c>
      <c r="N1729" s="9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>
      <c r="A1730" s="6" t="s">
        <v>3444</v>
      </c>
      <c r="B1730" s="6" t="s">
        <v>3445</v>
      </c>
      <c r="C1730" s="5" t="s">
        <v>18</v>
      </c>
      <c r="D1730" s="7">
        <f>IFERROR(__xludf.DUMMYFUNCTION("GOOGLEFINANCE(""ASX:PR2"", ""price"")"),0.14)</f>
        <v>0.14</v>
      </c>
      <c r="E1730" s="8">
        <f>IFERROR(__xludf.DUMMYFUNCTION("GOOGLEFINANCE(""ASX:PR2"", ""closeyest"")"),0.14)</f>
        <v>0.14</v>
      </c>
      <c r="F1730" s="5" t="str">
        <f>IFERROR(__xludf.DUMMYFUNCTION("GOOGLEFINANCE(""ASX:PR2"", ""pe"")"),"#N/A")</f>
        <v>#N/A</v>
      </c>
      <c r="G1730" s="9">
        <f>IFERROR(__xludf.DUMMYFUNCTION("GOOGLEFINANCE(""ASX:PR2"", ""high52"")"),0.24)</f>
        <v>0.24</v>
      </c>
      <c r="H1730" s="9">
        <f>IFERROR(__xludf.DUMMYFUNCTION("GOOGLEFINANCE(""ASX:PR2"", ""low52"")"),0.05)</f>
        <v>0.05</v>
      </c>
      <c r="I1730" s="9">
        <f>IFERROR(__xludf.DUMMYFUNCTION("GOOGLEFINANCE(""ASX:PR2"", ""marketcap"")"),1.4498155E7)</f>
        <v>14498155</v>
      </c>
      <c r="J1730" s="5"/>
      <c r="K1730" s="5"/>
      <c r="L1730" s="5"/>
      <c r="M1730" s="5"/>
      <c r="N1730" s="9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>
      <c r="A1731" s="6" t="s">
        <v>3446</v>
      </c>
      <c r="B1731" s="6" t="s">
        <v>3447</v>
      </c>
      <c r="C1731" s="5" t="s">
        <v>3448</v>
      </c>
      <c r="D1731" s="7">
        <f>IFERROR(__xludf.DUMMYFUNCTION("GOOGLEFINANCE(""ASX:PRG"", ""price"")"),1.27)</f>
        <v>1.27</v>
      </c>
      <c r="E1731" s="8">
        <f>IFERROR(__xludf.DUMMYFUNCTION("GOOGLEFINANCE(""ASX:PRG"", ""closeyest"")"),1.27)</f>
        <v>1.27</v>
      </c>
      <c r="F1731" s="9">
        <f>IFERROR(__xludf.DUMMYFUNCTION("GOOGLEFINANCE(""ASX:PRG"", ""pe"")"),13.36)</f>
        <v>13.36</v>
      </c>
      <c r="G1731" s="9">
        <f>IFERROR(__xludf.DUMMYFUNCTION("GOOGLEFINANCE(""ASX:PRG"", ""high52"")"),1.9)</f>
        <v>1.9</v>
      </c>
      <c r="H1731" s="9">
        <f>IFERROR(__xludf.DUMMYFUNCTION("GOOGLEFINANCE(""ASX:PRG"", ""low52"")"),1.24)</f>
        <v>1.24</v>
      </c>
      <c r="I1731" s="9">
        <f>IFERROR(__xludf.DUMMYFUNCTION("GOOGLEFINANCE(""ASX:PRG"", ""marketcap"")"),1.406527E8)</f>
        <v>140652700</v>
      </c>
      <c r="J1731" s="5"/>
      <c r="K1731" s="5"/>
      <c r="L1731" s="5"/>
      <c r="M1731" s="5"/>
      <c r="N1731" s="9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>
      <c r="A1732" s="6" t="s">
        <v>3449</v>
      </c>
      <c r="B1732" s="6" t="s">
        <v>3450</v>
      </c>
      <c r="C1732" s="5" t="s">
        <v>78</v>
      </c>
      <c r="D1732" s="7">
        <f>IFERROR(__xludf.DUMMYFUNCTION("GOOGLEFINANCE(""ASX:PRM"", ""price"")"),0.0)</f>
        <v>0</v>
      </c>
      <c r="E1732" s="8">
        <f>IFERROR(__xludf.DUMMYFUNCTION("GOOGLEFINANCE(""ASX:PRM"", ""closeyest"")"),0.0)</f>
        <v>0</v>
      </c>
      <c r="F1732" s="5" t="str">
        <f>IFERROR(__xludf.DUMMYFUNCTION("GOOGLEFINANCE(""ASX:PRM"", ""pe"")"),"#N/A")</f>
        <v>#N/A</v>
      </c>
      <c r="G1732" s="9">
        <f>IFERROR(__xludf.DUMMYFUNCTION("GOOGLEFINANCE(""ASX:PRM"", ""high52"")"),0.01)</f>
        <v>0.01</v>
      </c>
      <c r="H1732" s="9">
        <f>IFERROR(__xludf.DUMMYFUNCTION("GOOGLEFINANCE(""ASX:PRM"", ""low52"")"),0.0)</f>
        <v>0</v>
      </c>
      <c r="I1732" s="9">
        <f>IFERROR(__xludf.DUMMYFUNCTION("GOOGLEFINANCE(""ASX:PRM"", ""marketcap"")"),583764.0)</f>
        <v>583764</v>
      </c>
      <c r="J1732" s="12">
        <v>0.003</v>
      </c>
      <c r="K1732" s="12">
        <v>0.003</v>
      </c>
      <c r="L1732" s="12">
        <v>0.005</v>
      </c>
      <c r="M1732" s="12">
        <v>0.002</v>
      </c>
      <c r="N1732" s="9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>
      <c r="A1733" s="6" t="s">
        <v>3451</v>
      </c>
      <c r="B1733" s="6" t="s">
        <v>3452</v>
      </c>
      <c r="C1733" s="5" t="s">
        <v>396</v>
      </c>
      <c r="D1733" s="7">
        <f>IFERROR(__xludf.DUMMYFUNCTION("GOOGLEFINANCE(""ASX:PRN"", ""price"")"),2.86)</f>
        <v>2.86</v>
      </c>
      <c r="E1733" s="8">
        <f>IFERROR(__xludf.DUMMYFUNCTION("GOOGLEFINANCE(""ASX:PRN"", ""closeyest"")"),2.92)</f>
        <v>2.92</v>
      </c>
      <c r="F1733" s="9">
        <f>IFERROR(__xludf.DUMMYFUNCTION("GOOGLEFINANCE(""ASX:PRN"", ""pe"")"),22.79)</f>
        <v>22.79</v>
      </c>
      <c r="G1733" s="9">
        <f>IFERROR(__xludf.DUMMYFUNCTION("GOOGLEFINANCE(""ASX:PRN"", ""high52"")"),2.98)</f>
        <v>2.98</v>
      </c>
      <c r="H1733" s="9">
        <f>IFERROR(__xludf.DUMMYFUNCTION("GOOGLEFINANCE(""ASX:PRN"", ""low52"")"),1.11)</f>
        <v>1.11</v>
      </c>
      <c r="I1733" s="9">
        <f>IFERROR(__xludf.DUMMYFUNCTION("GOOGLEFINANCE(""ASX:PRN"", ""marketcap"")"),5.09821979E8)</f>
        <v>509821979</v>
      </c>
      <c r="J1733" s="5"/>
      <c r="K1733" s="5"/>
      <c r="L1733" s="5"/>
      <c r="M1733" s="5"/>
      <c r="N1733" s="9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>
      <c r="A1734" s="6" t="s">
        <v>3453</v>
      </c>
      <c r="B1734" s="6" t="s">
        <v>3454</v>
      </c>
      <c r="C1734" s="5" t="s">
        <v>15</v>
      </c>
      <c r="D1734" s="7">
        <f>IFERROR(__xludf.DUMMYFUNCTION("GOOGLEFINANCE(""ASX:PRO"", ""price"")"),0.14)</f>
        <v>0.14</v>
      </c>
      <c r="E1734" s="8">
        <f>IFERROR(__xludf.DUMMYFUNCTION("GOOGLEFINANCE(""ASX:PRO"", ""closeyest"")"),0.14)</f>
        <v>0.14</v>
      </c>
      <c r="F1734" s="5" t="str">
        <f>IFERROR(__xludf.DUMMYFUNCTION("GOOGLEFINANCE(""ASX:PRO"", ""pe"")"),"#N/A")</f>
        <v>#N/A</v>
      </c>
      <c r="G1734" s="9">
        <f>IFERROR(__xludf.DUMMYFUNCTION("GOOGLEFINANCE(""ASX:PRO"", ""high52"")"),0.56)</f>
        <v>0.56</v>
      </c>
      <c r="H1734" s="9">
        <f>IFERROR(__xludf.DUMMYFUNCTION("GOOGLEFINANCE(""ASX:PRO"", ""low52"")"),0.13)</f>
        <v>0.13</v>
      </c>
      <c r="I1734" s="9">
        <f>IFERROR(__xludf.DUMMYFUNCTION("GOOGLEFINANCE(""ASX:PRO"", ""marketcap"")"),1.069418E7)</f>
        <v>10694180</v>
      </c>
      <c r="J1734" s="5"/>
      <c r="K1734" s="5"/>
      <c r="L1734" s="5"/>
      <c r="M1734" s="5"/>
      <c r="N1734" s="9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>
      <c r="A1735" s="6" t="s">
        <v>3455</v>
      </c>
      <c r="B1735" s="6" t="s">
        <v>3456</v>
      </c>
      <c r="C1735" s="5" t="s">
        <v>88</v>
      </c>
      <c r="D1735" s="7">
        <f>IFERROR(__xludf.DUMMYFUNCTION("GOOGLEFINANCE(""ASX:PRU"", ""price"")"),5.75)</f>
        <v>5.75</v>
      </c>
      <c r="E1735" s="8">
        <f>IFERROR(__xludf.DUMMYFUNCTION("GOOGLEFINANCE(""ASX:PRU"", ""closeyest"")"),5.71)</f>
        <v>5.71</v>
      </c>
      <c r="F1735" s="9">
        <f>IFERROR(__xludf.DUMMYFUNCTION("GOOGLEFINANCE(""ASX:PRU"", ""pe"")"),14.34)</f>
        <v>14.34</v>
      </c>
      <c r="G1735" s="9">
        <f>IFERROR(__xludf.DUMMYFUNCTION("GOOGLEFINANCE(""ASX:PRU"", ""high52"")"),5.85)</f>
        <v>5.85</v>
      </c>
      <c r="H1735" s="9">
        <f>IFERROR(__xludf.DUMMYFUNCTION("GOOGLEFINANCE(""ASX:PRU"", ""low52"")"),2.56)</f>
        <v>2.56</v>
      </c>
      <c r="I1735" s="9">
        <f>IFERROR(__xludf.DUMMYFUNCTION("GOOGLEFINANCE(""ASX:PRU"", ""marketcap"")"),7.7695725E9)</f>
        <v>7769572500</v>
      </c>
      <c r="J1735" s="5"/>
      <c r="K1735" s="5"/>
      <c r="L1735" s="5"/>
      <c r="M1735" s="5"/>
      <c r="N1735" s="9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>
      <c r="A1736" s="6" t="s">
        <v>3457</v>
      </c>
      <c r="B1736" s="6" t="s">
        <v>3458</v>
      </c>
      <c r="C1736" s="5" t="s">
        <v>18</v>
      </c>
      <c r="D1736" s="7">
        <f>IFERROR(__xludf.DUMMYFUNCTION("GOOGLEFINANCE(""ASX:PRX"", ""price"")"),0.06)</f>
        <v>0.06</v>
      </c>
      <c r="E1736" s="8">
        <f>IFERROR(__xludf.DUMMYFUNCTION("GOOGLEFINANCE(""ASX:PRX"", ""closeyest"")"),0.06)</f>
        <v>0.06</v>
      </c>
      <c r="F1736" s="5" t="str">
        <f>IFERROR(__xludf.DUMMYFUNCTION("GOOGLEFINANCE(""ASX:PRX"", ""pe"")"),"#N/A")</f>
        <v>#N/A</v>
      </c>
      <c r="G1736" s="9">
        <f>IFERROR(__xludf.DUMMYFUNCTION("GOOGLEFINANCE(""ASX:PRX"", ""high52"")"),0.08)</f>
        <v>0.08</v>
      </c>
      <c r="H1736" s="9">
        <f>IFERROR(__xludf.DUMMYFUNCTION("GOOGLEFINANCE(""ASX:PRX"", ""low52"")"),0.02)</f>
        <v>0.02</v>
      </c>
      <c r="I1736" s="9">
        <f>IFERROR(__xludf.DUMMYFUNCTION("GOOGLEFINANCE(""ASX:PRX"", ""marketcap"")"),1.9551419E7)</f>
        <v>19551419</v>
      </c>
      <c r="J1736" s="5"/>
      <c r="K1736" s="5"/>
      <c r="L1736" s="5"/>
      <c r="M1736" s="5"/>
      <c r="N1736" s="9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>
      <c r="A1737" s="6" t="s">
        <v>3459</v>
      </c>
      <c r="B1737" s="6" t="s">
        <v>3460</v>
      </c>
      <c r="C1737" s="5" t="s">
        <v>39</v>
      </c>
      <c r="D1737" s="7">
        <f>IFERROR(__xludf.DUMMYFUNCTION("GOOGLEFINANCE(""ASX:PSC"", ""price"")"),0.29)</f>
        <v>0.29</v>
      </c>
      <c r="E1737" s="8">
        <f>IFERROR(__xludf.DUMMYFUNCTION("GOOGLEFINANCE(""ASX:PSC"", ""closeyest"")"),0.27)</f>
        <v>0.27</v>
      </c>
      <c r="F1737" s="5" t="str">
        <f>IFERROR(__xludf.DUMMYFUNCTION("GOOGLEFINANCE(""ASX:PSC"", ""pe"")"),"#N/A")</f>
        <v>#N/A</v>
      </c>
      <c r="G1737" s="9">
        <f>IFERROR(__xludf.DUMMYFUNCTION("GOOGLEFINANCE(""ASX:PSC"", ""high52"")"),0.3)</f>
        <v>0.3</v>
      </c>
      <c r="H1737" s="9">
        <f>IFERROR(__xludf.DUMMYFUNCTION("GOOGLEFINANCE(""ASX:PSC"", ""low52"")"),0.09)</f>
        <v>0.09</v>
      </c>
      <c r="I1737" s="9">
        <f>IFERROR(__xludf.DUMMYFUNCTION("GOOGLEFINANCE(""ASX:PSC"", ""marketcap"")"),2.04472266E8)</f>
        <v>204472266</v>
      </c>
      <c r="J1737" s="5"/>
      <c r="K1737" s="5"/>
      <c r="L1737" s="5"/>
      <c r="M1737" s="5"/>
      <c r="N1737" s="9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>
      <c r="A1738" s="6" t="s">
        <v>3461</v>
      </c>
      <c r="B1738" s="6" t="s">
        <v>3462</v>
      </c>
      <c r="C1738" s="5" t="s">
        <v>18</v>
      </c>
      <c r="D1738" s="7">
        <f>IFERROR(__xludf.DUMMYFUNCTION("GOOGLEFINANCE(""ASX:PSL"", ""price"")"),0.03)</f>
        <v>0.03</v>
      </c>
      <c r="E1738" s="8">
        <f>IFERROR(__xludf.DUMMYFUNCTION("GOOGLEFINANCE(""ASX:PSL"", ""closeyest"")"),0.03)</f>
        <v>0.03</v>
      </c>
      <c r="F1738" s="5" t="str">
        <f>IFERROR(__xludf.DUMMYFUNCTION("GOOGLEFINANCE(""ASX:PSL"", ""pe"")"),"#N/A")</f>
        <v>#N/A</v>
      </c>
      <c r="G1738" s="9">
        <f>IFERROR(__xludf.DUMMYFUNCTION("GOOGLEFINANCE(""ASX:PSL"", ""high52"")"),0.04)</f>
        <v>0.04</v>
      </c>
      <c r="H1738" s="9">
        <f>IFERROR(__xludf.DUMMYFUNCTION("GOOGLEFINANCE(""ASX:PSL"", ""low52"")"),0.01)</f>
        <v>0.01</v>
      </c>
      <c r="I1738" s="9">
        <f>IFERROR(__xludf.DUMMYFUNCTION("GOOGLEFINANCE(""ASX:PSL"", ""marketcap"")"),1.9906094E7)</f>
        <v>19906094</v>
      </c>
      <c r="J1738" s="5"/>
      <c r="K1738" s="5"/>
      <c r="L1738" s="5"/>
      <c r="M1738" s="5"/>
      <c r="N1738" s="9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>
      <c r="A1739" s="6" t="s">
        <v>3463</v>
      </c>
      <c r="B1739" s="6" t="s">
        <v>3464</v>
      </c>
      <c r="C1739" s="5" t="s">
        <v>70</v>
      </c>
      <c r="D1739" s="7">
        <f>IFERROR(__xludf.DUMMYFUNCTION("GOOGLEFINANCE(""ASX:PTL"", ""price"")"),0.04)</f>
        <v>0.04</v>
      </c>
      <c r="E1739" s="8">
        <f>IFERROR(__xludf.DUMMYFUNCTION("GOOGLEFINANCE(""ASX:PTL"", ""closeyest"")"),0.04)</f>
        <v>0.04</v>
      </c>
      <c r="F1739" s="5" t="str">
        <f>IFERROR(__xludf.DUMMYFUNCTION("GOOGLEFINANCE(""ASX:PTL"", ""pe"")"),"#N/A")</f>
        <v>#N/A</v>
      </c>
      <c r="G1739" s="9">
        <f>IFERROR(__xludf.DUMMYFUNCTION("GOOGLEFINANCE(""ASX:PTL"", ""high52"")"),0.1)</f>
        <v>0.1</v>
      </c>
      <c r="H1739" s="9">
        <f>IFERROR(__xludf.DUMMYFUNCTION("GOOGLEFINANCE(""ASX:PTL"", ""low52"")"),0.04)</f>
        <v>0.04</v>
      </c>
      <c r="I1739" s="9">
        <f>IFERROR(__xludf.DUMMYFUNCTION("GOOGLEFINANCE(""ASX:PTL"", ""marketcap"")"),6900203.0)</f>
        <v>6900203</v>
      </c>
      <c r="J1739" s="5"/>
      <c r="K1739" s="5"/>
      <c r="L1739" s="5"/>
      <c r="M1739" s="5"/>
      <c r="N1739" s="9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>
      <c r="A1740" s="6" t="s">
        <v>3465</v>
      </c>
      <c r="B1740" s="6" t="s">
        <v>3466</v>
      </c>
      <c r="C1740" s="5" t="s">
        <v>18</v>
      </c>
      <c r="D1740" s="7">
        <f>IFERROR(__xludf.DUMMYFUNCTION("GOOGLEFINANCE(""ASX:PTN"", ""price"")"),0.08)</f>
        <v>0.08</v>
      </c>
      <c r="E1740" s="8">
        <f>IFERROR(__xludf.DUMMYFUNCTION("GOOGLEFINANCE(""ASX:PTN"", ""closeyest"")"),0.08)</f>
        <v>0.08</v>
      </c>
      <c r="F1740" s="5" t="str">
        <f>IFERROR(__xludf.DUMMYFUNCTION("GOOGLEFINANCE(""ASX:PTN"", ""pe"")"),"#N/A")</f>
        <v>#N/A</v>
      </c>
      <c r="G1740" s="9">
        <f>IFERROR(__xludf.DUMMYFUNCTION("GOOGLEFINANCE(""ASX:PTN"", ""high52"")"),0.1)</f>
        <v>0.1</v>
      </c>
      <c r="H1740" s="9">
        <f>IFERROR(__xludf.DUMMYFUNCTION("GOOGLEFINANCE(""ASX:PTN"", ""low52"")"),0.05)</f>
        <v>0.05</v>
      </c>
      <c r="I1740" s="9">
        <f>IFERROR(__xludf.DUMMYFUNCTION("GOOGLEFINANCE(""ASX:PTN"", ""marketcap"")"),1.17158348E8)</f>
        <v>117158348</v>
      </c>
      <c r="J1740" s="9">
        <v>0.019</v>
      </c>
      <c r="K1740" s="9">
        <v>0.019</v>
      </c>
      <c r="L1740" s="9">
        <v>0.034</v>
      </c>
      <c r="M1740" s="9">
        <v>0.008</v>
      </c>
      <c r="N1740" s="9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>
      <c r="A1741" s="6" t="s">
        <v>3467</v>
      </c>
      <c r="B1741" s="6" t="s">
        <v>3468</v>
      </c>
      <c r="C1741" s="5" t="s">
        <v>18</v>
      </c>
      <c r="D1741" s="7">
        <f>IFERROR(__xludf.DUMMYFUNCTION("GOOGLEFINANCE(""ASX:PTR"", ""price"")"),0.28)</f>
        <v>0.28</v>
      </c>
      <c r="E1741" s="8">
        <f>IFERROR(__xludf.DUMMYFUNCTION("GOOGLEFINANCE(""ASX:PTR"", ""closeyest"")"),0.28)</f>
        <v>0.28</v>
      </c>
      <c r="F1741" s="5" t="str">
        <f>IFERROR(__xludf.DUMMYFUNCTION("GOOGLEFINANCE(""ASX:PTR"", ""pe"")"),"#N/A")</f>
        <v>#N/A</v>
      </c>
      <c r="G1741" s="9">
        <f>IFERROR(__xludf.DUMMYFUNCTION("GOOGLEFINANCE(""ASX:PTR"", ""high52"")"),0.49)</f>
        <v>0.49</v>
      </c>
      <c r="H1741" s="9">
        <f>IFERROR(__xludf.DUMMYFUNCTION("GOOGLEFINANCE(""ASX:PTR"", ""low52"")"),0.21)</f>
        <v>0.21</v>
      </c>
      <c r="I1741" s="9">
        <f>IFERROR(__xludf.DUMMYFUNCTION("GOOGLEFINANCE(""ASX:PTR"", ""marketcap"")"),1.14125398E8)</f>
        <v>114125398</v>
      </c>
      <c r="J1741" s="5"/>
      <c r="K1741" s="5"/>
      <c r="L1741" s="5"/>
      <c r="M1741" s="5"/>
      <c r="N1741" s="9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>
      <c r="A1742" s="6" t="s">
        <v>3469</v>
      </c>
      <c r="B1742" s="6" t="s">
        <v>3470</v>
      </c>
      <c r="C1742" s="5" t="s">
        <v>25</v>
      </c>
      <c r="D1742" s="7">
        <f>IFERROR(__xludf.DUMMYFUNCTION("GOOGLEFINANCE(""ASX:PTX"", ""price"")"),0.09)</f>
        <v>0.09</v>
      </c>
      <c r="E1742" s="8">
        <f>IFERROR(__xludf.DUMMYFUNCTION("GOOGLEFINANCE(""ASX:PTX"", ""closeyest"")"),0.08)</f>
        <v>0.08</v>
      </c>
      <c r="F1742" s="5" t="str">
        <f>IFERROR(__xludf.DUMMYFUNCTION("GOOGLEFINANCE(""ASX:PTX"", ""pe"")"),"#N/A")</f>
        <v>#N/A</v>
      </c>
      <c r="G1742" s="9">
        <f>IFERROR(__xludf.DUMMYFUNCTION("GOOGLEFINANCE(""ASX:PTX"", ""high52"")"),0.13)</f>
        <v>0.13</v>
      </c>
      <c r="H1742" s="9">
        <f>IFERROR(__xludf.DUMMYFUNCTION("GOOGLEFINANCE(""ASX:PTX"", ""low52"")"),0.04)</f>
        <v>0.04</v>
      </c>
      <c r="I1742" s="9">
        <f>IFERROR(__xludf.DUMMYFUNCTION("GOOGLEFINANCE(""ASX:PTX"", ""marketcap"")"),9.2533231E7)</f>
        <v>92533231</v>
      </c>
      <c r="J1742" s="5"/>
      <c r="K1742" s="5"/>
      <c r="L1742" s="5"/>
      <c r="M1742" s="5"/>
      <c r="N1742" s="9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>
      <c r="A1743" s="6" t="s">
        <v>3471</v>
      </c>
      <c r="B1743" s="6" t="s">
        <v>3472</v>
      </c>
      <c r="C1743" s="5" t="s">
        <v>18</v>
      </c>
      <c r="D1743" s="7">
        <f>IFERROR(__xludf.DUMMYFUNCTION("GOOGLEFINANCE(""ASX:PUR"", ""price"")"),0.09)</f>
        <v>0.09</v>
      </c>
      <c r="E1743" s="8">
        <f>IFERROR(__xludf.DUMMYFUNCTION("GOOGLEFINANCE(""ASX:PUR"", ""closeyest"")"),0.09)</f>
        <v>0.09</v>
      </c>
      <c r="F1743" s="5" t="str">
        <f>IFERROR(__xludf.DUMMYFUNCTION("GOOGLEFINANCE(""ASX:PUR"", ""pe"")"),"#N/A")</f>
        <v>#N/A</v>
      </c>
      <c r="G1743" s="9">
        <f>IFERROR(__xludf.DUMMYFUNCTION("GOOGLEFINANCE(""ASX:PUR"", ""high52"")"),0.13)</f>
        <v>0.13</v>
      </c>
      <c r="H1743" s="9">
        <f>IFERROR(__xludf.DUMMYFUNCTION("GOOGLEFINANCE(""ASX:PUR"", ""low52"")"),0.04)</f>
        <v>0.04</v>
      </c>
      <c r="I1743" s="9">
        <f>IFERROR(__xludf.DUMMYFUNCTION("GOOGLEFINANCE(""ASX:PUR"", ""marketcap"")"),1.7117154E7)</f>
        <v>17117154</v>
      </c>
      <c r="J1743" s="9">
        <v>0.014</v>
      </c>
      <c r="K1743" s="9">
        <v>0.014</v>
      </c>
      <c r="L1743" s="9">
        <v>0.35</v>
      </c>
      <c r="M1743" s="9">
        <v>0.014</v>
      </c>
      <c r="N1743" s="9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>
      <c r="A1744" s="6" t="s">
        <v>3473</v>
      </c>
      <c r="B1744" s="6" t="s">
        <v>3474</v>
      </c>
      <c r="C1744" s="5" t="s">
        <v>106</v>
      </c>
      <c r="D1744" s="7">
        <f>IFERROR(__xludf.DUMMYFUNCTION("GOOGLEFINANCE(""ASX:PV1"", ""price"")"),0.01)</f>
        <v>0.01</v>
      </c>
      <c r="E1744" s="8">
        <f>IFERROR(__xludf.DUMMYFUNCTION("GOOGLEFINANCE(""ASX:PV1"", ""closeyest"")"),0.01)</f>
        <v>0.01</v>
      </c>
      <c r="F1744" s="5" t="str">
        <f>IFERROR(__xludf.DUMMYFUNCTION("GOOGLEFINANCE(""ASX:PV1"", ""pe"")"),"#N/A")</f>
        <v>#N/A</v>
      </c>
      <c r="G1744" s="9">
        <f>IFERROR(__xludf.DUMMYFUNCTION("GOOGLEFINANCE(""ASX:PV1"", ""high52"")"),0.03)</f>
        <v>0.03</v>
      </c>
      <c r="H1744" s="9">
        <f>IFERROR(__xludf.DUMMYFUNCTION("GOOGLEFINANCE(""ASX:PV1"", ""low52"")"),0.01)</f>
        <v>0.01</v>
      </c>
      <c r="I1744" s="9">
        <f>IFERROR(__xludf.DUMMYFUNCTION("GOOGLEFINANCE(""ASX:PV1"", ""marketcap"")"),1.517243E7)</f>
        <v>15172430</v>
      </c>
      <c r="J1744" s="9">
        <v>0.003</v>
      </c>
      <c r="K1744" s="9">
        <v>0.003</v>
      </c>
      <c r="L1744" s="9">
        <v>0.004</v>
      </c>
      <c r="M1744" s="9">
        <v>0.002</v>
      </c>
      <c r="N1744" s="9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>
      <c r="A1745" s="6" t="s">
        <v>3475</v>
      </c>
      <c r="B1745" s="6" t="s">
        <v>3476</v>
      </c>
      <c r="C1745" s="5" t="s">
        <v>78</v>
      </c>
      <c r="D1745" s="7">
        <f>IFERROR(__xludf.DUMMYFUNCTION("GOOGLEFINANCE(""ASX:PVE"", ""price"")"),0.06)</f>
        <v>0.06</v>
      </c>
      <c r="E1745" s="8">
        <f>IFERROR(__xludf.DUMMYFUNCTION("GOOGLEFINANCE(""ASX:PVE"", ""closeyest"")"),0.06)</f>
        <v>0.06</v>
      </c>
      <c r="F1745" s="9">
        <f>IFERROR(__xludf.DUMMYFUNCTION("GOOGLEFINANCE(""ASX:PVE"", ""pe"")"),12.37)</f>
        <v>12.37</v>
      </c>
      <c r="G1745" s="9">
        <f>IFERROR(__xludf.DUMMYFUNCTION("GOOGLEFINANCE(""ASX:PVE"", ""high52"")"),0.07)</f>
        <v>0.07</v>
      </c>
      <c r="H1745" s="9">
        <f>IFERROR(__xludf.DUMMYFUNCTION("GOOGLEFINANCE(""ASX:PVE"", ""low52"")"),0.03)</f>
        <v>0.03</v>
      </c>
      <c r="I1745" s="9">
        <f>IFERROR(__xludf.DUMMYFUNCTION("GOOGLEFINANCE(""ASX:PVE"", ""marketcap"")"),6.8378698E7)</f>
        <v>68378698</v>
      </c>
      <c r="J1745" s="5"/>
      <c r="K1745" s="5"/>
      <c r="L1745" s="5"/>
      <c r="M1745" s="5"/>
      <c r="N1745" s="9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>
      <c r="A1746" s="6" t="s">
        <v>3477</v>
      </c>
      <c r="B1746" s="6" t="s">
        <v>3478</v>
      </c>
      <c r="C1746" s="5" t="s">
        <v>171</v>
      </c>
      <c r="D1746" s="7">
        <f>IFERROR(__xludf.DUMMYFUNCTION("GOOGLEFINANCE(""ASX:PVL"", ""price"")"),0.16)</f>
        <v>0.16</v>
      </c>
      <c r="E1746" s="8">
        <f>IFERROR(__xludf.DUMMYFUNCTION("GOOGLEFINANCE(""ASX:PVL"", ""closeyest"")"),0.15)</f>
        <v>0.15</v>
      </c>
      <c r="F1746" s="9">
        <f>IFERROR(__xludf.DUMMYFUNCTION("GOOGLEFINANCE(""ASX:PVL"", ""pe"")"),14.45)</f>
        <v>14.45</v>
      </c>
      <c r="G1746" s="9">
        <f>IFERROR(__xludf.DUMMYFUNCTION("GOOGLEFINANCE(""ASX:PVL"", ""high52"")"),0.17)</f>
        <v>0.17</v>
      </c>
      <c r="H1746" s="9">
        <f>IFERROR(__xludf.DUMMYFUNCTION("GOOGLEFINANCE(""ASX:PVL"", ""low52"")"),0.08)</f>
        <v>0.08</v>
      </c>
      <c r="I1746" s="9">
        <f>IFERROR(__xludf.DUMMYFUNCTION("GOOGLEFINANCE(""ASX:PVL"", ""marketcap"")"),2.5514463E7)</f>
        <v>25514463</v>
      </c>
      <c r="J1746" s="5"/>
      <c r="K1746" s="5"/>
      <c r="L1746" s="5"/>
      <c r="M1746" s="5"/>
      <c r="N1746" s="9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>
      <c r="A1747" s="6" t="s">
        <v>3479</v>
      </c>
      <c r="B1747" s="6" t="s">
        <v>3480</v>
      </c>
      <c r="C1747" s="5" t="s">
        <v>39</v>
      </c>
      <c r="D1747" s="7">
        <f>IFERROR(__xludf.DUMMYFUNCTION("GOOGLEFINANCE(""ASX:PVT"", ""price"")"),0.02)</f>
        <v>0.02</v>
      </c>
      <c r="E1747" s="8">
        <f>IFERROR(__xludf.DUMMYFUNCTION("GOOGLEFINANCE(""ASX:PVT"", ""closeyest"")"),0.02)</f>
        <v>0.02</v>
      </c>
      <c r="F1747" s="5" t="str">
        <f>IFERROR(__xludf.DUMMYFUNCTION("GOOGLEFINANCE(""ASX:PVT"", ""pe"")"),"#N/A")</f>
        <v>#N/A</v>
      </c>
      <c r="G1747" s="9">
        <f>IFERROR(__xludf.DUMMYFUNCTION("GOOGLEFINANCE(""ASX:PVT"", ""high52"")"),0.03)</f>
        <v>0.03</v>
      </c>
      <c r="H1747" s="9">
        <f>IFERROR(__xludf.DUMMYFUNCTION("GOOGLEFINANCE(""ASX:PVT"", ""low52"")"),0.01)</f>
        <v>0.01</v>
      </c>
      <c r="I1747" s="9">
        <f>IFERROR(__xludf.DUMMYFUNCTION("GOOGLEFINANCE(""ASX:PVT"", ""marketcap"")"),2.9364657E7)</f>
        <v>29364657</v>
      </c>
      <c r="J1747" s="5"/>
      <c r="K1747" s="5"/>
      <c r="L1747" s="5"/>
      <c r="M1747" s="5"/>
      <c r="N1747" s="9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>
      <c r="A1748" s="6" t="s">
        <v>3481</v>
      </c>
      <c r="B1748" s="6" t="s">
        <v>3482</v>
      </c>
      <c r="C1748" s="5" t="s">
        <v>88</v>
      </c>
      <c r="D1748" s="7">
        <f>IFERROR(__xludf.DUMMYFUNCTION("GOOGLEFINANCE(""ASX:PVW"", ""price"")"),0.02)</f>
        <v>0.02</v>
      </c>
      <c r="E1748" s="8">
        <f>IFERROR(__xludf.DUMMYFUNCTION("GOOGLEFINANCE(""ASX:PVW"", ""closeyest"")"),0.02)</f>
        <v>0.02</v>
      </c>
      <c r="F1748" s="5" t="str">
        <f>IFERROR(__xludf.DUMMYFUNCTION("GOOGLEFINANCE(""ASX:PVW"", ""pe"")"),"#N/A")</f>
        <v>#N/A</v>
      </c>
      <c r="G1748" s="9">
        <f>IFERROR(__xludf.DUMMYFUNCTION("GOOGLEFINANCE(""ASX:PVW"", ""high52"")"),0.04)</f>
        <v>0.04</v>
      </c>
      <c r="H1748" s="9">
        <f>IFERROR(__xludf.DUMMYFUNCTION("GOOGLEFINANCE(""ASX:PVW"", ""low52"")"),0.01)</f>
        <v>0.01</v>
      </c>
      <c r="I1748" s="9">
        <f>IFERROR(__xludf.DUMMYFUNCTION("GOOGLEFINANCE(""ASX:PVW"", ""marketcap"")"),5361426.0)</f>
        <v>5361426</v>
      </c>
      <c r="J1748" s="5"/>
      <c r="K1748" s="5"/>
      <c r="L1748" s="5"/>
      <c r="M1748" s="5"/>
      <c r="N1748" s="9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>
      <c r="A1749" s="6" t="s">
        <v>3483</v>
      </c>
      <c r="B1749" s="6" t="s">
        <v>3484</v>
      </c>
      <c r="C1749" s="5" t="s">
        <v>148</v>
      </c>
      <c r="D1749" s="7">
        <f>IFERROR(__xludf.DUMMYFUNCTION("GOOGLEFINANCE(""ASX:PWH"", ""price"")"),8.8)</f>
        <v>8.8</v>
      </c>
      <c r="E1749" s="8">
        <f>IFERROR(__xludf.DUMMYFUNCTION("GOOGLEFINANCE(""ASX:PWH"", ""closeyest"")"),8.75)</f>
        <v>8.75</v>
      </c>
      <c r="F1749" s="9">
        <f>IFERROR(__xludf.DUMMYFUNCTION("GOOGLEFINANCE(""ASX:PWH"", ""pe"")"),90.59)</f>
        <v>90.59</v>
      </c>
      <c r="G1749" s="9">
        <f>IFERROR(__xludf.DUMMYFUNCTION("GOOGLEFINANCE(""ASX:PWH"", ""high52"")"),9.19)</f>
        <v>9.19</v>
      </c>
      <c r="H1749" s="9">
        <f>IFERROR(__xludf.DUMMYFUNCTION("GOOGLEFINANCE(""ASX:PWH"", ""low52"")"),5.96)</f>
        <v>5.96</v>
      </c>
      <c r="I1749" s="9">
        <f>IFERROR(__xludf.DUMMYFUNCTION("GOOGLEFINANCE(""ASX:PWH"", ""marketcap"")"),8.85052099E8)</f>
        <v>885052099</v>
      </c>
      <c r="J1749" s="5"/>
      <c r="K1749" s="5"/>
      <c r="L1749" s="5"/>
      <c r="M1749" s="5"/>
      <c r="N1749" s="9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>
      <c r="A1750" s="6" t="s">
        <v>3485</v>
      </c>
      <c r="B1750" s="6" t="s">
        <v>3486</v>
      </c>
      <c r="C1750" s="5" t="s">
        <v>223</v>
      </c>
      <c r="D1750" s="7">
        <f>IFERROR(__xludf.DUMMYFUNCTION("GOOGLEFINANCE(""ASX:PWN"", ""price"")"),0.01)</f>
        <v>0.01</v>
      </c>
      <c r="E1750" s="8">
        <f>IFERROR(__xludf.DUMMYFUNCTION("GOOGLEFINANCE(""ASX:PWN"", ""closeyest"")"),0.01)</f>
        <v>0.01</v>
      </c>
      <c r="F1750" s="9">
        <f>IFERROR(__xludf.DUMMYFUNCTION("GOOGLEFINANCE(""ASX:PWN"", ""pe"")"),1400.0)</f>
        <v>1400</v>
      </c>
      <c r="G1750" s="9">
        <f>IFERROR(__xludf.DUMMYFUNCTION("GOOGLEFINANCE(""ASX:PWN"", ""high52"")"),0.02)</f>
        <v>0.02</v>
      </c>
      <c r="H1750" s="9">
        <f>IFERROR(__xludf.DUMMYFUNCTION("GOOGLEFINANCE(""ASX:PWN"", ""low52"")"),0.01)</f>
        <v>0.01</v>
      </c>
      <c r="I1750" s="9">
        <f>IFERROR(__xludf.DUMMYFUNCTION("GOOGLEFINANCE(""ASX:PWN"", ""marketcap"")"),5.4254635E7)</f>
        <v>54254635</v>
      </c>
      <c r="J1750" s="5"/>
      <c r="K1750" s="5"/>
      <c r="L1750" s="5"/>
      <c r="M1750" s="5"/>
      <c r="N1750" s="9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>
      <c r="A1751" s="6" t="s">
        <v>3487</v>
      </c>
      <c r="B1751" s="6" t="s">
        <v>3488</v>
      </c>
      <c r="C1751" s="5" t="s">
        <v>435</v>
      </c>
      <c r="D1751" s="7">
        <f>IFERROR(__xludf.DUMMYFUNCTION("GOOGLEFINANCE(""ASX:PWR"", ""price"")"),1.82)</f>
        <v>1.82</v>
      </c>
      <c r="E1751" s="8">
        <f>IFERROR(__xludf.DUMMYFUNCTION("GOOGLEFINANCE(""ASX:PWR"", ""closeyest"")"),1.85)</f>
        <v>1.85</v>
      </c>
      <c r="F1751" s="9">
        <f>IFERROR(__xludf.DUMMYFUNCTION("GOOGLEFINANCE(""ASX:PWR"", ""pe"")"),25.89)</f>
        <v>25.89</v>
      </c>
      <c r="G1751" s="9">
        <f>IFERROR(__xludf.DUMMYFUNCTION("GOOGLEFINANCE(""ASX:PWR"", ""high52"")"),2.05)</f>
        <v>2.05</v>
      </c>
      <c r="H1751" s="9">
        <f>IFERROR(__xludf.DUMMYFUNCTION("GOOGLEFINANCE(""ASX:PWR"", ""low52"")"),1.21)</f>
        <v>1.21</v>
      </c>
      <c r="I1751" s="9">
        <f>IFERROR(__xludf.DUMMYFUNCTION("GOOGLEFINANCE(""ASX:PWR"", ""marketcap"")"),3.13505929E8)</f>
        <v>313505929</v>
      </c>
      <c r="J1751" s="5"/>
      <c r="K1751" s="5"/>
      <c r="L1751" s="5"/>
      <c r="M1751" s="5"/>
      <c r="N1751" s="9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>
      <c r="A1752" s="6" t="s">
        <v>3489</v>
      </c>
      <c r="B1752" s="6" t="s">
        <v>3490</v>
      </c>
      <c r="C1752" s="5" t="s">
        <v>70</v>
      </c>
      <c r="D1752" s="7">
        <f>IFERROR(__xludf.DUMMYFUNCTION("GOOGLEFINANCE(""ASX:PXA"", ""price"")"),13.25)</f>
        <v>13.25</v>
      </c>
      <c r="E1752" s="8">
        <f>IFERROR(__xludf.DUMMYFUNCTION("GOOGLEFINANCE(""ASX:PXA"", ""closeyest"")"),13.12)</f>
        <v>13.12</v>
      </c>
      <c r="F1752" s="5" t="str">
        <f>IFERROR(__xludf.DUMMYFUNCTION("GOOGLEFINANCE(""ASX:PXA"", ""pe"")"),"#N/A")</f>
        <v>#N/A</v>
      </c>
      <c r="G1752" s="9">
        <f>IFERROR(__xludf.DUMMYFUNCTION("GOOGLEFINANCE(""ASX:PXA"", ""high52"")"),17.18)</f>
        <v>17.18</v>
      </c>
      <c r="H1752" s="9">
        <f>IFERROR(__xludf.DUMMYFUNCTION("GOOGLEFINANCE(""ASX:PXA"", ""low52"")"),10.65)</f>
        <v>10.65</v>
      </c>
      <c r="I1752" s="9">
        <f>IFERROR(__xludf.DUMMYFUNCTION("GOOGLEFINANCE(""ASX:PXA"", ""marketcap"")"),2.35322385E9)</f>
        <v>2353223850</v>
      </c>
      <c r="J1752" s="5"/>
      <c r="K1752" s="5"/>
      <c r="L1752" s="5"/>
      <c r="M1752" s="5"/>
      <c r="N1752" s="9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>
      <c r="A1753" s="6" t="s">
        <v>3491</v>
      </c>
      <c r="B1753" s="6" t="s">
        <v>3492</v>
      </c>
      <c r="C1753" s="5" t="s">
        <v>78</v>
      </c>
      <c r="D1753" s="7">
        <f>IFERROR(__xludf.DUMMYFUNCTION("GOOGLEFINANCE(""ASX:PXR"", ""price"")"),0.0)</f>
        <v>0</v>
      </c>
      <c r="E1753" s="8">
        <f>IFERROR(__xludf.DUMMYFUNCTION("GOOGLEFINANCE(""ASX:PXR"", ""closeyest"")"),0.0)</f>
        <v>0</v>
      </c>
      <c r="F1753" s="5" t="str">
        <f>IFERROR(__xludf.DUMMYFUNCTION("GOOGLEFINANCE(""ASX:PXR"", ""pe"")"),"#N/A")</f>
        <v>#N/A</v>
      </c>
      <c r="G1753" s="9">
        <f>IFERROR(__xludf.DUMMYFUNCTION("GOOGLEFINANCE(""ASX:PXR"", ""high52"")"),0.0)</f>
        <v>0</v>
      </c>
      <c r="H1753" s="9">
        <f>IFERROR(__xludf.DUMMYFUNCTION("GOOGLEFINANCE(""ASX:PXR"", ""low52"")"),0.0)</f>
        <v>0</v>
      </c>
      <c r="I1753" s="9">
        <f>IFERROR(__xludf.DUMMYFUNCTION("GOOGLEFINANCE(""ASX:PXR"", ""marketcap"")"),5400580.0)</f>
        <v>5400580</v>
      </c>
      <c r="J1753" s="12">
        <v>0.001</v>
      </c>
      <c r="K1753" s="12">
        <v>0.001</v>
      </c>
      <c r="L1753" s="12">
        <v>0.002</v>
      </c>
      <c r="M1753" s="12">
        <v>0.001</v>
      </c>
      <c r="N1753" s="9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>
      <c r="A1754" s="6" t="s">
        <v>3493</v>
      </c>
      <c r="B1754" s="6" t="s">
        <v>3494</v>
      </c>
      <c r="C1754" s="5" t="s">
        <v>18</v>
      </c>
      <c r="D1754" s="7">
        <f>IFERROR(__xludf.DUMMYFUNCTION("GOOGLEFINANCE(""ASX:PXX"", ""price"")"),0.02)</f>
        <v>0.02</v>
      </c>
      <c r="E1754" s="8">
        <f>IFERROR(__xludf.DUMMYFUNCTION("GOOGLEFINANCE(""ASX:PXX"", ""closeyest"")"),0.02)</f>
        <v>0.02</v>
      </c>
      <c r="F1754" s="5" t="str">
        <f>IFERROR(__xludf.DUMMYFUNCTION("GOOGLEFINANCE(""ASX:PXX"", ""pe"")"),"#N/A")</f>
        <v>#N/A</v>
      </c>
      <c r="G1754" s="9">
        <f>IFERROR(__xludf.DUMMYFUNCTION("GOOGLEFINANCE(""ASX:PXX"", ""high52"")"),0.03)</f>
        <v>0.03</v>
      </c>
      <c r="H1754" s="9">
        <f>IFERROR(__xludf.DUMMYFUNCTION("GOOGLEFINANCE(""ASX:PXX"", ""low52"")"),0.01)</f>
        <v>0.01</v>
      </c>
      <c r="I1754" s="9">
        <f>IFERROR(__xludf.DUMMYFUNCTION("GOOGLEFINANCE(""ASX:PXX"", ""marketcap"")"),6.2802746E7)</f>
        <v>62802746</v>
      </c>
      <c r="J1754" s="5"/>
      <c r="K1754" s="5"/>
      <c r="L1754" s="5"/>
      <c r="M1754" s="5"/>
      <c r="N1754" s="9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>
      <c r="A1755" s="6" t="s">
        <v>3495</v>
      </c>
      <c r="B1755" s="6" t="s">
        <v>3496</v>
      </c>
      <c r="C1755" s="5" t="s">
        <v>25</v>
      </c>
      <c r="D1755" s="7">
        <f>IFERROR(__xludf.DUMMYFUNCTION("GOOGLEFINANCE(""ASX:PYC"", ""price"")"),1.69)</f>
        <v>1.69</v>
      </c>
      <c r="E1755" s="8">
        <f>IFERROR(__xludf.DUMMYFUNCTION("GOOGLEFINANCE(""ASX:PYC"", ""closeyest"")"),1.67)</f>
        <v>1.67</v>
      </c>
      <c r="F1755" s="5" t="str">
        <f>IFERROR(__xludf.DUMMYFUNCTION("GOOGLEFINANCE(""ASX:PYC"", ""pe"")"),"#N/A")</f>
        <v>#N/A</v>
      </c>
      <c r="G1755" s="9">
        <f>IFERROR(__xludf.DUMMYFUNCTION("GOOGLEFINANCE(""ASX:PYC"", ""high52"")"),1.73)</f>
        <v>1.73</v>
      </c>
      <c r="H1755" s="9">
        <f>IFERROR(__xludf.DUMMYFUNCTION("GOOGLEFINANCE(""ASX:PYC"", ""low52"")"),0.85)</f>
        <v>0.85</v>
      </c>
      <c r="I1755" s="9">
        <f>IFERROR(__xludf.DUMMYFUNCTION("GOOGLEFINANCE(""ASX:PYC"", ""marketcap"")"),9.79885936E8)</f>
        <v>979885936</v>
      </c>
      <c r="J1755" s="9">
        <v>0.12</v>
      </c>
      <c r="K1755" s="9">
        <v>0.11</v>
      </c>
      <c r="L1755" s="9">
        <v>0.23</v>
      </c>
      <c r="M1755" s="9">
        <v>0.025</v>
      </c>
      <c r="N1755" s="9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>
      <c r="A1756" s="6" t="s">
        <v>3497</v>
      </c>
      <c r="B1756" s="6" t="s">
        <v>3498</v>
      </c>
      <c r="C1756" s="5" t="s">
        <v>171</v>
      </c>
      <c r="D1756" s="7">
        <f>IFERROR(__xludf.DUMMYFUNCTION("GOOGLEFINANCE(""ASX:QAL"", ""price"")"),3.52)</f>
        <v>3.52</v>
      </c>
      <c r="E1756" s="8">
        <f>IFERROR(__xludf.DUMMYFUNCTION("GOOGLEFINANCE(""ASX:QAL"", ""closeyest"")"),3.48)</f>
        <v>3.48</v>
      </c>
      <c r="F1756" s="9">
        <f>IFERROR(__xludf.DUMMYFUNCTION("GOOGLEFINANCE(""ASX:QAL"", ""pe"")"),31.57)</f>
        <v>31.57</v>
      </c>
      <c r="G1756" s="9">
        <f>IFERROR(__xludf.DUMMYFUNCTION("GOOGLEFINANCE(""ASX:QAL"", ""high52"")"),4.1)</f>
        <v>4.1</v>
      </c>
      <c r="H1756" s="9">
        <f>IFERROR(__xludf.DUMMYFUNCTION("GOOGLEFINANCE(""ASX:QAL"", ""low52"")"),2.14)</f>
        <v>2.14</v>
      </c>
      <c r="I1756" s="9">
        <f>IFERROR(__xludf.DUMMYFUNCTION("GOOGLEFINANCE(""ASX:QAL"", ""marketcap"")"),1.061014234E9)</f>
        <v>1061014234</v>
      </c>
      <c r="J1756" s="5"/>
      <c r="K1756" s="5"/>
      <c r="L1756" s="5"/>
      <c r="M1756" s="5"/>
      <c r="N1756" s="9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>
      <c r="A1757" s="6" t="s">
        <v>3499</v>
      </c>
      <c r="B1757" s="6" t="s">
        <v>3500</v>
      </c>
      <c r="C1757" s="5" t="s">
        <v>311</v>
      </c>
      <c r="D1757" s="7">
        <f>IFERROR(__xludf.DUMMYFUNCTION("GOOGLEFINANCE(""ASX:QAN"", ""price"")"),10.48)</f>
        <v>10.48</v>
      </c>
      <c r="E1757" s="8">
        <f>IFERROR(__xludf.DUMMYFUNCTION("GOOGLEFINANCE(""ASX:QAN"", ""closeyest"")"),10.3)</f>
        <v>10.3</v>
      </c>
      <c r="F1757" s="9">
        <f>IFERROR(__xludf.DUMMYFUNCTION("GOOGLEFINANCE(""ASX:QAN"", ""pe"")"),9.99)</f>
        <v>9.99</v>
      </c>
      <c r="G1757" s="9">
        <f>IFERROR(__xludf.DUMMYFUNCTION("GOOGLEFINANCE(""ASX:QAN"", ""high52"")"),12.62)</f>
        <v>12.62</v>
      </c>
      <c r="H1757" s="9">
        <f>IFERROR(__xludf.DUMMYFUNCTION("GOOGLEFINANCE(""ASX:QAN"", ""low52"")"),7.55)</f>
        <v>7.55</v>
      </c>
      <c r="I1757" s="9">
        <f>IFERROR(__xludf.DUMMYFUNCTION("GOOGLEFINANCE(""ASX:QAN"", ""marketcap"")"),1.5858324827E10)</f>
        <v>15858324827</v>
      </c>
      <c r="J1757" s="5"/>
      <c r="K1757" s="5"/>
      <c r="L1757" s="5"/>
      <c r="M1757" s="5"/>
      <c r="N1757" s="9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>
      <c r="A1758" s="6" t="s">
        <v>3501</v>
      </c>
      <c r="B1758" s="6" t="s">
        <v>3502</v>
      </c>
      <c r="C1758" s="5" t="s">
        <v>36</v>
      </c>
      <c r="D1758" s="7">
        <f>IFERROR(__xludf.DUMMYFUNCTION("GOOGLEFINANCE(""ASX:QAU"", ""price"")"),35.69)</f>
        <v>35.69</v>
      </c>
      <c r="E1758" s="8">
        <f>IFERROR(__xludf.DUMMYFUNCTION("GOOGLEFINANCE(""ASX:QAU"", ""closeyest"")"),35.72)</f>
        <v>35.72</v>
      </c>
      <c r="F1758" s="5" t="str">
        <f>IFERROR(__xludf.DUMMYFUNCTION("GOOGLEFINANCE(""ASX:QAU"", ""pe"")"),"#N/A")</f>
        <v>#N/A</v>
      </c>
      <c r="G1758" s="9">
        <f>IFERROR(__xludf.DUMMYFUNCTION("GOOGLEFINANCE(""ASX:QAU"", ""high52"")"),36.39)</f>
        <v>36.39</v>
      </c>
      <c r="H1758" s="9">
        <f>IFERROR(__xludf.DUMMYFUNCTION("GOOGLEFINANCE(""ASX:QAU"", ""low52"")"),21.65)</f>
        <v>21.65</v>
      </c>
      <c r="I1758" s="9" t="str">
        <f>IFERROR(__xludf.DUMMYFUNCTION("GOOGLEFINANCE(""ASX:QAU"", ""marketcap"")"),"#N/A")</f>
        <v>#N/A</v>
      </c>
      <c r="J1758" s="5"/>
      <c r="K1758" s="5"/>
      <c r="L1758" s="5"/>
      <c r="M1758" s="5"/>
      <c r="N1758" s="9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>
      <c r="A1759" s="6" t="s">
        <v>3503</v>
      </c>
      <c r="B1759" s="6" t="s">
        <v>3504</v>
      </c>
      <c r="C1759" s="5" t="s">
        <v>2112</v>
      </c>
      <c r="D1759" s="7">
        <f>IFERROR(__xludf.DUMMYFUNCTION("GOOGLEFINANCE(""ASX:QBE"", ""price"")"),19.94)</f>
        <v>19.94</v>
      </c>
      <c r="E1759" s="8">
        <f>IFERROR(__xludf.DUMMYFUNCTION("GOOGLEFINANCE(""ASX:QBE"", ""closeyest"")"),19.88)</f>
        <v>19.88</v>
      </c>
      <c r="F1759" s="9">
        <f>IFERROR(__xludf.DUMMYFUNCTION("GOOGLEFINANCE(""ASX:QBE"", ""pe"")"),10.42)</f>
        <v>10.42</v>
      </c>
      <c r="G1759" s="9">
        <f>IFERROR(__xludf.DUMMYFUNCTION("GOOGLEFINANCE(""ASX:QBE"", ""high52"")"),24.2)</f>
        <v>24.2</v>
      </c>
      <c r="H1759" s="9">
        <f>IFERROR(__xludf.DUMMYFUNCTION("GOOGLEFINANCE(""ASX:QBE"", ""low52"")"),18.38)</f>
        <v>18.38</v>
      </c>
      <c r="I1759" s="9">
        <f>IFERROR(__xludf.DUMMYFUNCTION("GOOGLEFINANCE(""ASX:QBE"", ""marketcap"")"),3.0113328986E10)</f>
        <v>30113328986</v>
      </c>
      <c r="J1759" s="9">
        <v>0.004</v>
      </c>
      <c r="K1759" s="9">
        <v>0.0045</v>
      </c>
      <c r="L1759" s="9">
        <v>0.007</v>
      </c>
      <c r="M1759" s="9">
        <v>0.002</v>
      </c>
      <c r="N1759" s="9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>
      <c r="A1760" s="6" t="s">
        <v>3505</v>
      </c>
      <c r="B1760" s="6" t="s">
        <v>3506</v>
      </c>
      <c r="C1760" s="5" t="s">
        <v>36</v>
      </c>
      <c r="D1760" s="7">
        <f>IFERROR(__xludf.DUMMYFUNCTION("GOOGLEFINANCE(""ASX:QBTC"", ""price"")"),26.8)</f>
        <v>26.8</v>
      </c>
      <c r="E1760" s="8">
        <f>IFERROR(__xludf.DUMMYFUNCTION("GOOGLEFINANCE(""ASX:QBTC"", ""closeyest"")"),27.3)</f>
        <v>27.3</v>
      </c>
      <c r="F1760" s="5" t="str">
        <f>IFERROR(__xludf.DUMMYFUNCTION("GOOGLEFINANCE(""ASX:QBTC"", ""pe"")"),"#N/A")</f>
        <v>#N/A</v>
      </c>
      <c r="G1760" s="9">
        <f>IFERROR(__xludf.DUMMYFUNCTION("GOOGLEFINANCE(""ASX:QBTC"", ""high52"")"),37.21)</f>
        <v>37.21</v>
      </c>
      <c r="H1760" s="9">
        <f>IFERROR(__xludf.DUMMYFUNCTION("GOOGLEFINANCE(""ASX:QBTC"", ""low52"")"),24.07)</f>
        <v>24.07</v>
      </c>
      <c r="I1760" s="9" t="str">
        <f>IFERROR(__xludf.DUMMYFUNCTION("GOOGLEFINANCE(""ASX:QBTC"", ""marketcap"")"),"#N/A")</f>
        <v>#N/A</v>
      </c>
      <c r="J1760" s="5"/>
      <c r="K1760" s="5"/>
      <c r="L1760" s="5"/>
      <c r="M1760" s="5"/>
      <c r="N1760" s="9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>
      <c r="A1761" s="6" t="s">
        <v>3507</v>
      </c>
      <c r="B1761" s="6" t="s">
        <v>3508</v>
      </c>
      <c r="C1761" s="5" t="s">
        <v>28</v>
      </c>
      <c r="D1761" s="7">
        <f>IFERROR(__xludf.DUMMYFUNCTION("GOOGLEFINANCE(""ASX:QEM"", ""price"")"),0.02)</f>
        <v>0.02</v>
      </c>
      <c r="E1761" s="8">
        <f>IFERROR(__xludf.DUMMYFUNCTION("GOOGLEFINANCE(""ASX:QEM"", ""closeyest"")"),0.02)</f>
        <v>0.02</v>
      </c>
      <c r="F1761" s="5" t="str">
        <f>IFERROR(__xludf.DUMMYFUNCTION("GOOGLEFINANCE(""ASX:QEM"", ""pe"")"),"#N/A")</f>
        <v>#N/A</v>
      </c>
      <c r="G1761" s="9">
        <f>IFERROR(__xludf.DUMMYFUNCTION("GOOGLEFINANCE(""ASX:QEM"", ""high52"")"),0.08)</f>
        <v>0.08</v>
      </c>
      <c r="H1761" s="9">
        <f>IFERROR(__xludf.DUMMYFUNCTION("GOOGLEFINANCE(""ASX:QEM"", ""low52"")"),0.02)</f>
        <v>0.02</v>
      </c>
      <c r="I1761" s="9">
        <f>IFERROR(__xludf.DUMMYFUNCTION("GOOGLEFINANCE(""ASX:QEM"", ""marketcap"")"),2836808.0)</f>
        <v>2836808</v>
      </c>
      <c r="J1761" s="5"/>
      <c r="K1761" s="5"/>
      <c r="L1761" s="5"/>
      <c r="M1761" s="5"/>
      <c r="N1761" s="9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>
      <c r="A1762" s="6" t="s">
        <v>3507</v>
      </c>
      <c r="B1762" s="6" t="s">
        <v>3508</v>
      </c>
      <c r="C1762" s="5" t="s">
        <v>28</v>
      </c>
      <c r="D1762" s="7">
        <f>IFERROR(__xludf.DUMMYFUNCTION("GOOGLEFINANCE(""ASX:QEM"", ""price"")"),0.02)</f>
        <v>0.02</v>
      </c>
      <c r="E1762" s="8">
        <f>IFERROR(__xludf.DUMMYFUNCTION("GOOGLEFINANCE(""ASX:QEM"", ""closeyest"")"),0.02)</f>
        <v>0.02</v>
      </c>
      <c r="F1762" s="5" t="str">
        <f>IFERROR(__xludf.DUMMYFUNCTION("GOOGLEFINANCE(""ASX:QEM"", ""pe"")"),"#N/A")</f>
        <v>#N/A</v>
      </c>
      <c r="G1762" s="9">
        <f>IFERROR(__xludf.DUMMYFUNCTION("GOOGLEFINANCE(""ASX:QEM"", ""high52"")"),0.08)</f>
        <v>0.08</v>
      </c>
      <c r="H1762" s="9">
        <f>IFERROR(__xludf.DUMMYFUNCTION("GOOGLEFINANCE(""ASX:QEM"", ""low52"")"),0.02)</f>
        <v>0.02</v>
      </c>
      <c r="I1762" s="9">
        <f>IFERROR(__xludf.DUMMYFUNCTION("GOOGLEFINANCE(""ASX:QEM"", ""marketcap"")"),2836808.0)</f>
        <v>2836808</v>
      </c>
      <c r="J1762" s="5"/>
      <c r="K1762" s="5"/>
      <c r="L1762" s="5"/>
      <c r="M1762" s="5"/>
      <c r="N1762" s="9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>
      <c r="A1763" s="13" t="s">
        <v>3507</v>
      </c>
      <c r="B1763" s="13" t="s">
        <v>3508</v>
      </c>
      <c r="C1763" s="14" t="s">
        <v>28</v>
      </c>
      <c r="D1763" s="15">
        <f>IFERROR(__xludf.DUMMYFUNCTION("GOOGLEFINANCE(""ASX:QEM"", ""price"")"),0.02)</f>
        <v>0.02</v>
      </c>
      <c r="E1763" s="8">
        <f>IFERROR(__xludf.DUMMYFUNCTION("GOOGLEFINANCE(""ASX:QEM"", ""closeyest"")"),0.02)</f>
        <v>0.02</v>
      </c>
      <c r="F1763" s="5" t="str">
        <f>IFERROR(__xludf.DUMMYFUNCTION("GOOGLEFINANCE(""ASX:QEM"", ""pe"")"),"#N/A")</f>
        <v>#N/A</v>
      </c>
      <c r="G1763" s="9">
        <f>IFERROR(__xludf.DUMMYFUNCTION("GOOGLEFINANCE(""ASX:QEM"", ""high52"")"),0.08)</f>
        <v>0.08</v>
      </c>
      <c r="H1763" s="9">
        <f>IFERROR(__xludf.DUMMYFUNCTION("GOOGLEFINANCE(""ASX:QEM"", ""low52"")"),0.02)</f>
        <v>0.02</v>
      </c>
      <c r="I1763" s="9">
        <f>IFERROR(__xludf.DUMMYFUNCTION("GOOGLEFINANCE(""ASX:QEM"", ""marketcap"")"),2836808.0)</f>
        <v>2836808</v>
      </c>
      <c r="J1763" s="5"/>
      <c r="K1763" s="5"/>
      <c r="L1763" s="5"/>
      <c r="M1763" s="5"/>
      <c r="N1763" s="9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>
      <c r="A1764" s="6" t="s">
        <v>3509</v>
      </c>
      <c r="B1764" s="6" t="s">
        <v>3510</v>
      </c>
      <c r="C1764" s="5" t="s">
        <v>36</v>
      </c>
      <c r="D1764" s="7">
        <f>IFERROR(__xludf.DUMMYFUNCTION("GOOGLEFINANCE(""ASX:QETH"", ""price"")"),33.57)</f>
        <v>33.57</v>
      </c>
      <c r="E1764" s="8">
        <f>IFERROR(__xludf.DUMMYFUNCTION("GOOGLEFINANCE(""ASX:QETH"", ""closeyest"")"),33.4)</f>
        <v>33.4</v>
      </c>
      <c r="F1764" s="5" t="str">
        <f>IFERROR(__xludf.DUMMYFUNCTION("GOOGLEFINANCE(""ASX:QETH"", ""pe"")"),"#N/A")</f>
        <v>#N/A</v>
      </c>
      <c r="G1764" s="9">
        <f>IFERROR(__xludf.DUMMYFUNCTION("GOOGLEFINANCE(""ASX:QETH"", ""high52"")"),51.52)</f>
        <v>51.52</v>
      </c>
      <c r="H1764" s="9">
        <f>IFERROR(__xludf.DUMMYFUNCTION("GOOGLEFINANCE(""ASX:QETH"", ""low52"")"),16.5)</f>
        <v>16.5</v>
      </c>
      <c r="I1764" s="9" t="str">
        <f>IFERROR(__xludf.DUMMYFUNCTION("GOOGLEFINANCE(""ASX:QETH"", ""marketcap"")"),"#N/A")</f>
        <v>#N/A</v>
      </c>
      <c r="J1764" s="5"/>
      <c r="K1764" s="5"/>
      <c r="L1764" s="5"/>
      <c r="M1764" s="5"/>
      <c r="N1764" s="9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>
      <c r="A1765" s="6" t="s">
        <v>3511</v>
      </c>
      <c r="B1765" s="6" t="s">
        <v>3512</v>
      </c>
      <c r="C1765" s="5" t="s">
        <v>33</v>
      </c>
      <c r="D1765" s="7">
        <f>IFERROR(__xludf.DUMMYFUNCTION("GOOGLEFINANCE(""ASX:QFE"", ""price"")"),0.07)</f>
        <v>0.07</v>
      </c>
      <c r="E1765" s="8">
        <f>IFERROR(__xludf.DUMMYFUNCTION("GOOGLEFINANCE(""ASX:QFE"", ""closeyest"")"),0.07)</f>
        <v>0.07</v>
      </c>
      <c r="F1765" s="5" t="str">
        <f>IFERROR(__xludf.DUMMYFUNCTION("GOOGLEFINANCE(""ASX:QFE"", ""pe"")"),"#N/A")</f>
        <v>#N/A</v>
      </c>
      <c r="G1765" s="9">
        <f>IFERROR(__xludf.DUMMYFUNCTION("GOOGLEFINANCE(""ASX:QFE"", ""high52"")"),0.2)</f>
        <v>0.2</v>
      </c>
      <c r="H1765" s="9">
        <f>IFERROR(__xludf.DUMMYFUNCTION("GOOGLEFINANCE(""ASX:QFE"", ""low52"")"),0.04)</f>
        <v>0.04</v>
      </c>
      <c r="I1765" s="9">
        <f>IFERROR(__xludf.DUMMYFUNCTION("GOOGLEFINANCE(""ASX:QFE"", ""marketcap"")"),2.6266317E7)</f>
        <v>26266317</v>
      </c>
      <c r="J1765" s="5"/>
      <c r="K1765" s="5"/>
      <c r="L1765" s="5"/>
      <c r="M1765" s="5"/>
      <c r="N1765" s="9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>
      <c r="A1766" s="6" t="s">
        <v>3513</v>
      </c>
      <c r="B1766" s="6" t="s">
        <v>3514</v>
      </c>
      <c r="C1766" s="5" t="s">
        <v>36</v>
      </c>
      <c r="D1766" s="7">
        <f>IFERROR(__xludf.DUMMYFUNCTION("GOOGLEFINANCE(""ASX:QFN"", ""price"")"),17.03)</f>
        <v>17.03</v>
      </c>
      <c r="E1766" s="8">
        <f>IFERROR(__xludf.DUMMYFUNCTION("GOOGLEFINANCE(""ASX:QFN"", ""closeyest"")"),17.25)</f>
        <v>17.25</v>
      </c>
      <c r="F1766" s="5" t="str">
        <f>IFERROR(__xludf.DUMMYFUNCTION("GOOGLEFINANCE(""ASX:QFN"", ""pe"")"),"#N/A")</f>
        <v>#N/A</v>
      </c>
      <c r="G1766" s="9">
        <f>IFERROR(__xludf.DUMMYFUNCTION("GOOGLEFINANCE(""ASX:QFN"", ""high52"")"),19.5)</f>
        <v>19.5</v>
      </c>
      <c r="H1766" s="9">
        <f>IFERROR(__xludf.DUMMYFUNCTION("GOOGLEFINANCE(""ASX:QFN"", ""low52"")"),14.21)</f>
        <v>14.21</v>
      </c>
      <c r="I1766" s="9" t="str">
        <f>IFERROR(__xludf.DUMMYFUNCTION("GOOGLEFINANCE(""ASX:QFN"", ""marketcap"")"),"#N/A")</f>
        <v>#N/A</v>
      </c>
      <c r="J1766" s="5"/>
      <c r="K1766" s="5"/>
      <c r="L1766" s="5"/>
      <c r="M1766" s="5"/>
      <c r="N1766" s="9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>
      <c r="A1767" s="6" t="s">
        <v>3515</v>
      </c>
      <c r="B1767" s="6" t="s">
        <v>3516</v>
      </c>
      <c r="C1767" s="5" t="s">
        <v>36</v>
      </c>
      <c r="D1767" s="7">
        <f>IFERROR(__xludf.DUMMYFUNCTION("GOOGLEFINANCE(""ASX:QGFH"", ""price"")"),5.07)</f>
        <v>5.07</v>
      </c>
      <c r="E1767" s="8">
        <f>IFERROR(__xludf.DUMMYFUNCTION("GOOGLEFINANCE(""ASX:QGFH"", ""closeyest"")"),5.07)</f>
        <v>5.07</v>
      </c>
      <c r="F1767" s="5" t="str">
        <f>IFERROR(__xludf.DUMMYFUNCTION("GOOGLEFINANCE(""ASX:QGFH"", ""pe"")"),"#N/A")</f>
        <v>#N/A</v>
      </c>
      <c r="G1767" s="9">
        <f>IFERROR(__xludf.DUMMYFUNCTION("GOOGLEFINANCE(""ASX:QGFH"", ""high52"")"),5.07)</f>
        <v>5.07</v>
      </c>
      <c r="H1767" s="9">
        <f>IFERROR(__xludf.DUMMYFUNCTION("GOOGLEFINANCE(""ASX:QGFH"", ""low52"")"),5.0)</f>
        <v>5</v>
      </c>
      <c r="I1767" s="9" t="str">
        <f>IFERROR(__xludf.DUMMYFUNCTION("GOOGLEFINANCE(""ASX:QGFH"", ""marketcap"")"),"#N/A")</f>
        <v>#N/A</v>
      </c>
      <c r="J1767" s="5"/>
      <c r="K1767" s="5"/>
      <c r="L1767" s="5"/>
      <c r="M1767" s="5"/>
      <c r="N1767" s="9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>
      <c r="A1768" s="6" t="s">
        <v>3517</v>
      </c>
      <c r="B1768" s="6" t="s">
        <v>3518</v>
      </c>
      <c r="C1768" s="5" t="s">
        <v>39</v>
      </c>
      <c r="D1768" s="7">
        <f>IFERROR(__xludf.DUMMYFUNCTION("GOOGLEFINANCE(""ASX:QGL"", ""price"")"),0.33)</f>
        <v>0.33</v>
      </c>
      <c r="E1768" s="8">
        <f>IFERROR(__xludf.DUMMYFUNCTION("GOOGLEFINANCE(""ASX:QGL"", ""closeyest"")"),0.33)</f>
        <v>0.33</v>
      </c>
      <c r="F1768" s="5" t="str">
        <f>IFERROR(__xludf.DUMMYFUNCTION("GOOGLEFINANCE(""ASX:QGL"", ""pe"")"),"#N/A")</f>
        <v>#N/A</v>
      </c>
      <c r="G1768" s="9">
        <f>IFERROR(__xludf.DUMMYFUNCTION("GOOGLEFINANCE(""ASX:QGL"", ""high52"")"),0.51)</f>
        <v>0.51</v>
      </c>
      <c r="H1768" s="9">
        <f>IFERROR(__xludf.DUMMYFUNCTION("GOOGLEFINANCE(""ASX:QGL"", ""low52"")"),0.32)</f>
        <v>0.32</v>
      </c>
      <c r="I1768" s="9">
        <f>IFERROR(__xludf.DUMMYFUNCTION("GOOGLEFINANCE(""ASX:QGL"", ""marketcap"")"),1.15692856E8)</f>
        <v>115692856</v>
      </c>
      <c r="J1768" s="5"/>
      <c r="K1768" s="5"/>
      <c r="L1768" s="5"/>
      <c r="M1768" s="5"/>
      <c r="N1768" s="9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>
      <c r="A1769" s="6" t="s">
        <v>3519</v>
      </c>
      <c r="B1769" s="6" t="s">
        <v>3520</v>
      </c>
      <c r="C1769" s="5" t="s">
        <v>36</v>
      </c>
      <c r="D1769" s="7" t="str">
        <f>IFERROR(__xludf.DUMMYFUNCTION("GOOGLEFINANCE(""ASX:QGRU"", ""price"")"),"#N/A")</f>
        <v>#N/A</v>
      </c>
      <c r="E1769" s="8" t="str">
        <f>IFERROR(__xludf.DUMMYFUNCTION("GOOGLEFINANCE(""ASX:QGRU"", ""closeyest"")"),"#N/A")</f>
        <v>#N/A</v>
      </c>
      <c r="F1769" s="5" t="str">
        <f>IFERROR(__xludf.DUMMYFUNCTION("GOOGLEFINANCE(""ASX:QGRU"", ""pe"")"),"#N/A")</f>
        <v>#N/A</v>
      </c>
      <c r="G1769" s="5" t="str">
        <f>IFERROR(__xludf.DUMMYFUNCTION("GOOGLEFINANCE(""ASX:QGRU"", ""high52"")"),"#N/A")</f>
        <v>#N/A</v>
      </c>
      <c r="H1769" s="5" t="str">
        <f>IFERROR(__xludf.DUMMYFUNCTION("GOOGLEFINANCE(""ASX:QGRU"", ""low52"")"),"#N/A")</f>
        <v>#N/A</v>
      </c>
      <c r="I1769" s="9" t="str">
        <f>IFERROR(__xludf.DUMMYFUNCTION("GOOGLEFINANCE(""ASX:QGRU"", ""marketcap"")"),"#N/A")</f>
        <v>#N/A</v>
      </c>
      <c r="J1769" s="12">
        <v>3.93</v>
      </c>
      <c r="K1769" s="12">
        <v>4.01</v>
      </c>
      <c r="L1769" s="12">
        <v>4.1</v>
      </c>
      <c r="M1769" s="12">
        <v>3.89</v>
      </c>
      <c r="N1769" s="9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>
      <c r="A1770" s="6" t="s">
        <v>3521</v>
      </c>
      <c r="B1770" s="6" t="s">
        <v>3522</v>
      </c>
      <c r="C1770" s="5" t="s">
        <v>36</v>
      </c>
      <c r="D1770" s="7">
        <f>IFERROR(__xludf.DUMMYFUNCTION("GOOGLEFINANCE(""ASX:QHAL"", ""price"")"),54.09)</f>
        <v>54.09</v>
      </c>
      <c r="E1770" s="8">
        <f>IFERROR(__xludf.DUMMYFUNCTION("GOOGLEFINANCE(""ASX:QHAL"", ""closeyest"")"),53.69)</f>
        <v>53.69</v>
      </c>
      <c r="F1770" s="5" t="str">
        <f>IFERROR(__xludf.DUMMYFUNCTION("GOOGLEFINANCE(""ASX:QHAL"", ""pe"")"),"#N/A")</f>
        <v>#N/A</v>
      </c>
      <c r="G1770" s="9">
        <f>IFERROR(__xludf.DUMMYFUNCTION("GOOGLEFINANCE(""ASX:QHAL"", ""high52"")"),54.65)</f>
        <v>54.65</v>
      </c>
      <c r="H1770" s="9">
        <f>IFERROR(__xludf.DUMMYFUNCTION("GOOGLEFINANCE(""ASX:QHAL"", ""low52"")"),39.5)</f>
        <v>39.5</v>
      </c>
      <c r="I1770" s="9" t="str">
        <f>IFERROR(__xludf.DUMMYFUNCTION("GOOGLEFINANCE(""ASX:QHAL"", ""marketcap"")"),"#N/A")</f>
        <v>#N/A</v>
      </c>
      <c r="J1770" s="5"/>
      <c r="K1770" s="5"/>
      <c r="L1770" s="5"/>
      <c r="M1770" s="5"/>
      <c r="N1770" s="9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>
      <c r="A1771" s="6" t="s">
        <v>3523</v>
      </c>
      <c r="B1771" s="6" t="s">
        <v>3524</v>
      </c>
      <c r="C1771" s="5" t="s">
        <v>36</v>
      </c>
      <c r="D1771" s="7">
        <f>IFERROR(__xludf.DUMMYFUNCTION("GOOGLEFINANCE(""ASX:QHSM"", ""price"")"),32.83)</f>
        <v>32.83</v>
      </c>
      <c r="E1771" s="8">
        <f>IFERROR(__xludf.DUMMYFUNCTION("GOOGLEFINANCE(""ASX:QHSM"", ""closeyest"")"),32.36)</f>
        <v>32.36</v>
      </c>
      <c r="F1771" s="5" t="str">
        <f>IFERROR(__xludf.DUMMYFUNCTION("GOOGLEFINANCE(""ASX:QHSM"", ""pe"")"),"#N/A")</f>
        <v>#N/A</v>
      </c>
      <c r="G1771" s="9">
        <f>IFERROR(__xludf.DUMMYFUNCTION("GOOGLEFINANCE(""ASX:QHSM"", ""high52"")"),32.94)</f>
        <v>32.94</v>
      </c>
      <c r="H1771" s="9">
        <f>IFERROR(__xludf.DUMMYFUNCTION("GOOGLEFINANCE(""ASX:QHSM"", ""low52"")"),23.97)</f>
        <v>23.97</v>
      </c>
      <c r="I1771" s="9" t="str">
        <f>IFERROR(__xludf.DUMMYFUNCTION("GOOGLEFINANCE(""ASX:QHSM"", ""marketcap"")"),"#N/A")</f>
        <v>#N/A</v>
      </c>
      <c r="J1771" s="5"/>
      <c r="K1771" s="5"/>
      <c r="L1771" s="5"/>
      <c r="M1771" s="5"/>
      <c r="N1771" s="9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>
      <c r="A1772" s="6" t="s">
        <v>3525</v>
      </c>
      <c r="B1772" s="6" t="s">
        <v>3526</v>
      </c>
      <c r="C1772" s="5" t="s">
        <v>36</v>
      </c>
      <c r="D1772" s="7">
        <f>IFERROR(__xludf.DUMMYFUNCTION("GOOGLEFINANCE(""ASX:QLTY"", ""price"")"),33.29)</f>
        <v>33.29</v>
      </c>
      <c r="E1772" s="8">
        <f>IFERROR(__xludf.DUMMYFUNCTION("GOOGLEFINANCE(""ASX:QLTY"", ""closeyest"")"),33.25)</f>
        <v>33.25</v>
      </c>
      <c r="F1772" s="5" t="str">
        <f>IFERROR(__xludf.DUMMYFUNCTION("GOOGLEFINANCE(""ASX:QLTY"", ""pe"")"),"#N/A")</f>
        <v>#N/A</v>
      </c>
      <c r="G1772" s="9">
        <f>IFERROR(__xludf.DUMMYFUNCTION("GOOGLEFINANCE(""ASX:QLTY"", ""high52"")"),34.08)</f>
        <v>34.08</v>
      </c>
      <c r="H1772" s="9">
        <f>IFERROR(__xludf.DUMMYFUNCTION("GOOGLEFINANCE(""ASX:QLTY"", ""low52"")"),28.04)</f>
        <v>28.04</v>
      </c>
      <c r="I1772" s="9" t="str">
        <f>IFERROR(__xludf.DUMMYFUNCTION("GOOGLEFINANCE(""ASX:QLTY"", ""marketcap"")"),"#N/A")</f>
        <v>#N/A</v>
      </c>
      <c r="J1772" s="5"/>
      <c r="K1772" s="5"/>
      <c r="L1772" s="5"/>
      <c r="M1772" s="5"/>
      <c r="N1772" s="9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>
      <c r="A1773" s="6" t="s">
        <v>3527</v>
      </c>
      <c r="B1773" s="6" t="s">
        <v>3528</v>
      </c>
      <c r="C1773" s="5" t="s">
        <v>36</v>
      </c>
      <c r="D1773" s="7" t="str">
        <f>IFERROR(__xludf.DUMMYFUNCTION("GOOGLEFINANCE(""ASX:QMAX"", ""price"")"),"#N/A")</f>
        <v>#N/A</v>
      </c>
      <c r="E1773" s="8" t="str">
        <f>IFERROR(__xludf.DUMMYFUNCTION("GOOGLEFINANCE(""ASX:QMAX"", ""closeyest"")"),"#N/A")</f>
        <v>#N/A</v>
      </c>
      <c r="F1773" s="5" t="str">
        <f>IFERROR(__xludf.DUMMYFUNCTION("GOOGLEFINANCE(""ASX:QMAX"", ""pe"")"),"#N/A")</f>
        <v>#N/A</v>
      </c>
      <c r="G1773" s="5" t="str">
        <f>IFERROR(__xludf.DUMMYFUNCTION("GOOGLEFINANCE(""ASX:QMAX"", ""high52"")"),"#N/A")</f>
        <v>#N/A</v>
      </c>
      <c r="H1773" s="5" t="str">
        <f>IFERROR(__xludf.DUMMYFUNCTION("GOOGLEFINANCE(""ASX:QMAX"", ""low52"")"),"#N/A")</f>
        <v>#N/A</v>
      </c>
      <c r="I1773" s="9" t="str">
        <f>IFERROR(__xludf.DUMMYFUNCTION("GOOGLEFINANCE(""ASX:QMAX"", ""marketcap"")"),"#N/A")</f>
        <v>#N/A</v>
      </c>
      <c r="J1773" s="12">
        <v>29.9</v>
      </c>
      <c r="K1773" s="12">
        <v>29.92</v>
      </c>
      <c r="L1773" s="12">
        <v>31.61</v>
      </c>
      <c r="M1773" s="12">
        <v>24.85</v>
      </c>
      <c r="N1773" s="9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>
      <c r="A1774" s="6" t="s">
        <v>3529</v>
      </c>
      <c r="B1774" s="6" t="s">
        <v>3530</v>
      </c>
      <c r="C1774" s="5" t="s">
        <v>36</v>
      </c>
      <c r="D1774" s="7">
        <f>IFERROR(__xludf.DUMMYFUNCTION("GOOGLEFINANCE(""ASX:QMIX"", ""price"")"),35.12)</f>
        <v>35.12</v>
      </c>
      <c r="E1774" s="8">
        <f>IFERROR(__xludf.DUMMYFUNCTION("GOOGLEFINANCE(""ASX:QMIX"", ""closeyest"")"),35.17)</f>
        <v>35.17</v>
      </c>
      <c r="F1774" s="5" t="str">
        <f>IFERROR(__xludf.DUMMYFUNCTION("GOOGLEFINANCE(""ASX:QMIX"", ""pe"")"),"#N/A")</f>
        <v>#N/A</v>
      </c>
      <c r="G1774" s="9">
        <f>IFERROR(__xludf.DUMMYFUNCTION("GOOGLEFINANCE(""ASX:QMIX"", ""high52"")"),35.64)</f>
        <v>35.64</v>
      </c>
      <c r="H1774" s="9">
        <f>IFERROR(__xludf.DUMMYFUNCTION("GOOGLEFINANCE(""ASX:QMIX"", ""low52"")"),30.5)</f>
        <v>30.5</v>
      </c>
      <c r="I1774" s="9" t="str">
        <f>IFERROR(__xludf.DUMMYFUNCTION("GOOGLEFINANCE(""ASX:QMIX"", ""marketcap"")"),"#N/A")</f>
        <v>#N/A</v>
      </c>
      <c r="J1774" s="5"/>
      <c r="K1774" s="5"/>
      <c r="L1774" s="5"/>
      <c r="M1774" s="5"/>
      <c r="N1774" s="9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>
      <c r="A1775" s="6" t="s">
        <v>3531</v>
      </c>
      <c r="B1775" s="6" t="s">
        <v>3532</v>
      </c>
      <c r="C1775" s="5" t="s">
        <v>88</v>
      </c>
      <c r="D1775" s="7">
        <f>IFERROR(__xludf.DUMMYFUNCTION("GOOGLEFINANCE(""ASX:QML"", ""price"")"),0.05)</f>
        <v>0.05</v>
      </c>
      <c r="E1775" s="8">
        <f>IFERROR(__xludf.DUMMYFUNCTION("GOOGLEFINANCE(""ASX:QML"", ""closeyest"")"),0.06)</f>
        <v>0.06</v>
      </c>
      <c r="F1775" s="5" t="str">
        <f>IFERROR(__xludf.DUMMYFUNCTION("GOOGLEFINANCE(""ASX:QML"", ""pe"")"),"#N/A")</f>
        <v>#N/A</v>
      </c>
      <c r="G1775" s="9">
        <f>IFERROR(__xludf.DUMMYFUNCTION("GOOGLEFINANCE(""ASX:QML"", ""high52"")"),0.07)</f>
        <v>0.07</v>
      </c>
      <c r="H1775" s="9">
        <f>IFERROR(__xludf.DUMMYFUNCTION("GOOGLEFINANCE(""ASX:QML"", ""low52"")"),0.03)</f>
        <v>0.03</v>
      </c>
      <c r="I1775" s="9">
        <f>IFERROR(__xludf.DUMMYFUNCTION("GOOGLEFINANCE(""ASX:QML"", ""marketcap"")"),3.2633191E7)</f>
        <v>32633191</v>
      </c>
      <c r="J1775" s="5"/>
      <c r="K1775" s="5"/>
      <c r="L1775" s="5"/>
      <c r="M1775" s="5"/>
      <c r="N1775" s="9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>
      <c r="A1776" s="6" t="s">
        <v>3533</v>
      </c>
      <c r="B1776" s="6" t="s">
        <v>3534</v>
      </c>
      <c r="C1776" s="5" t="s">
        <v>36</v>
      </c>
      <c r="D1776" s="7">
        <f>IFERROR(__xludf.DUMMYFUNCTION("GOOGLEFINANCE(""ASX:QNDQ"", ""price"")"),16.94)</f>
        <v>16.94</v>
      </c>
      <c r="E1776" s="8">
        <f>IFERROR(__xludf.DUMMYFUNCTION("GOOGLEFINANCE(""ASX:QNDQ"", ""closeyest"")"),16.94)</f>
        <v>16.94</v>
      </c>
      <c r="F1776" s="5" t="str">
        <f>IFERROR(__xludf.DUMMYFUNCTION("GOOGLEFINANCE(""ASX:QNDQ"", ""pe"")"),"#N/A")</f>
        <v>#N/A</v>
      </c>
      <c r="G1776" s="9">
        <f>IFERROR(__xludf.DUMMYFUNCTION("GOOGLEFINANCE(""ASX:QNDQ"", ""high52"")"),17.66)</f>
        <v>17.66</v>
      </c>
      <c r="H1776" s="9">
        <f>IFERROR(__xludf.DUMMYFUNCTION("GOOGLEFINANCE(""ASX:QNDQ"", ""low52"")"),13.94)</f>
        <v>13.94</v>
      </c>
      <c r="I1776" s="9" t="str">
        <f>IFERROR(__xludf.DUMMYFUNCTION("GOOGLEFINANCE(""ASX:QNDQ"", ""marketcap"")"),"#N/A")</f>
        <v>#N/A</v>
      </c>
      <c r="J1776" s="5"/>
      <c r="K1776" s="5"/>
      <c r="L1776" s="5"/>
      <c r="M1776" s="5"/>
      <c r="N1776" s="9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>
      <c r="A1777" s="6" t="s">
        <v>3535</v>
      </c>
      <c r="B1777" s="6" t="s">
        <v>3536</v>
      </c>
      <c r="C1777" s="5" t="s">
        <v>15</v>
      </c>
      <c r="D1777" s="7">
        <f>IFERROR(__xludf.DUMMYFUNCTION("GOOGLEFINANCE(""ASX:QOR"", ""price"")"),0.67)</f>
        <v>0.67</v>
      </c>
      <c r="E1777" s="8">
        <f>IFERROR(__xludf.DUMMYFUNCTION("GOOGLEFINANCE(""ASX:QOR"", ""closeyest"")"),0.62)</f>
        <v>0.62</v>
      </c>
      <c r="F1777" s="5" t="str">
        <f>IFERROR(__xludf.DUMMYFUNCTION("GOOGLEFINANCE(""ASX:QOR"", ""pe"")"),"#N/A")</f>
        <v>#N/A</v>
      </c>
      <c r="G1777" s="9">
        <f>IFERROR(__xludf.DUMMYFUNCTION("GOOGLEFINANCE(""ASX:QOR"", ""high52"")"),0.94)</f>
        <v>0.94</v>
      </c>
      <c r="H1777" s="9">
        <f>IFERROR(__xludf.DUMMYFUNCTION("GOOGLEFINANCE(""ASX:QOR"", ""low52"")"),0.31)</f>
        <v>0.31</v>
      </c>
      <c r="I1777" s="9">
        <f>IFERROR(__xludf.DUMMYFUNCTION("GOOGLEFINANCE(""ASX:QOR"", ""marketcap"")"),9.00016382E8)</f>
        <v>900016382</v>
      </c>
      <c r="J1777" s="5"/>
      <c r="K1777" s="5"/>
      <c r="L1777" s="5"/>
      <c r="M1777" s="5"/>
      <c r="N1777" s="9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>
      <c r="A1778" s="6" t="s">
        <v>3537</v>
      </c>
      <c r="B1778" s="6" t="s">
        <v>3538</v>
      </c>
      <c r="C1778" s="5" t="s">
        <v>36</v>
      </c>
      <c r="D1778" s="7">
        <f>IFERROR(__xludf.DUMMYFUNCTION("GOOGLEFINANCE(""ASX:QOZ"", ""price"")"),18.22)</f>
        <v>18.22</v>
      </c>
      <c r="E1778" s="8">
        <f>IFERROR(__xludf.DUMMYFUNCTION("GOOGLEFINANCE(""ASX:QOZ"", ""closeyest"")"),18.17)</f>
        <v>18.17</v>
      </c>
      <c r="F1778" s="5" t="str">
        <f>IFERROR(__xludf.DUMMYFUNCTION("GOOGLEFINANCE(""ASX:QOZ"", ""pe"")"),"#N/A")</f>
        <v>#N/A</v>
      </c>
      <c r="G1778" s="9">
        <f>IFERROR(__xludf.DUMMYFUNCTION("GOOGLEFINANCE(""ASX:QOZ"", ""high52"")"),18.61)</f>
        <v>18.61</v>
      </c>
      <c r="H1778" s="9">
        <f>IFERROR(__xludf.DUMMYFUNCTION("GOOGLEFINANCE(""ASX:QOZ"", ""low52"")"),14.4)</f>
        <v>14.4</v>
      </c>
      <c r="I1778" s="9" t="str">
        <f>IFERROR(__xludf.DUMMYFUNCTION("GOOGLEFINANCE(""ASX:QOZ"", ""marketcap"")"),"#N/A")</f>
        <v>#N/A</v>
      </c>
      <c r="J1778" s="5"/>
      <c r="K1778" s="5"/>
      <c r="L1778" s="5"/>
      <c r="M1778" s="5"/>
      <c r="N1778" s="9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>
      <c r="A1779" s="6" t="s">
        <v>3539</v>
      </c>
      <c r="B1779" s="6" t="s">
        <v>3540</v>
      </c>
      <c r="C1779" s="5" t="s">
        <v>106</v>
      </c>
      <c r="D1779" s="7">
        <f>IFERROR(__xludf.DUMMYFUNCTION("GOOGLEFINANCE(""ASX:QPM"", ""price"")"),0.04)</f>
        <v>0.04</v>
      </c>
      <c r="E1779" s="8">
        <f>IFERROR(__xludf.DUMMYFUNCTION("GOOGLEFINANCE(""ASX:QPM"", ""closeyest"")"),0.04)</f>
        <v>0.04</v>
      </c>
      <c r="F1779" s="9">
        <f>IFERROR(__xludf.DUMMYFUNCTION("GOOGLEFINANCE(""ASX:QPM"", ""pe"")"),12.46)</f>
        <v>12.46</v>
      </c>
      <c r="G1779" s="9">
        <f>IFERROR(__xludf.DUMMYFUNCTION("GOOGLEFINANCE(""ASX:QPM"", ""high52"")"),0.08)</f>
        <v>0.08</v>
      </c>
      <c r="H1779" s="9">
        <f>IFERROR(__xludf.DUMMYFUNCTION("GOOGLEFINANCE(""ASX:QPM"", ""low52"")"),0.03)</f>
        <v>0.03</v>
      </c>
      <c r="I1779" s="9">
        <f>IFERROR(__xludf.DUMMYFUNCTION("GOOGLEFINANCE(""ASX:QPM"", ""marketcap"")"),1.53546676E8)</f>
        <v>153546676</v>
      </c>
      <c r="J1779" s="5"/>
      <c r="K1779" s="5"/>
      <c r="L1779" s="5"/>
      <c r="M1779" s="5"/>
      <c r="N1779" s="9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>
      <c r="A1780" s="6" t="s">
        <v>3541</v>
      </c>
      <c r="B1780" s="6" t="s">
        <v>3542</v>
      </c>
      <c r="C1780" s="5" t="s">
        <v>36</v>
      </c>
      <c r="D1780" s="7">
        <f>IFERROR(__xludf.DUMMYFUNCTION("GOOGLEFINANCE(""ASX:QPON"", ""price"")"),26.16)</f>
        <v>26.16</v>
      </c>
      <c r="E1780" s="8">
        <f>IFERROR(__xludf.DUMMYFUNCTION("GOOGLEFINANCE(""ASX:QPON"", ""closeyest"")"),26.16)</f>
        <v>26.16</v>
      </c>
      <c r="F1780" s="5" t="str">
        <f>IFERROR(__xludf.DUMMYFUNCTION("GOOGLEFINANCE(""ASX:QPON"", ""pe"")"),"#N/A")</f>
        <v>#N/A</v>
      </c>
      <c r="G1780" s="9">
        <f>IFERROR(__xludf.DUMMYFUNCTION("GOOGLEFINANCE(""ASX:QPON"", ""high52"")"),26.25)</f>
        <v>26.25</v>
      </c>
      <c r="H1780" s="9">
        <f>IFERROR(__xludf.DUMMYFUNCTION("GOOGLEFINANCE(""ASX:QPON"", ""low52"")"),25.65)</f>
        <v>25.65</v>
      </c>
      <c r="I1780" s="9" t="str">
        <f>IFERROR(__xludf.DUMMYFUNCTION("GOOGLEFINANCE(""ASX:QPON"", ""marketcap"")"),"#N/A")</f>
        <v>#N/A</v>
      </c>
      <c r="J1780" s="5"/>
      <c r="K1780" s="5"/>
      <c r="L1780" s="5"/>
      <c r="M1780" s="5"/>
      <c r="N1780" s="9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>
      <c r="A1781" s="6" t="s">
        <v>3543</v>
      </c>
      <c r="B1781" s="6" t="s">
        <v>3544</v>
      </c>
      <c r="C1781" s="5" t="s">
        <v>36</v>
      </c>
      <c r="D1781" s="7">
        <f>IFERROR(__xludf.DUMMYFUNCTION("GOOGLEFINANCE(""ASX:QRE"", ""price"")"),9.05)</f>
        <v>9.05</v>
      </c>
      <c r="E1781" s="8">
        <f>IFERROR(__xludf.DUMMYFUNCTION("GOOGLEFINANCE(""ASX:QRE"", ""closeyest"")"),8.97)</f>
        <v>8.97</v>
      </c>
      <c r="F1781" s="5" t="str">
        <f>IFERROR(__xludf.DUMMYFUNCTION("GOOGLEFINANCE(""ASX:QRE"", ""pe"")"),"#N/A")</f>
        <v>#N/A</v>
      </c>
      <c r="G1781" s="9">
        <f>IFERROR(__xludf.DUMMYFUNCTION("GOOGLEFINANCE(""ASX:QRE"", ""high52"")"),9.06)</f>
        <v>9.06</v>
      </c>
      <c r="H1781" s="9">
        <f>IFERROR(__xludf.DUMMYFUNCTION("GOOGLEFINANCE(""ASX:QRE"", ""low52"")"),5.82)</f>
        <v>5.82</v>
      </c>
      <c r="I1781" s="9" t="str">
        <f>IFERROR(__xludf.DUMMYFUNCTION("GOOGLEFINANCE(""ASX:QRE"", ""marketcap"")"),"#N/A")</f>
        <v>#N/A</v>
      </c>
      <c r="J1781" s="5"/>
      <c r="K1781" s="5"/>
      <c r="L1781" s="5"/>
      <c r="M1781" s="5"/>
      <c r="N1781" s="9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>
      <c r="A1782" s="6" t="s">
        <v>3545</v>
      </c>
      <c r="B1782" s="6" t="s">
        <v>3546</v>
      </c>
      <c r="C1782" s="5" t="s">
        <v>873</v>
      </c>
      <c r="D1782" s="7">
        <f>IFERROR(__xludf.DUMMYFUNCTION("GOOGLEFINANCE(""ASX:QRI"", ""price"")"),1.58)</f>
        <v>1.58</v>
      </c>
      <c r="E1782" s="8">
        <f>IFERROR(__xludf.DUMMYFUNCTION("GOOGLEFINANCE(""ASX:QRI"", ""closeyest"")"),1.57)</f>
        <v>1.57</v>
      </c>
      <c r="F1782" s="9">
        <f>IFERROR(__xludf.DUMMYFUNCTION("GOOGLEFINANCE(""ASX:QRI"", ""pe"")"),11.84)</f>
        <v>11.84</v>
      </c>
      <c r="G1782" s="9">
        <f>IFERROR(__xludf.DUMMYFUNCTION("GOOGLEFINANCE(""ASX:QRI"", ""high52"")"),1.69)</f>
        <v>1.69</v>
      </c>
      <c r="H1782" s="9">
        <f>IFERROR(__xludf.DUMMYFUNCTION("GOOGLEFINANCE(""ASX:QRI"", ""low52"")"),1.47)</f>
        <v>1.47</v>
      </c>
      <c r="I1782" s="9">
        <f>IFERROR(__xludf.DUMMYFUNCTION("GOOGLEFINANCE(""ASX:QRI"", ""marketcap"")"),9.90761654E8)</f>
        <v>990761654</v>
      </c>
      <c r="J1782" s="5"/>
      <c r="K1782" s="5"/>
      <c r="L1782" s="5"/>
      <c r="M1782" s="5"/>
      <c r="N1782" s="9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>
      <c r="A1783" s="6" t="s">
        <v>3547</v>
      </c>
      <c r="B1783" s="6" t="s">
        <v>3548</v>
      </c>
      <c r="C1783" s="5" t="s">
        <v>36</v>
      </c>
      <c r="D1783" s="7">
        <f>IFERROR(__xludf.DUMMYFUNCTION("GOOGLEFINANCE(""ASX:QSML"", ""price"")"),32.05)</f>
        <v>32.05</v>
      </c>
      <c r="E1783" s="8">
        <f>IFERROR(__xludf.DUMMYFUNCTION("GOOGLEFINANCE(""ASX:QSML"", ""closeyest"")"),31.95)</f>
        <v>31.95</v>
      </c>
      <c r="F1783" s="5" t="str">
        <f>IFERROR(__xludf.DUMMYFUNCTION("GOOGLEFINANCE(""ASX:QSML"", ""pe"")"),"#N/A")</f>
        <v>#N/A</v>
      </c>
      <c r="G1783" s="9">
        <f>IFERROR(__xludf.DUMMYFUNCTION("GOOGLEFINANCE(""ASX:QSML"", ""high52"")"),33.02)</f>
        <v>33.02</v>
      </c>
      <c r="H1783" s="9">
        <f>IFERROR(__xludf.DUMMYFUNCTION("GOOGLEFINANCE(""ASX:QSML"", ""low52"")"),25.82)</f>
        <v>25.82</v>
      </c>
      <c r="I1783" s="9" t="str">
        <f>IFERROR(__xludf.DUMMYFUNCTION("GOOGLEFINANCE(""ASX:QSML"", ""marketcap"")"),"#N/A")</f>
        <v>#N/A</v>
      </c>
      <c r="J1783" s="5"/>
      <c r="K1783" s="5"/>
      <c r="L1783" s="5"/>
      <c r="M1783" s="5"/>
      <c r="N1783" s="9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>
      <c r="A1784" s="6" t="s">
        <v>3549</v>
      </c>
      <c r="B1784" s="6" t="s">
        <v>3550</v>
      </c>
      <c r="C1784" s="5" t="s">
        <v>36</v>
      </c>
      <c r="D1784" s="7">
        <f>IFERROR(__xludf.DUMMYFUNCTION("GOOGLEFINANCE(""ASX:QUAL"", ""price"")"),62.18)</f>
        <v>62.18</v>
      </c>
      <c r="E1784" s="8">
        <f>IFERROR(__xludf.DUMMYFUNCTION("GOOGLEFINANCE(""ASX:QUAL"", ""closeyest"")"),62.06)</f>
        <v>62.06</v>
      </c>
      <c r="F1784" s="5" t="str">
        <f>IFERROR(__xludf.DUMMYFUNCTION("GOOGLEFINANCE(""ASX:QUAL"", ""pe"")"),"#N/A")</f>
        <v>#N/A</v>
      </c>
      <c r="G1784" s="9">
        <f>IFERROR(__xludf.DUMMYFUNCTION("GOOGLEFINANCE(""ASX:QUAL"", ""high52"")"),62.94)</f>
        <v>62.94</v>
      </c>
      <c r="H1784" s="9">
        <f>IFERROR(__xludf.DUMMYFUNCTION("GOOGLEFINANCE(""ASX:QUAL"", ""low52"")"),51.5)</f>
        <v>51.5</v>
      </c>
      <c r="I1784" s="9" t="str">
        <f>IFERROR(__xludf.DUMMYFUNCTION("GOOGLEFINANCE(""ASX:QUAL"", ""marketcap"")"),"#N/A")</f>
        <v>#N/A</v>
      </c>
      <c r="J1784" s="5"/>
      <c r="K1784" s="5"/>
      <c r="L1784" s="5"/>
      <c r="M1784" s="5"/>
      <c r="N1784" s="9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>
      <c r="A1785" s="6" t="s">
        <v>3551</v>
      </c>
      <c r="B1785" s="6" t="s">
        <v>3552</v>
      </c>
      <c r="C1785" s="5" t="s">
        <v>898</v>
      </c>
      <c r="D1785" s="7">
        <f>IFERROR(__xludf.DUMMYFUNCTION("GOOGLEFINANCE(""ASX:QUB"", ""price"")"),4.82)</f>
        <v>4.82</v>
      </c>
      <c r="E1785" s="8">
        <f>IFERROR(__xludf.DUMMYFUNCTION("GOOGLEFINANCE(""ASX:QUB"", ""closeyest"")"),4.79)</f>
        <v>4.79</v>
      </c>
      <c r="F1785" s="9">
        <f>IFERROR(__xludf.DUMMYFUNCTION("GOOGLEFINANCE(""ASX:QUB"", ""pe"")"),75.45)</f>
        <v>75.45</v>
      </c>
      <c r="G1785" s="9">
        <f>IFERROR(__xludf.DUMMYFUNCTION("GOOGLEFINANCE(""ASX:QUB"", ""high52"")"),4.99)</f>
        <v>4.99</v>
      </c>
      <c r="H1785" s="9">
        <f>IFERROR(__xludf.DUMMYFUNCTION("GOOGLEFINANCE(""ASX:QUB"", ""low52"")"),3.55)</f>
        <v>3.55</v>
      </c>
      <c r="I1785" s="9">
        <f>IFERROR(__xludf.DUMMYFUNCTION("GOOGLEFINANCE(""ASX:QUB"", ""marketcap"")"),8.532422143E9)</f>
        <v>8532422143</v>
      </c>
      <c r="J1785" s="5"/>
      <c r="K1785" s="5"/>
      <c r="L1785" s="5"/>
      <c r="M1785" s="5"/>
      <c r="N1785" s="9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>
      <c r="A1786" s="6" t="s">
        <v>3553</v>
      </c>
      <c r="B1786" s="6" t="s">
        <v>3554</v>
      </c>
      <c r="C1786" s="5" t="s">
        <v>171</v>
      </c>
      <c r="D1786" s="7">
        <f>IFERROR(__xludf.DUMMYFUNCTION("GOOGLEFINANCE(""ASX:QUE"", ""price"")"),0.06)</f>
        <v>0.06</v>
      </c>
      <c r="E1786" s="8">
        <f>IFERROR(__xludf.DUMMYFUNCTION("GOOGLEFINANCE(""ASX:QUE"", ""closeyest"")"),0.06)</f>
        <v>0.06</v>
      </c>
      <c r="F1786" s="9">
        <f>IFERROR(__xludf.DUMMYFUNCTION("GOOGLEFINANCE(""ASX:QUE"", ""pe"")"),2.11)</f>
        <v>2.11</v>
      </c>
      <c r="G1786" s="9">
        <f>IFERROR(__xludf.DUMMYFUNCTION("GOOGLEFINANCE(""ASX:QUE"", ""high52"")"),0.07)</f>
        <v>0.07</v>
      </c>
      <c r="H1786" s="9">
        <f>IFERROR(__xludf.DUMMYFUNCTION("GOOGLEFINANCE(""ASX:QUE"", ""low52"")"),0.04)</f>
        <v>0.04</v>
      </c>
      <c r="I1786" s="9">
        <f>IFERROR(__xludf.DUMMYFUNCTION("GOOGLEFINANCE(""ASX:QUE"", ""marketcap"")"),1516050.0)</f>
        <v>1516050</v>
      </c>
      <c r="J1786" s="5"/>
      <c r="K1786" s="5"/>
      <c r="L1786" s="5"/>
      <c r="M1786" s="5"/>
      <c r="N1786" s="9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>
      <c r="A1787" s="6" t="s">
        <v>3555</v>
      </c>
      <c r="B1787" s="6" t="s">
        <v>3556</v>
      </c>
      <c r="C1787" s="5" t="s">
        <v>36</v>
      </c>
      <c r="D1787" s="7">
        <f>IFERROR(__xludf.DUMMYFUNCTION("GOOGLEFINANCE(""ASX:QUS"", ""price"")"),53.98)</f>
        <v>53.98</v>
      </c>
      <c r="E1787" s="8">
        <f>IFERROR(__xludf.DUMMYFUNCTION("GOOGLEFINANCE(""ASX:QUS"", ""closeyest"")"),53.62)</f>
        <v>53.62</v>
      </c>
      <c r="F1787" s="5" t="str">
        <f>IFERROR(__xludf.DUMMYFUNCTION("GOOGLEFINANCE(""ASX:QUS"", ""pe"")"),"#N/A")</f>
        <v>#N/A</v>
      </c>
      <c r="G1787" s="9">
        <f>IFERROR(__xludf.DUMMYFUNCTION("GOOGLEFINANCE(""ASX:QUS"", ""high52"")"),55.96)</f>
        <v>55.96</v>
      </c>
      <c r="H1787" s="9">
        <f>IFERROR(__xludf.DUMMYFUNCTION("GOOGLEFINANCE(""ASX:QUS"", ""low52"")"),46.62)</f>
        <v>46.62</v>
      </c>
      <c r="I1787" s="9" t="str">
        <f>IFERROR(__xludf.DUMMYFUNCTION("GOOGLEFINANCE(""ASX:QUS"", ""marketcap"")"),"#N/A")</f>
        <v>#N/A</v>
      </c>
      <c r="J1787" s="5"/>
      <c r="K1787" s="5"/>
      <c r="L1787" s="5"/>
      <c r="M1787" s="5"/>
      <c r="N1787" s="9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>
      <c r="A1788" s="6" t="s">
        <v>3557</v>
      </c>
      <c r="B1788" s="6" t="s">
        <v>3558</v>
      </c>
      <c r="C1788" s="5" t="s">
        <v>39</v>
      </c>
      <c r="D1788" s="7">
        <f>IFERROR(__xludf.DUMMYFUNCTION("GOOGLEFINANCE(""ASX:QXR"", ""price"")"),0.0)</f>
        <v>0</v>
      </c>
      <c r="E1788" s="8">
        <f>IFERROR(__xludf.DUMMYFUNCTION("GOOGLEFINANCE(""ASX:QXR"", ""closeyest"")"),0.0)</f>
        <v>0</v>
      </c>
      <c r="F1788" s="5" t="str">
        <f>IFERROR(__xludf.DUMMYFUNCTION("GOOGLEFINANCE(""ASX:QXR"", ""pe"")"),"#N/A")</f>
        <v>#N/A</v>
      </c>
      <c r="G1788" s="9">
        <f>IFERROR(__xludf.DUMMYFUNCTION("GOOGLEFINANCE(""ASX:QXR"", ""high52"")"),0.01)</f>
        <v>0.01</v>
      </c>
      <c r="H1788" s="9">
        <f>IFERROR(__xludf.DUMMYFUNCTION("GOOGLEFINANCE(""ASX:QXR"", ""low52"")"),0.0)</f>
        <v>0</v>
      </c>
      <c r="I1788" s="9">
        <f>IFERROR(__xludf.DUMMYFUNCTION("GOOGLEFINANCE(""ASX:QXR"", ""marketcap"")"),3685328.0)</f>
        <v>3685328</v>
      </c>
      <c r="J1788" s="12">
        <v>0.004</v>
      </c>
      <c r="K1788" s="12">
        <v>0.004</v>
      </c>
      <c r="L1788" s="12">
        <v>0.007</v>
      </c>
      <c r="M1788" s="12">
        <v>0.002</v>
      </c>
      <c r="N1788" s="9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>
      <c r="A1789" s="6" t="s">
        <v>3559</v>
      </c>
      <c r="B1789" s="6" t="s">
        <v>3560</v>
      </c>
      <c r="C1789" s="5" t="s">
        <v>36</v>
      </c>
      <c r="D1789" s="7">
        <f>IFERROR(__xludf.DUMMYFUNCTION("GOOGLEFINANCE(""ASX:QYLD"", ""price"")"),11.32)</f>
        <v>11.32</v>
      </c>
      <c r="E1789" s="8">
        <f>IFERROR(__xludf.DUMMYFUNCTION("GOOGLEFINANCE(""ASX:QYLD"", ""closeyest"")"),11.39)</f>
        <v>11.39</v>
      </c>
      <c r="F1789" s="5" t="str">
        <f>IFERROR(__xludf.DUMMYFUNCTION("GOOGLEFINANCE(""ASX:QYLD"", ""pe"")"),"#N/A")</f>
        <v>#N/A</v>
      </c>
      <c r="G1789" s="9">
        <f>IFERROR(__xludf.DUMMYFUNCTION("GOOGLEFINANCE(""ASX:QYLD"", ""high52"")"),13.47)</f>
        <v>13.47</v>
      </c>
      <c r="H1789" s="9">
        <f>IFERROR(__xludf.DUMMYFUNCTION("GOOGLEFINANCE(""ASX:QYLD"", ""low52"")"),10.2)</f>
        <v>10.2</v>
      </c>
      <c r="I1789" s="9" t="str">
        <f>IFERROR(__xludf.DUMMYFUNCTION("GOOGLEFINANCE(""ASX:QYLD"", ""marketcap"")"),"#N/A")</f>
        <v>#N/A</v>
      </c>
      <c r="J1789" s="5"/>
      <c r="K1789" s="5"/>
      <c r="L1789" s="5"/>
      <c r="M1789" s="5"/>
      <c r="N1789" s="9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>
      <c r="A1790" s="6" t="s">
        <v>3561</v>
      </c>
      <c r="B1790" s="6" t="s">
        <v>3562</v>
      </c>
      <c r="C1790" s="5" t="s">
        <v>36</v>
      </c>
      <c r="D1790" s="7">
        <f>IFERROR(__xludf.DUMMYFUNCTION("GOOGLEFINANCE(""ASX:R3AL"", ""price"")"),1.63)</f>
        <v>1.63</v>
      </c>
      <c r="E1790" s="8">
        <f>IFERROR(__xludf.DUMMYFUNCTION("GOOGLEFINANCE(""ASX:R3AL"", ""closeyest"")"),1.63)</f>
        <v>1.63</v>
      </c>
      <c r="F1790" s="5" t="str">
        <f>IFERROR(__xludf.DUMMYFUNCTION("GOOGLEFINANCE(""ASX:R3AL"", ""pe"")"),"#N/A")</f>
        <v>#N/A</v>
      </c>
      <c r="G1790" s="9">
        <f>IFERROR(__xludf.DUMMYFUNCTION("GOOGLEFINANCE(""ASX:R3AL"", ""high52"")"),1.7)</f>
        <v>1.7</v>
      </c>
      <c r="H1790" s="9">
        <f>IFERROR(__xludf.DUMMYFUNCTION("GOOGLEFINANCE(""ASX:R3AL"", ""low52"")"),1.5)</f>
        <v>1.5</v>
      </c>
      <c r="I1790" s="9" t="str">
        <f>IFERROR(__xludf.DUMMYFUNCTION("GOOGLEFINANCE(""ASX:R3AL"", ""marketcap"")"),"#N/A")</f>
        <v>#N/A</v>
      </c>
      <c r="J1790" s="12">
        <v>1.64</v>
      </c>
      <c r="K1790" s="12">
        <v>1.64</v>
      </c>
      <c r="L1790" s="12">
        <v>1.7</v>
      </c>
      <c r="M1790" s="12">
        <v>1.5</v>
      </c>
      <c r="N1790" s="9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>
      <c r="A1791" s="6" t="s">
        <v>3563</v>
      </c>
      <c r="B1791" s="6" t="s">
        <v>3564</v>
      </c>
      <c r="C1791" s="5" t="s">
        <v>88</v>
      </c>
      <c r="D1791" s="7">
        <f>IFERROR(__xludf.DUMMYFUNCTION("GOOGLEFINANCE(""ASX:R8R"", ""price"")"),0.14)</f>
        <v>0.14</v>
      </c>
      <c r="E1791" s="8">
        <f>IFERROR(__xludf.DUMMYFUNCTION("GOOGLEFINANCE(""ASX:R8R"", ""closeyest"")"),0.14)</f>
        <v>0.14</v>
      </c>
      <c r="F1791" s="5" t="str">
        <f>IFERROR(__xludf.DUMMYFUNCTION("GOOGLEFINANCE(""ASX:R8R"", ""pe"")"),"#N/A")</f>
        <v>#N/A</v>
      </c>
      <c r="G1791" s="9">
        <f>IFERROR(__xludf.DUMMYFUNCTION("GOOGLEFINANCE(""ASX:R8R"", ""high52"")"),0.2)</f>
        <v>0.2</v>
      </c>
      <c r="H1791" s="9">
        <f>IFERROR(__xludf.DUMMYFUNCTION("GOOGLEFINANCE(""ASX:R8R"", ""low52"")"),0.08)</f>
        <v>0.08</v>
      </c>
      <c r="I1791" s="9">
        <f>IFERROR(__xludf.DUMMYFUNCTION("GOOGLEFINANCE(""ASX:R8R"", ""marketcap"")"),4564350.0)</f>
        <v>4564350</v>
      </c>
      <c r="J1791" s="5"/>
      <c r="K1791" s="5"/>
      <c r="L1791" s="5"/>
      <c r="M1791" s="5"/>
      <c r="N1791" s="9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>
      <c r="A1792" s="6" t="s">
        <v>3565</v>
      </c>
      <c r="B1792" s="6" t="s">
        <v>3566</v>
      </c>
      <c r="C1792" s="5" t="s">
        <v>25</v>
      </c>
      <c r="D1792" s="7">
        <f>IFERROR(__xludf.DUMMYFUNCTION("GOOGLEFINANCE(""ASX:RAC"", ""price"")"),2.85)</f>
        <v>2.85</v>
      </c>
      <c r="E1792" s="8">
        <f>IFERROR(__xludf.DUMMYFUNCTION("GOOGLEFINANCE(""ASX:RAC"", ""closeyest"")"),2.75)</f>
        <v>2.75</v>
      </c>
      <c r="F1792" s="5" t="str">
        <f>IFERROR(__xludf.DUMMYFUNCTION("GOOGLEFINANCE(""ASX:RAC"", ""pe"")"),"#N/A")</f>
        <v>#N/A</v>
      </c>
      <c r="G1792" s="9">
        <f>IFERROR(__xludf.DUMMYFUNCTION("GOOGLEFINANCE(""ASX:RAC"", ""high52"")"),4.9)</f>
        <v>4.9</v>
      </c>
      <c r="H1792" s="9">
        <f>IFERROR(__xludf.DUMMYFUNCTION("GOOGLEFINANCE(""ASX:RAC"", ""low52"")"),0.92)</f>
        <v>0.92</v>
      </c>
      <c r="I1792" s="9">
        <f>IFERROR(__xludf.DUMMYFUNCTION("GOOGLEFINANCE(""ASX:RAC"", ""marketcap"")"),5.15333847E8)</f>
        <v>515333847</v>
      </c>
      <c r="J1792" s="5"/>
      <c r="K1792" s="5"/>
      <c r="L1792" s="5"/>
      <c r="M1792" s="5"/>
      <c r="N1792" s="9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>
      <c r="A1793" s="6" t="s">
        <v>3567</v>
      </c>
      <c r="B1793" s="6" t="s">
        <v>3568</v>
      </c>
      <c r="C1793" s="5" t="s">
        <v>174</v>
      </c>
      <c r="D1793" s="7">
        <f>IFERROR(__xludf.DUMMYFUNCTION("GOOGLEFINANCE(""ASX:RAD"", ""price"")"),0.02)</f>
        <v>0.02</v>
      </c>
      <c r="E1793" s="8">
        <f>IFERROR(__xludf.DUMMYFUNCTION("GOOGLEFINANCE(""ASX:RAD"", ""closeyest"")"),0.02)</f>
        <v>0.02</v>
      </c>
      <c r="F1793" s="5" t="str">
        <f>IFERROR(__xludf.DUMMYFUNCTION("GOOGLEFINANCE(""ASX:RAD"", ""pe"")"),"#N/A")</f>
        <v>#N/A</v>
      </c>
      <c r="G1793" s="9">
        <f>IFERROR(__xludf.DUMMYFUNCTION("GOOGLEFINANCE(""ASX:RAD"", ""high52"")"),0.04)</f>
        <v>0.04</v>
      </c>
      <c r="H1793" s="9">
        <f>IFERROR(__xludf.DUMMYFUNCTION("GOOGLEFINANCE(""ASX:RAD"", ""low52"")"),0.02)</f>
        <v>0.02</v>
      </c>
      <c r="I1793" s="9">
        <f>IFERROR(__xludf.DUMMYFUNCTION("GOOGLEFINANCE(""ASX:RAD"", ""marketcap"")"),7.0884312E7)</f>
        <v>70884312</v>
      </c>
      <c r="J1793" s="5"/>
      <c r="K1793" s="5"/>
      <c r="L1793" s="5"/>
      <c r="M1793" s="5"/>
      <c r="N1793" s="9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>
      <c r="A1794" s="6" t="s">
        <v>3569</v>
      </c>
      <c r="B1794" s="6" t="s">
        <v>3570</v>
      </c>
      <c r="C1794" s="5" t="s">
        <v>39</v>
      </c>
      <c r="D1794" s="7">
        <f>IFERROR(__xludf.DUMMYFUNCTION("GOOGLEFINANCE(""ASX:RAG"", ""price"")"),0.03)</f>
        <v>0.03</v>
      </c>
      <c r="E1794" s="8">
        <f>IFERROR(__xludf.DUMMYFUNCTION("GOOGLEFINANCE(""ASX:RAG"", ""closeyest"")"),0.03)</f>
        <v>0.03</v>
      </c>
      <c r="F1794" s="5" t="str">
        <f>IFERROR(__xludf.DUMMYFUNCTION("GOOGLEFINANCE(""ASX:RAG"", ""pe"")"),"#N/A")</f>
        <v>#N/A</v>
      </c>
      <c r="G1794" s="9">
        <f>IFERROR(__xludf.DUMMYFUNCTION("GOOGLEFINANCE(""ASX:RAG"", ""high52"")"),0.03)</f>
        <v>0.03</v>
      </c>
      <c r="H1794" s="9">
        <f>IFERROR(__xludf.DUMMYFUNCTION("GOOGLEFINANCE(""ASX:RAG"", ""low52"")"),0.02)</f>
        <v>0.02</v>
      </c>
      <c r="I1794" s="9">
        <f>IFERROR(__xludf.DUMMYFUNCTION("GOOGLEFINANCE(""ASX:RAG"", ""marketcap"")"),1.1517857E7)</f>
        <v>11517857</v>
      </c>
      <c r="J1794" s="5"/>
      <c r="K1794" s="5"/>
      <c r="L1794" s="5"/>
      <c r="M1794" s="5"/>
      <c r="N1794" s="9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>
      <c r="A1795" s="6" t="s">
        <v>3571</v>
      </c>
      <c r="B1795" s="6" t="s">
        <v>3572</v>
      </c>
      <c r="C1795" s="5" t="s">
        <v>106</v>
      </c>
      <c r="D1795" s="7">
        <f>IFERROR(__xludf.DUMMYFUNCTION("GOOGLEFINANCE(""ASX:RAN"", ""price"")"),0.0)</f>
        <v>0</v>
      </c>
      <c r="E1795" s="8">
        <f>IFERROR(__xludf.DUMMYFUNCTION("GOOGLEFINANCE(""ASX:RAN"", ""closeyest"")"),0.0)</f>
        <v>0</v>
      </c>
      <c r="F1795" s="5" t="str">
        <f>IFERROR(__xludf.DUMMYFUNCTION("GOOGLEFINANCE(""ASX:RAN"", ""pe"")"),"#N/A")</f>
        <v>#N/A</v>
      </c>
      <c r="G1795" s="9">
        <f>IFERROR(__xludf.DUMMYFUNCTION("GOOGLEFINANCE(""ASX:RAN"", ""high52"")"),0.01)</f>
        <v>0.01</v>
      </c>
      <c r="H1795" s="9">
        <f>IFERROR(__xludf.DUMMYFUNCTION("GOOGLEFINANCE(""ASX:RAN"", ""low52"")"),0.0)</f>
        <v>0</v>
      </c>
      <c r="I1795" s="9">
        <f>IFERROR(__xludf.DUMMYFUNCTION("GOOGLEFINANCE(""ASX:RAN"", ""marketcap"")"),1618935.0)</f>
        <v>1618935</v>
      </c>
      <c r="J1795" s="10">
        <v>0.003</v>
      </c>
      <c r="K1795" s="10">
        <v>0.003</v>
      </c>
      <c r="L1795" s="10">
        <v>0.006</v>
      </c>
      <c r="M1795" s="10">
        <v>0.001</v>
      </c>
      <c r="N1795" s="9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>
      <c r="A1796" s="6" t="s">
        <v>3573</v>
      </c>
      <c r="B1796" s="6" t="s">
        <v>3574</v>
      </c>
      <c r="C1796" s="5" t="s">
        <v>36</v>
      </c>
      <c r="D1796" s="7">
        <f>IFERROR(__xludf.DUMMYFUNCTION("GOOGLEFINANCE(""ASX:RARI"", ""price"")"),30.41)</f>
        <v>30.41</v>
      </c>
      <c r="E1796" s="8">
        <f>IFERROR(__xludf.DUMMYFUNCTION("GOOGLEFINANCE(""ASX:RARI"", ""closeyest"")"),30.41)</f>
        <v>30.41</v>
      </c>
      <c r="F1796" s="5" t="str">
        <f>IFERROR(__xludf.DUMMYFUNCTION("GOOGLEFINANCE(""ASX:RARI"", ""pe"")"),"#N/A")</f>
        <v>#N/A</v>
      </c>
      <c r="G1796" s="9">
        <f>IFERROR(__xludf.DUMMYFUNCTION("GOOGLEFINANCE(""ASX:RARI"", ""high52"")"),33.17)</f>
        <v>33.17</v>
      </c>
      <c r="H1796" s="9">
        <f>IFERROR(__xludf.DUMMYFUNCTION("GOOGLEFINANCE(""ASX:RARI"", ""low52"")"),26.79)</f>
        <v>26.79</v>
      </c>
      <c r="I1796" s="9" t="str">
        <f>IFERROR(__xludf.DUMMYFUNCTION("GOOGLEFINANCE(""ASX:RARI"", ""marketcap"")"),"#N/A")</f>
        <v>#N/A</v>
      </c>
      <c r="J1796" s="5"/>
      <c r="K1796" s="5"/>
      <c r="L1796" s="5"/>
      <c r="M1796" s="5"/>
      <c r="N1796" s="9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>
      <c r="A1797" s="6" t="s">
        <v>3575</v>
      </c>
      <c r="B1797" s="6" t="s">
        <v>3576</v>
      </c>
      <c r="C1797" s="5" t="s">
        <v>18</v>
      </c>
      <c r="D1797" s="7">
        <f>IFERROR(__xludf.DUMMYFUNCTION("GOOGLEFINANCE(""ASX:RAS"", ""price"")"),0.03)</f>
        <v>0.03</v>
      </c>
      <c r="E1797" s="8">
        <f>IFERROR(__xludf.DUMMYFUNCTION("GOOGLEFINANCE(""ASX:RAS"", ""closeyest"")"),0.03)</f>
        <v>0.03</v>
      </c>
      <c r="F1797" s="5" t="str">
        <f>IFERROR(__xludf.DUMMYFUNCTION("GOOGLEFINANCE(""ASX:RAS"", ""pe"")"),"#N/A")</f>
        <v>#N/A</v>
      </c>
      <c r="G1797" s="9">
        <f>IFERROR(__xludf.DUMMYFUNCTION("GOOGLEFINANCE(""ASX:RAS"", ""high52"")"),0.06)</f>
        <v>0.06</v>
      </c>
      <c r="H1797" s="9">
        <f>IFERROR(__xludf.DUMMYFUNCTION("GOOGLEFINANCE(""ASX:RAS"", ""low52"")"),0.01)</f>
        <v>0.01</v>
      </c>
      <c r="I1797" s="9">
        <f>IFERROR(__xludf.DUMMYFUNCTION("GOOGLEFINANCE(""ASX:RAS"", ""marketcap"")"),4330233.0)</f>
        <v>4330233</v>
      </c>
      <c r="J1797" s="5"/>
      <c r="K1797" s="5"/>
      <c r="L1797" s="5"/>
      <c r="M1797" s="5"/>
      <c r="N1797" s="9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>
      <c r="A1798" s="6" t="s">
        <v>3577</v>
      </c>
      <c r="B1798" s="6" t="s">
        <v>3578</v>
      </c>
      <c r="C1798" s="5" t="s">
        <v>3579</v>
      </c>
      <c r="D1798" s="7">
        <f>IFERROR(__xludf.DUMMYFUNCTION("GOOGLEFINANCE(""ASX:RAU"", ""price"")"),0.22)</f>
        <v>0.22</v>
      </c>
      <c r="E1798" s="8">
        <f>IFERROR(__xludf.DUMMYFUNCTION("GOOGLEFINANCE(""ASX:RAU"", ""closeyest"")"),0.22)</f>
        <v>0.22</v>
      </c>
      <c r="F1798" s="5" t="str">
        <f>IFERROR(__xludf.DUMMYFUNCTION("GOOGLEFINANCE(""ASX:RAU"", ""pe"")"),"#N/A")</f>
        <v>#N/A</v>
      </c>
      <c r="G1798" s="9">
        <f>IFERROR(__xludf.DUMMYFUNCTION("GOOGLEFINANCE(""ASX:RAU"", ""high52"")"),0.38)</f>
        <v>0.38</v>
      </c>
      <c r="H1798" s="9">
        <f>IFERROR(__xludf.DUMMYFUNCTION("GOOGLEFINANCE(""ASX:RAU"", ""low52"")"),0.15)</f>
        <v>0.15</v>
      </c>
      <c r="I1798" s="9">
        <f>IFERROR(__xludf.DUMMYFUNCTION("GOOGLEFINANCE(""ASX:RAU"", ""marketcap"")"),2.47457E7)</f>
        <v>24745700</v>
      </c>
      <c r="J1798" s="5"/>
      <c r="K1798" s="5"/>
      <c r="L1798" s="5"/>
      <c r="M1798" s="5"/>
      <c r="N1798" s="9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>
      <c r="A1799" s="6" t="s">
        <v>3580</v>
      </c>
      <c r="B1799" s="6" t="s">
        <v>3581</v>
      </c>
      <c r="C1799" s="5" t="s">
        <v>18</v>
      </c>
      <c r="D1799" s="7">
        <f>IFERROR(__xludf.DUMMYFUNCTION("GOOGLEFINANCE(""ASX:RB6"", ""price"")"),0.13)</f>
        <v>0.13</v>
      </c>
      <c r="E1799" s="8">
        <f>IFERROR(__xludf.DUMMYFUNCTION("GOOGLEFINANCE(""ASX:RB6"", ""closeyest"")"),0.13)</f>
        <v>0.13</v>
      </c>
      <c r="F1799" s="5" t="str">
        <f>IFERROR(__xludf.DUMMYFUNCTION("GOOGLEFINANCE(""ASX:RB6"", ""pe"")"),"#N/A")</f>
        <v>#N/A</v>
      </c>
      <c r="G1799" s="9">
        <f>IFERROR(__xludf.DUMMYFUNCTION("GOOGLEFINANCE(""ASX:RB6"", ""high52"")"),0.18)</f>
        <v>0.18</v>
      </c>
      <c r="H1799" s="9">
        <f>IFERROR(__xludf.DUMMYFUNCTION("GOOGLEFINANCE(""ASX:RB6"", ""low52"")"),0.07)</f>
        <v>0.07</v>
      </c>
      <c r="I1799" s="9">
        <f>IFERROR(__xludf.DUMMYFUNCTION("GOOGLEFINANCE(""ASX:RB6"", ""marketcap"")"),7988500.0)</f>
        <v>7988500</v>
      </c>
      <c r="J1799" s="5"/>
      <c r="K1799" s="5"/>
      <c r="L1799" s="5"/>
      <c r="M1799" s="5"/>
      <c r="N1799" s="9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>
      <c r="A1800" s="6" t="s">
        <v>3582</v>
      </c>
      <c r="B1800" s="6" t="s">
        <v>3583</v>
      </c>
      <c r="C1800" s="5" t="s">
        <v>1457</v>
      </c>
      <c r="D1800" s="7">
        <f>IFERROR(__xludf.DUMMYFUNCTION("GOOGLEFINANCE(""ASX:RBR"", ""price"")"),0.02)</f>
        <v>0.02</v>
      </c>
      <c r="E1800" s="8">
        <f>IFERROR(__xludf.DUMMYFUNCTION("GOOGLEFINANCE(""ASX:RBR"", ""closeyest"")"),0.02)</f>
        <v>0.02</v>
      </c>
      <c r="F1800" s="5" t="str">
        <f>IFERROR(__xludf.DUMMYFUNCTION("GOOGLEFINANCE(""ASX:RBR"", ""pe"")"),"#N/A")</f>
        <v>#N/A</v>
      </c>
      <c r="G1800" s="9">
        <f>IFERROR(__xludf.DUMMYFUNCTION("GOOGLEFINANCE(""ASX:RBR"", ""high52"")"),0.06)</f>
        <v>0.06</v>
      </c>
      <c r="H1800" s="9">
        <f>IFERROR(__xludf.DUMMYFUNCTION("GOOGLEFINANCE(""ASX:RBR"", ""low52"")"),0.02)</f>
        <v>0.02</v>
      </c>
      <c r="I1800" s="9">
        <f>IFERROR(__xludf.DUMMYFUNCTION("GOOGLEFINANCE(""ASX:RBR"", ""marketcap"")"),2786404.0)</f>
        <v>2786404</v>
      </c>
      <c r="J1800" s="5"/>
      <c r="K1800" s="5"/>
      <c r="L1800" s="5"/>
      <c r="M1800" s="5"/>
      <c r="N1800" s="9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>
      <c r="A1801" s="6" t="s">
        <v>3584</v>
      </c>
      <c r="B1801" s="6" t="s">
        <v>3585</v>
      </c>
      <c r="C1801" s="5" t="s">
        <v>36</v>
      </c>
      <c r="D1801" s="7">
        <f>IFERROR(__xludf.DUMMYFUNCTION("GOOGLEFINANCE(""ASX:RBTZ"", ""price"")"),15.9)</f>
        <v>15.9</v>
      </c>
      <c r="E1801" s="8">
        <f>IFERROR(__xludf.DUMMYFUNCTION("GOOGLEFINANCE(""ASX:RBTZ"", ""closeyest"")"),15.82)</f>
        <v>15.82</v>
      </c>
      <c r="F1801" s="5" t="str">
        <f>IFERROR(__xludf.DUMMYFUNCTION("GOOGLEFINANCE(""ASX:RBTZ"", ""pe"")"),"#N/A")</f>
        <v>#N/A</v>
      </c>
      <c r="G1801" s="9">
        <f>IFERROR(__xludf.DUMMYFUNCTION("GOOGLEFINANCE(""ASX:RBTZ"", ""high52"")"),16.61)</f>
        <v>16.61</v>
      </c>
      <c r="H1801" s="9">
        <f>IFERROR(__xludf.DUMMYFUNCTION("GOOGLEFINANCE(""ASX:RBTZ"", ""low52"")"),11.47)</f>
        <v>11.47</v>
      </c>
      <c r="I1801" s="9" t="str">
        <f>IFERROR(__xludf.DUMMYFUNCTION("GOOGLEFINANCE(""ASX:RBTZ"", ""marketcap"")"),"#N/A")</f>
        <v>#N/A</v>
      </c>
      <c r="J1801" s="5"/>
      <c r="K1801" s="5"/>
      <c r="L1801" s="5"/>
      <c r="M1801" s="5"/>
      <c r="N1801" s="9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>
      <c r="A1802" s="6" t="s">
        <v>3586</v>
      </c>
      <c r="B1802" s="6" t="s">
        <v>3587</v>
      </c>
      <c r="C1802" s="5" t="s">
        <v>18</v>
      </c>
      <c r="D1802" s="7">
        <f>IFERROR(__xludf.DUMMYFUNCTION("GOOGLEFINANCE(""ASX:RBX"", ""price"")"),0.05)</f>
        <v>0.05</v>
      </c>
      <c r="E1802" s="8">
        <f>IFERROR(__xludf.DUMMYFUNCTION("GOOGLEFINANCE(""ASX:RBX"", ""closeyest"")"),0.05)</f>
        <v>0.05</v>
      </c>
      <c r="F1802" s="5" t="str">
        <f>IFERROR(__xludf.DUMMYFUNCTION("GOOGLEFINANCE(""ASX:RBX"", ""pe"")"),"#N/A")</f>
        <v>#N/A</v>
      </c>
      <c r="G1802" s="9">
        <f>IFERROR(__xludf.DUMMYFUNCTION("GOOGLEFINANCE(""ASX:RBX"", ""high52"")"),0.06)</f>
        <v>0.06</v>
      </c>
      <c r="H1802" s="9">
        <f>IFERROR(__xludf.DUMMYFUNCTION("GOOGLEFINANCE(""ASX:RBX"", ""low52"")"),0.02)</f>
        <v>0.02</v>
      </c>
      <c r="I1802" s="9">
        <f>IFERROR(__xludf.DUMMYFUNCTION("GOOGLEFINANCE(""ASX:RBX"", ""marketcap"")"),5832175.0)</f>
        <v>5832175</v>
      </c>
      <c r="J1802" s="5"/>
      <c r="K1802" s="5"/>
      <c r="L1802" s="5"/>
      <c r="M1802" s="5"/>
      <c r="N1802" s="9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>
      <c r="A1803" s="6" t="s">
        <v>3588</v>
      </c>
      <c r="B1803" s="6" t="s">
        <v>3589</v>
      </c>
      <c r="C1803" s="5" t="s">
        <v>18</v>
      </c>
      <c r="D1803" s="7">
        <f>IFERROR(__xludf.DUMMYFUNCTION("GOOGLEFINANCE(""ASX:RC1"", ""price"")"),0.14)</f>
        <v>0.14</v>
      </c>
      <c r="E1803" s="8">
        <f>IFERROR(__xludf.DUMMYFUNCTION("GOOGLEFINANCE(""ASX:RC1"", ""closeyest"")"),0.13)</f>
        <v>0.13</v>
      </c>
      <c r="F1803" s="5" t="str">
        <f>IFERROR(__xludf.DUMMYFUNCTION("GOOGLEFINANCE(""ASX:RC1"", ""pe"")"),"#N/A")</f>
        <v>#N/A</v>
      </c>
      <c r="G1803" s="9">
        <f>IFERROR(__xludf.DUMMYFUNCTION("GOOGLEFINANCE(""ASX:RC1"", ""high52"")"),0.14)</f>
        <v>0.14</v>
      </c>
      <c r="H1803" s="9">
        <f>IFERROR(__xludf.DUMMYFUNCTION("GOOGLEFINANCE(""ASX:RC1"", ""low52"")"),0.04)</f>
        <v>0.04</v>
      </c>
      <c r="I1803" s="9">
        <f>IFERROR(__xludf.DUMMYFUNCTION("GOOGLEFINANCE(""ASX:RC1"", ""marketcap"")"),1.6036202E7)</f>
        <v>16036202</v>
      </c>
      <c r="J1803" s="5"/>
      <c r="K1803" s="5"/>
      <c r="L1803" s="5"/>
      <c r="M1803" s="5"/>
      <c r="N1803" s="9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>
      <c r="A1804" s="6" t="s">
        <v>3590</v>
      </c>
      <c r="B1804" s="6" t="s">
        <v>3591</v>
      </c>
      <c r="C1804" s="5" t="s">
        <v>36</v>
      </c>
      <c r="D1804" s="7" t="str">
        <f>IFERROR(__xludf.DUMMYFUNCTION("GOOGLEFINANCE(""ASX:RCAP"", ""price"")"),"#N/A")</f>
        <v>#N/A</v>
      </c>
      <c r="E1804" s="8" t="str">
        <f>IFERROR(__xludf.DUMMYFUNCTION("GOOGLEFINANCE(""ASX:RCAP"", ""closeyest"")"),"#N/A")</f>
        <v>#N/A</v>
      </c>
      <c r="F1804" s="5" t="str">
        <f>IFERROR(__xludf.DUMMYFUNCTION("GOOGLEFINANCE(""ASX:RCAP"", ""pe"")"),"#N/A")</f>
        <v>#N/A</v>
      </c>
      <c r="G1804" s="5" t="str">
        <f>IFERROR(__xludf.DUMMYFUNCTION("GOOGLEFINANCE(""ASX:RCAP"", ""high52"")"),"#N/A")</f>
        <v>#N/A</v>
      </c>
      <c r="H1804" s="5" t="str">
        <f>IFERROR(__xludf.DUMMYFUNCTION("GOOGLEFINANCE(""ASX:RCAP"", ""low52"")"),"#N/A")</f>
        <v>#N/A</v>
      </c>
      <c r="I1804" s="9" t="str">
        <f>IFERROR(__xludf.DUMMYFUNCTION("GOOGLEFINANCE(""ASX:RCAP"", ""marketcap"")"),"#N/A")</f>
        <v>#N/A</v>
      </c>
      <c r="J1804" s="12">
        <v>1.695</v>
      </c>
      <c r="K1804" s="12">
        <v>1.68</v>
      </c>
      <c r="L1804" s="12">
        <v>1.91</v>
      </c>
      <c r="M1804" s="12">
        <v>1.43</v>
      </c>
      <c r="N1804" s="9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>
      <c r="A1805" s="6" t="s">
        <v>3592</v>
      </c>
      <c r="B1805" s="6" t="s">
        <v>3593</v>
      </c>
      <c r="C1805" s="5" t="s">
        <v>36</v>
      </c>
      <c r="D1805" s="7">
        <f>IFERROR(__xludf.DUMMYFUNCTION("GOOGLEFINANCE(""ASX:RCB"", ""price"")"),19.92)</f>
        <v>19.92</v>
      </c>
      <c r="E1805" s="8">
        <f>IFERROR(__xludf.DUMMYFUNCTION("GOOGLEFINANCE(""ASX:RCB"", ""closeyest"")"),19.92)</f>
        <v>19.92</v>
      </c>
      <c r="F1805" s="5" t="str">
        <f>IFERROR(__xludf.DUMMYFUNCTION("GOOGLEFINANCE(""ASX:RCB"", ""pe"")"),"#N/A")</f>
        <v>#N/A</v>
      </c>
      <c r="G1805" s="9">
        <f>IFERROR(__xludf.DUMMYFUNCTION("GOOGLEFINANCE(""ASX:RCB"", ""high52"")"),20.63)</f>
        <v>20.63</v>
      </c>
      <c r="H1805" s="9">
        <f>IFERROR(__xludf.DUMMYFUNCTION("GOOGLEFINANCE(""ASX:RCB"", ""low52"")"),19.83)</f>
        <v>19.83</v>
      </c>
      <c r="I1805" s="9" t="str">
        <f>IFERROR(__xludf.DUMMYFUNCTION("GOOGLEFINANCE(""ASX:RCB"", ""marketcap"")"),"#N/A")</f>
        <v>#N/A</v>
      </c>
      <c r="J1805" s="5"/>
      <c r="K1805" s="5"/>
      <c r="L1805" s="5"/>
      <c r="M1805" s="5"/>
      <c r="N1805" s="9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>
      <c r="A1806" s="6" t="s">
        <v>3594</v>
      </c>
      <c r="B1806" s="6" t="s">
        <v>3595</v>
      </c>
      <c r="C1806" s="5" t="s">
        <v>174</v>
      </c>
      <c r="D1806" s="7">
        <f>IFERROR(__xludf.DUMMYFUNCTION("GOOGLEFINANCE(""ASX:RCE"", ""price"")"),0.68)</f>
        <v>0.68</v>
      </c>
      <c r="E1806" s="8">
        <f>IFERROR(__xludf.DUMMYFUNCTION("GOOGLEFINANCE(""ASX:RCE"", ""closeyest"")"),0.68)</f>
        <v>0.68</v>
      </c>
      <c r="F1806" s="5" t="str">
        <f>IFERROR(__xludf.DUMMYFUNCTION("GOOGLEFINANCE(""ASX:RCE"", ""pe"")"),"#N/A")</f>
        <v>#N/A</v>
      </c>
      <c r="G1806" s="9">
        <f>IFERROR(__xludf.DUMMYFUNCTION("GOOGLEFINANCE(""ASX:RCE"", ""high52"")"),0.68)</f>
        <v>0.68</v>
      </c>
      <c r="H1806" s="9">
        <f>IFERROR(__xludf.DUMMYFUNCTION("GOOGLEFINANCE(""ASX:RCE"", ""low52"")"),0.28)</f>
        <v>0.28</v>
      </c>
      <c r="I1806" s="9">
        <f>IFERROR(__xludf.DUMMYFUNCTION("GOOGLEFINANCE(""ASX:RCE"", ""marketcap"")"),1.96644646E8)</f>
        <v>196644646</v>
      </c>
      <c r="J1806" s="5"/>
      <c r="K1806" s="5"/>
      <c r="L1806" s="5"/>
      <c r="M1806" s="5"/>
      <c r="N1806" s="9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>
      <c r="A1807" s="6" t="s">
        <v>3596</v>
      </c>
      <c r="B1807" s="6" t="s">
        <v>3597</v>
      </c>
      <c r="C1807" s="5" t="s">
        <v>15</v>
      </c>
      <c r="D1807" s="7">
        <f>IFERROR(__xludf.DUMMYFUNCTION("GOOGLEFINANCE(""ASX:RCL"", ""price"")"),0.11)</f>
        <v>0.11</v>
      </c>
      <c r="E1807" s="8">
        <f>IFERROR(__xludf.DUMMYFUNCTION("GOOGLEFINANCE(""ASX:RCL"", ""closeyest"")"),0.12)</f>
        <v>0.12</v>
      </c>
      <c r="F1807" s="5" t="str">
        <f>IFERROR(__xludf.DUMMYFUNCTION("GOOGLEFINANCE(""ASX:RCL"", ""pe"")"),"#N/A")</f>
        <v>#N/A</v>
      </c>
      <c r="G1807" s="9">
        <f>IFERROR(__xludf.DUMMYFUNCTION("GOOGLEFINANCE(""ASX:RCL"", ""high52"")"),0.14)</f>
        <v>0.14</v>
      </c>
      <c r="H1807" s="9">
        <f>IFERROR(__xludf.DUMMYFUNCTION("GOOGLEFINANCE(""ASX:RCL"", ""low52"")"),0.07)</f>
        <v>0.07</v>
      </c>
      <c r="I1807" s="9">
        <f>IFERROR(__xludf.DUMMYFUNCTION("GOOGLEFINANCE(""ASX:RCL"", ""marketcap"")"),1.5457984E7)</f>
        <v>15457984</v>
      </c>
      <c r="J1807" s="5"/>
      <c r="K1807" s="5"/>
      <c r="L1807" s="5"/>
      <c r="M1807" s="5"/>
      <c r="N1807" s="9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>
      <c r="A1808" s="6" t="s">
        <v>3598</v>
      </c>
      <c r="B1808" s="6" t="s">
        <v>3599</v>
      </c>
      <c r="C1808" s="5" t="s">
        <v>18</v>
      </c>
      <c r="D1808" s="7">
        <f>IFERROR(__xludf.DUMMYFUNCTION("GOOGLEFINANCE(""ASX:RCM"", ""price"")"),0.07)</f>
        <v>0.07</v>
      </c>
      <c r="E1808" s="8">
        <f>IFERROR(__xludf.DUMMYFUNCTION("GOOGLEFINANCE(""ASX:RCM"", ""closeyest"")"),0.07)</f>
        <v>0.07</v>
      </c>
      <c r="F1808" s="5" t="str">
        <f>IFERROR(__xludf.DUMMYFUNCTION("GOOGLEFINANCE(""ASX:RCM"", ""pe"")"),"#N/A")</f>
        <v>#N/A</v>
      </c>
      <c r="G1808" s="9">
        <f>IFERROR(__xludf.DUMMYFUNCTION("GOOGLEFINANCE(""ASX:RCM"", ""high52"")"),0.09)</f>
        <v>0.09</v>
      </c>
      <c r="H1808" s="9">
        <f>IFERROR(__xludf.DUMMYFUNCTION("GOOGLEFINANCE(""ASX:RCM"", ""low52"")"),0.02)</f>
        <v>0.02</v>
      </c>
      <c r="I1808" s="9">
        <f>IFERROR(__xludf.DUMMYFUNCTION("GOOGLEFINANCE(""ASX:RCM"", ""marketcap"")"),9.12497E7)</f>
        <v>91249700</v>
      </c>
      <c r="J1808" s="5"/>
      <c r="K1808" s="5"/>
      <c r="L1808" s="5"/>
      <c r="M1808" s="5"/>
      <c r="N1808" s="9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>
      <c r="A1809" s="6" t="s">
        <v>3600</v>
      </c>
      <c r="B1809" s="6" t="s">
        <v>3601</v>
      </c>
      <c r="C1809" s="5" t="s">
        <v>18</v>
      </c>
      <c r="D1809" s="7">
        <f>IFERROR(__xludf.DUMMYFUNCTION("GOOGLEFINANCE(""ASX:RCR"", ""price"")"),0.02)</f>
        <v>0.02</v>
      </c>
      <c r="E1809" s="8">
        <f>IFERROR(__xludf.DUMMYFUNCTION("GOOGLEFINANCE(""ASX:RCR"", ""closeyest"")"),0.02)</f>
        <v>0.02</v>
      </c>
      <c r="F1809" s="5" t="str">
        <f>IFERROR(__xludf.DUMMYFUNCTION("GOOGLEFINANCE(""ASX:RCR"", ""pe"")"),"#N/A")</f>
        <v>#N/A</v>
      </c>
      <c r="G1809" s="9">
        <f>IFERROR(__xludf.DUMMYFUNCTION("GOOGLEFINANCE(""ASX:RCR"", ""high52"")"),0.03)</f>
        <v>0.03</v>
      </c>
      <c r="H1809" s="9">
        <f>IFERROR(__xludf.DUMMYFUNCTION("GOOGLEFINANCE(""ASX:RCR"", ""low52"")"),0.01)</f>
        <v>0.01</v>
      </c>
      <c r="I1809" s="9">
        <f>IFERROR(__xludf.DUMMYFUNCTION("GOOGLEFINANCE(""ASX:RCR"", ""marketcap"")"),3786752.0)</f>
        <v>3786752</v>
      </c>
      <c r="J1809" s="5"/>
      <c r="K1809" s="5"/>
      <c r="L1809" s="5"/>
      <c r="M1809" s="5"/>
      <c r="N1809" s="9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>
      <c r="A1810" s="6" t="s">
        <v>3602</v>
      </c>
      <c r="B1810" s="6" t="s">
        <v>3603</v>
      </c>
      <c r="C1810" s="5" t="s">
        <v>143</v>
      </c>
      <c r="D1810" s="7">
        <f>IFERROR(__xludf.DUMMYFUNCTION("GOOGLEFINANCE(""ASX:RCT"", ""price"")"),3.52)</f>
        <v>3.52</v>
      </c>
      <c r="E1810" s="8">
        <f>IFERROR(__xludf.DUMMYFUNCTION("GOOGLEFINANCE(""ASX:RCT"", ""closeyest"")"),3.52)</f>
        <v>3.52</v>
      </c>
      <c r="F1810" s="9">
        <f>IFERROR(__xludf.DUMMYFUNCTION("GOOGLEFINANCE(""ASX:RCT"", ""pe"")"),19.2)</f>
        <v>19.2</v>
      </c>
      <c r="G1810" s="9">
        <f>IFERROR(__xludf.DUMMYFUNCTION("GOOGLEFINANCE(""ASX:RCT"", ""high52"")"),3.9)</f>
        <v>3.9</v>
      </c>
      <c r="H1810" s="9">
        <f>IFERROR(__xludf.DUMMYFUNCTION("GOOGLEFINANCE(""ASX:RCT"", ""low52"")"),2.6)</f>
        <v>2.6</v>
      </c>
      <c r="I1810" s="9">
        <f>IFERROR(__xludf.DUMMYFUNCTION("GOOGLEFINANCE(""ASX:RCT"", ""marketcap"")"),1.72694895E8)</f>
        <v>172694895</v>
      </c>
      <c r="J1810" s="5"/>
      <c r="K1810" s="5"/>
      <c r="L1810" s="5"/>
      <c r="M1810" s="5"/>
      <c r="N1810" s="9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>
      <c r="A1811" s="6" t="s">
        <v>3604</v>
      </c>
      <c r="B1811" s="6" t="s">
        <v>3605</v>
      </c>
      <c r="C1811" s="5" t="s">
        <v>18</v>
      </c>
      <c r="D1811" s="7">
        <f>IFERROR(__xludf.DUMMYFUNCTION("GOOGLEFINANCE(""ASX:RDM"", ""price"")"),0.14)</f>
        <v>0.14</v>
      </c>
      <c r="E1811" s="8">
        <f>IFERROR(__xludf.DUMMYFUNCTION("GOOGLEFINANCE(""ASX:RDM"", ""closeyest"")"),0.14)</f>
        <v>0.14</v>
      </c>
      <c r="F1811" s="5" t="str">
        <f>IFERROR(__xludf.DUMMYFUNCTION("GOOGLEFINANCE(""ASX:RDM"", ""pe"")"),"#N/A")</f>
        <v>#N/A</v>
      </c>
      <c r="G1811" s="9">
        <f>IFERROR(__xludf.DUMMYFUNCTION("GOOGLEFINANCE(""ASX:RDM"", ""high52"")"),0.17)</f>
        <v>0.17</v>
      </c>
      <c r="H1811" s="9">
        <f>IFERROR(__xludf.DUMMYFUNCTION("GOOGLEFINANCE(""ASX:RDM"", ""low52"")"),0.1)</f>
        <v>0.1</v>
      </c>
      <c r="I1811" s="9">
        <f>IFERROR(__xludf.DUMMYFUNCTION("GOOGLEFINANCE(""ASX:RDM"", ""marketcap"")"),5.5613965E7)</f>
        <v>55613965</v>
      </c>
      <c r="J1811" s="5"/>
      <c r="K1811" s="5"/>
      <c r="L1811" s="5"/>
      <c r="M1811" s="5"/>
      <c r="N1811" s="9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>
      <c r="A1812" s="6" t="s">
        <v>3606</v>
      </c>
      <c r="B1812" s="6" t="s">
        <v>3607</v>
      </c>
      <c r="C1812" s="5" t="s">
        <v>18</v>
      </c>
      <c r="D1812" s="7">
        <f>IFERROR(__xludf.DUMMYFUNCTION("GOOGLEFINANCE(""ASX:RDN"", ""price"")"),0.01)</f>
        <v>0.01</v>
      </c>
      <c r="E1812" s="8">
        <f>IFERROR(__xludf.DUMMYFUNCTION("GOOGLEFINANCE(""ASX:RDN"", ""closeyest"")"),0.01)</f>
        <v>0.01</v>
      </c>
      <c r="F1812" s="5" t="str">
        <f>IFERROR(__xludf.DUMMYFUNCTION("GOOGLEFINANCE(""ASX:RDN"", ""pe"")"),"#N/A")</f>
        <v>#N/A</v>
      </c>
      <c r="G1812" s="9">
        <f>IFERROR(__xludf.DUMMYFUNCTION("GOOGLEFINANCE(""ASX:RDN"", ""high52"")"),0.02)</f>
        <v>0.02</v>
      </c>
      <c r="H1812" s="9">
        <f>IFERROR(__xludf.DUMMYFUNCTION("GOOGLEFINANCE(""ASX:RDN"", ""low52"")"),0.0)</f>
        <v>0</v>
      </c>
      <c r="I1812" s="9">
        <f>IFERROR(__xludf.DUMMYFUNCTION("GOOGLEFINANCE(""ASX:RDN"", ""marketcap"")"),8627229.0)</f>
        <v>8627229</v>
      </c>
      <c r="J1812" s="5"/>
      <c r="K1812" s="5"/>
      <c r="L1812" s="5"/>
      <c r="M1812" s="5"/>
      <c r="N1812" s="9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>
      <c r="A1813" s="6" t="s">
        <v>3608</v>
      </c>
      <c r="B1813" s="6" t="s">
        <v>3609</v>
      </c>
      <c r="C1813" s="5" t="s">
        <v>39</v>
      </c>
      <c r="D1813" s="7">
        <f>IFERROR(__xludf.DUMMYFUNCTION("GOOGLEFINANCE(""ASX:RDS"", ""price"")"),0.0)</f>
        <v>0</v>
      </c>
      <c r="E1813" s="8">
        <f>IFERROR(__xludf.DUMMYFUNCTION("GOOGLEFINANCE(""ASX:RDS"", ""closeyest"")"),0.0)</f>
        <v>0</v>
      </c>
      <c r="F1813" s="5" t="str">
        <f>IFERROR(__xludf.DUMMYFUNCTION("GOOGLEFINANCE(""ASX:RDS"", ""pe"")"),"#N/A")</f>
        <v>#N/A</v>
      </c>
      <c r="G1813" s="9">
        <f>IFERROR(__xludf.DUMMYFUNCTION("GOOGLEFINANCE(""ASX:RDS"", ""high52"")"),0.01)</f>
        <v>0.01</v>
      </c>
      <c r="H1813" s="9">
        <f>IFERROR(__xludf.DUMMYFUNCTION("GOOGLEFINANCE(""ASX:RDS"", ""low52"")"),0.0)</f>
        <v>0</v>
      </c>
      <c r="I1813" s="9">
        <f>IFERROR(__xludf.DUMMYFUNCTION("GOOGLEFINANCE(""ASX:RDS"", ""marketcap"")"),1551402.0)</f>
        <v>1551402</v>
      </c>
      <c r="J1813" s="12">
        <v>0.003</v>
      </c>
      <c r="K1813" s="12">
        <v>0.003</v>
      </c>
      <c r="L1813" s="12">
        <v>0.007</v>
      </c>
      <c r="M1813" s="12">
        <v>0.002</v>
      </c>
      <c r="N1813" s="9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>
      <c r="A1814" s="6" t="s">
        <v>3610</v>
      </c>
      <c r="B1814" s="6" t="s">
        <v>3611</v>
      </c>
      <c r="C1814" s="5" t="s">
        <v>36</v>
      </c>
      <c r="D1814" s="7">
        <f>IFERROR(__xludf.DUMMYFUNCTION("GOOGLEFINANCE(""ASX:RDV"", ""price"")"),33.49)</f>
        <v>33.49</v>
      </c>
      <c r="E1814" s="8">
        <f>IFERROR(__xludf.DUMMYFUNCTION("GOOGLEFINANCE(""ASX:RDV"", ""closeyest"")"),33.5)</f>
        <v>33.5</v>
      </c>
      <c r="F1814" s="5" t="str">
        <f>IFERROR(__xludf.DUMMYFUNCTION("GOOGLEFINANCE(""ASX:RDV"", ""pe"")"),"#N/A")</f>
        <v>#N/A</v>
      </c>
      <c r="G1814" s="9">
        <f>IFERROR(__xludf.DUMMYFUNCTION("GOOGLEFINANCE(""ASX:RDV"", ""high52"")"),36.01)</f>
        <v>36.01</v>
      </c>
      <c r="H1814" s="9">
        <f>IFERROR(__xludf.DUMMYFUNCTION("GOOGLEFINANCE(""ASX:RDV"", ""low52"")"),28.3)</f>
        <v>28.3</v>
      </c>
      <c r="I1814" s="9" t="str">
        <f>IFERROR(__xludf.DUMMYFUNCTION("GOOGLEFINANCE(""ASX:RDV"", ""marketcap"")"),"#N/A")</f>
        <v>#N/A</v>
      </c>
      <c r="J1814" s="5"/>
      <c r="K1814" s="5"/>
      <c r="L1814" s="5"/>
      <c r="M1814" s="5"/>
      <c r="N1814" s="9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>
      <c r="A1815" s="6" t="s">
        <v>3612</v>
      </c>
      <c r="B1815" s="6" t="s">
        <v>3613</v>
      </c>
      <c r="C1815" s="5" t="s">
        <v>228</v>
      </c>
      <c r="D1815" s="7">
        <f>IFERROR(__xludf.DUMMYFUNCTION("GOOGLEFINANCE(""ASX:RDX"", ""price"")"),3.04)</f>
        <v>3.04</v>
      </c>
      <c r="E1815" s="8">
        <f>IFERROR(__xludf.DUMMYFUNCTION("GOOGLEFINANCE(""ASX:RDX"", ""closeyest"")"),3.0)</f>
        <v>3</v>
      </c>
      <c r="F1815" s="9">
        <f>IFERROR(__xludf.DUMMYFUNCTION("GOOGLEFINANCE(""ASX:RDX"", ""pe"")"),20.74)</f>
        <v>20.74</v>
      </c>
      <c r="G1815" s="9">
        <f>IFERROR(__xludf.DUMMYFUNCTION("GOOGLEFINANCE(""ASX:RDX"", ""high52"")"),4.54)</f>
        <v>4.54</v>
      </c>
      <c r="H1815" s="9">
        <f>IFERROR(__xludf.DUMMYFUNCTION("GOOGLEFINANCE(""ASX:RDX"", ""low52"")"),2.02)</f>
        <v>2.02</v>
      </c>
      <c r="I1815" s="9">
        <f>IFERROR(__xludf.DUMMYFUNCTION("GOOGLEFINANCE(""ASX:RDX"", ""marketcap"")"),1.596247739E9)</f>
        <v>1596247739</v>
      </c>
      <c r="J1815" s="5"/>
      <c r="K1815" s="5"/>
      <c r="L1815" s="5"/>
      <c r="M1815" s="5"/>
      <c r="N1815" s="9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>
      <c r="A1816" s="6" t="s">
        <v>3614</v>
      </c>
      <c r="B1816" s="6" t="s">
        <v>3615</v>
      </c>
      <c r="C1816" s="5" t="s">
        <v>15</v>
      </c>
      <c r="D1816" s="7">
        <f>IFERROR(__xludf.DUMMYFUNCTION("GOOGLEFINANCE(""ASX:RDY"", ""price"")"),2.5)</f>
        <v>2.5</v>
      </c>
      <c r="E1816" s="8">
        <f>IFERROR(__xludf.DUMMYFUNCTION("GOOGLEFINANCE(""ASX:RDY"", ""closeyest"")"),2.5)</f>
        <v>2.5</v>
      </c>
      <c r="F1816" s="5" t="str">
        <f>IFERROR(__xludf.DUMMYFUNCTION("GOOGLEFINANCE(""ASX:RDY"", ""pe"")"),"#N/A")</f>
        <v>#N/A</v>
      </c>
      <c r="G1816" s="9">
        <f>IFERROR(__xludf.DUMMYFUNCTION("GOOGLEFINANCE(""ASX:RDY"", ""high52"")"),3.35)</f>
        <v>3.35</v>
      </c>
      <c r="H1816" s="9">
        <f>IFERROR(__xludf.DUMMYFUNCTION("GOOGLEFINANCE(""ASX:RDY"", ""low52"")"),2.02)</f>
        <v>2.02</v>
      </c>
      <c r="I1816" s="9">
        <f>IFERROR(__xludf.DUMMYFUNCTION("GOOGLEFINANCE(""ASX:RDY"", ""marketcap"")"),3.0891025E8)</f>
        <v>308910250</v>
      </c>
      <c r="J1816" s="9">
        <v>0.18</v>
      </c>
      <c r="K1816" s="9">
        <v>0.18</v>
      </c>
      <c r="L1816" s="9">
        <v>0.29</v>
      </c>
      <c r="M1816" s="9">
        <v>0.069</v>
      </c>
      <c r="N1816" s="9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>
      <c r="A1817" s="6" t="s">
        <v>3616</v>
      </c>
      <c r="B1817" s="6" t="s">
        <v>3617</v>
      </c>
      <c r="C1817" s="5" t="s">
        <v>70</v>
      </c>
      <c r="D1817" s="7">
        <f>IFERROR(__xludf.DUMMYFUNCTION("GOOGLEFINANCE(""ASX:REA"", ""price"")"),180.04)</f>
        <v>180.04</v>
      </c>
      <c r="E1817" s="8">
        <f>IFERROR(__xludf.DUMMYFUNCTION("GOOGLEFINANCE(""ASX:REA"", ""closeyest"")"),180.35)</f>
        <v>180.35</v>
      </c>
      <c r="F1817" s="9">
        <f>IFERROR(__xludf.DUMMYFUNCTION("GOOGLEFINANCE(""ASX:REA"", ""pe"")"),35.1)</f>
        <v>35.1</v>
      </c>
      <c r="G1817" s="9">
        <f>IFERROR(__xludf.DUMMYFUNCTION("GOOGLEFINANCE(""ASX:REA"", ""high52"")"),276.64)</f>
        <v>276.64</v>
      </c>
      <c r="H1817" s="9">
        <f>IFERROR(__xludf.DUMMYFUNCTION("GOOGLEFINANCE(""ASX:REA"", ""low52"")"),177.55)</f>
        <v>177.55</v>
      </c>
      <c r="I1817" s="9">
        <f>IFERROR(__xludf.DUMMYFUNCTION("GOOGLEFINANCE(""ASX:REA"", ""marketcap"")"),2.37863798E10)</f>
        <v>23786379800</v>
      </c>
      <c r="J1817" s="5"/>
      <c r="K1817" s="5"/>
      <c r="L1817" s="5"/>
      <c r="M1817" s="5"/>
      <c r="N1817" s="9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>
      <c r="A1818" s="6" t="s">
        <v>3618</v>
      </c>
      <c r="B1818" s="6" t="s">
        <v>3619</v>
      </c>
      <c r="C1818" s="5" t="s">
        <v>18</v>
      </c>
      <c r="D1818" s="7">
        <f>IFERROR(__xludf.DUMMYFUNCTION("GOOGLEFINANCE(""ASX:REC"", ""price"")"),0.02)</f>
        <v>0.02</v>
      </c>
      <c r="E1818" s="8">
        <f>IFERROR(__xludf.DUMMYFUNCTION("GOOGLEFINANCE(""ASX:REC"", ""closeyest"")"),0.02)</f>
        <v>0.02</v>
      </c>
      <c r="F1818" s="5" t="str">
        <f>IFERROR(__xludf.DUMMYFUNCTION("GOOGLEFINANCE(""ASX:REC"", ""pe"")"),"#N/A")</f>
        <v>#N/A</v>
      </c>
      <c r="G1818" s="9">
        <f>IFERROR(__xludf.DUMMYFUNCTION("GOOGLEFINANCE(""ASX:REC"", ""high52"")"),0.03)</f>
        <v>0.03</v>
      </c>
      <c r="H1818" s="9">
        <f>IFERROR(__xludf.DUMMYFUNCTION("GOOGLEFINANCE(""ASX:REC"", ""low52"")"),0.01)</f>
        <v>0.01</v>
      </c>
      <c r="I1818" s="9">
        <f>IFERROR(__xludf.DUMMYFUNCTION("GOOGLEFINANCE(""ASX:REC"", ""marketcap"")"),5268289.0)</f>
        <v>5268289</v>
      </c>
      <c r="J1818" s="5"/>
      <c r="K1818" s="5"/>
      <c r="L1818" s="5"/>
      <c r="M1818" s="5"/>
      <c r="N1818" s="9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>
      <c r="A1819" s="6" t="s">
        <v>3620</v>
      </c>
      <c r="B1819" s="6" t="s">
        <v>3621</v>
      </c>
      <c r="C1819" s="5" t="s">
        <v>18</v>
      </c>
      <c r="D1819" s="7">
        <f>IFERROR(__xludf.DUMMYFUNCTION("GOOGLEFINANCE(""ASX:REE"", ""price"")"),0.03)</f>
        <v>0.03</v>
      </c>
      <c r="E1819" s="8">
        <f>IFERROR(__xludf.DUMMYFUNCTION("GOOGLEFINANCE(""ASX:REE"", ""closeyest"")"),0.03)</f>
        <v>0.03</v>
      </c>
      <c r="F1819" s="5" t="str">
        <f>IFERROR(__xludf.DUMMYFUNCTION("GOOGLEFINANCE(""ASX:REE"", ""pe"")"),"#N/A")</f>
        <v>#N/A</v>
      </c>
      <c r="G1819" s="9">
        <f>IFERROR(__xludf.DUMMYFUNCTION("GOOGLEFINANCE(""ASX:REE"", ""high52"")"),0.05)</f>
        <v>0.05</v>
      </c>
      <c r="H1819" s="9">
        <f>IFERROR(__xludf.DUMMYFUNCTION("GOOGLEFINANCE(""ASX:REE"", ""low52"")"),0.01)</f>
        <v>0.01</v>
      </c>
      <c r="I1819" s="9">
        <f>IFERROR(__xludf.DUMMYFUNCTION("GOOGLEFINANCE(""ASX:REE"", ""marketcap"")"),2.6233293E7)</f>
        <v>26233293</v>
      </c>
      <c r="J1819" s="5"/>
      <c r="K1819" s="5"/>
      <c r="L1819" s="5"/>
      <c r="M1819" s="5"/>
      <c r="N1819" s="9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>
      <c r="A1820" s="6" t="s">
        <v>3622</v>
      </c>
      <c r="B1820" s="6" t="s">
        <v>3623</v>
      </c>
      <c r="C1820" s="5" t="s">
        <v>164</v>
      </c>
      <c r="D1820" s="7">
        <f>IFERROR(__xludf.DUMMYFUNCTION("GOOGLEFINANCE(""ASX:REG"", ""price"")"),6.96)</f>
        <v>6.96</v>
      </c>
      <c r="E1820" s="8">
        <f>IFERROR(__xludf.DUMMYFUNCTION("GOOGLEFINANCE(""ASX:REG"", ""closeyest"")"),6.79)</f>
        <v>6.79</v>
      </c>
      <c r="F1820" s="9">
        <f>IFERROR(__xludf.DUMMYFUNCTION("GOOGLEFINANCE(""ASX:REG"", ""pe"")"),43.2)</f>
        <v>43.2</v>
      </c>
      <c r="G1820" s="9">
        <f>IFERROR(__xludf.DUMMYFUNCTION("GOOGLEFINANCE(""ASX:REG"", ""high52"")"),9.4)</f>
        <v>9.4</v>
      </c>
      <c r="H1820" s="9">
        <f>IFERROR(__xludf.DUMMYFUNCTION("GOOGLEFINANCE(""ASX:REG"", ""low52"")"),5.92)</f>
        <v>5.92</v>
      </c>
      <c r="I1820" s="9">
        <f>IFERROR(__xludf.DUMMYFUNCTION("GOOGLEFINANCE(""ASX:REG"", ""marketcap"")"),2.104435355E9)</f>
        <v>2104435355</v>
      </c>
      <c r="J1820" s="5"/>
      <c r="K1820" s="5"/>
      <c r="L1820" s="5"/>
      <c r="M1820" s="5"/>
      <c r="N1820" s="9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>
      <c r="A1821" s="6" t="s">
        <v>3624</v>
      </c>
      <c r="B1821" s="6" t="s">
        <v>3625</v>
      </c>
      <c r="C1821" s="5" t="s">
        <v>1666</v>
      </c>
      <c r="D1821" s="7">
        <f>IFERROR(__xludf.DUMMYFUNCTION("GOOGLEFINANCE(""ASX:REH"", ""price"")"),13.3)</f>
        <v>13.3</v>
      </c>
      <c r="E1821" s="8">
        <f>IFERROR(__xludf.DUMMYFUNCTION("GOOGLEFINANCE(""ASX:REH"", ""closeyest"")"),13.15)</f>
        <v>13.15</v>
      </c>
      <c r="F1821" s="9">
        <f>IFERROR(__xludf.DUMMYFUNCTION("GOOGLEFINANCE(""ASX:REH"", ""pe"")"),27.03)</f>
        <v>27.03</v>
      </c>
      <c r="G1821" s="9">
        <f>IFERROR(__xludf.DUMMYFUNCTION("GOOGLEFINANCE(""ASX:REH"", ""high52"")"),24.39)</f>
        <v>24.39</v>
      </c>
      <c r="H1821" s="9">
        <f>IFERROR(__xludf.DUMMYFUNCTION("GOOGLEFINANCE(""ASX:REH"", ""low52"")"),10.14)</f>
        <v>10.14</v>
      </c>
      <c r="I1821" s="9">
        <f>IFERROR(__xludf.DUMMYFUNCTION("GOOGLEFINANCE(""ASX:REH"", ""marketcap"")"),8.217889237E9)</f>
        <v>8217889237</v>
      </c>
      <c r="J1821" s="5"/>
      <c r="K1821" s="5"/>
      <c r="L1821" s="5"/>
      <c r="M1821" s="5"/>
      <c r="N1821" s="9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>
      <c r="A1822" s="6" t="s">
        <v>3626</v>
      </c>
      <c r="B1822" s="6" t="s">
        <v>3627</v>
      </c>
      <c r="C1822" s="5" t="s">
        <v>36</v>
      </c>
      <c r="D1822" s="7">
        <f>IFERROR(__xludf.DUMMYFUNCTION("GOOGLEFINANCE(""ASX:REIT"", ""price"")"),15.7)</f>
        <v>15.7</v>
      </c>
      <c r="E1822" s="8">
        <f>IFERROR(__xludf.DUMMYFUNCTION("GOOGLEFINANCE(""ASX:REIT"", ""closeyest"")"),15.58)</f>
        <v>15.58</v>
      </c>
      <c r="F1822" s="5" t="str">
        <f>IFERROR(__xludf.DUMMYFUNCTION("GOOGLEFINANCE(""ASX:REIT"", ""pe"")"),"#N/A")</f>
        <v>#N/A</v>
      </c>
      <c r="G1822" s="9">
        <f>IFERROR(__xludf.DUMMYFUNCTION("GOOGLEFINANCE(""ASX:REIT"", ""high52"")"),16.46)</f>
        <v>16.46</v>
      </c>
      <c r="H1822" s="9">
        <f>IFERROR(__xludf.DUMMYFUNCTION("GOOGLEFINANCE(""ASX:REIT"", ""low52"")"),13.41)</f>
        <v>13.41</v>
      </c>
      <c r="I1822" s="9" t="str">
        <f>IFERROR(__xludf.DUMMYFUNCTION("GOOGLEFINANCE(""ASX:REIT"", ""marketcap"")"),"#N/A")</f>
        <v>#N/A</v>
      </c>
      <c r="J1822" s="5"/>
      <c r="K1822" s="5"/>
      <c r="L1822" s="5"/>
      <c r="M1822" s="5"/>
      <c r="N1822" s="9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>
      <c r="A1823" s="6" t="s">
        <v>3628</v>
      </c>
      <c r="B1823" s="6" t="s">
        <v>3629</v>
      </c>
      <c r="C1823" s="5" t="s">
        <v>184</v>
      </c>
      <c r="D1823" s="7">
        <f>IFERROR(__xludf.DUMMYFUNCTION("GOOGLEFINANCE(""ASX:REM"", ""price"")"),0.04)</f>
        <v>0.04</v>
      </c>
      <c r="E1823" s="8">
        <f>IFERROR(__xludf.DUMMYFUNCTION("GOOGLEFINANCE(""ASX:REM"", ""closeyest"")"),0.04)</f>
        <v>0.04</v>
      </c>
      <c r="F1823" s="5" t="str">
        <f>IFERROR(__xludf.DUMMYFUNCTION("GOOGLEFINANCE(""ASX:REM"", ""pe"")"),"#N/A")</f>
        <v>#N/A</v>
      </c>
      <c r="G1823" s="9">
        <f>IFERROR(__xludf.DUMMYFUNCTION("GOOGLEFINANCE(""ASX:REM"", ""high52"")"),0.07)</f>
        <v>0.07</v>
      </c>
      <c r="H1823" s="9">
        <f>IFERROR(__xludf.DUMMYFUNCTION("GOOGLEFINANCE(""ASX:REM"", ""low52"")"),0.03)</f>
        <v>0.03</v>
      </c>
      <c r="I1823" s="9">
        <f>IFERROR(__xludf.DUMMYFUNCTION("GOOGLEFINANCE(""ASX:REM"", ""marketcap"")"),7507705.0)</f>
        <v>7507705</v>
      </c>
      <c r="J1823" s="5"/>
      <c r="K1823" s="5"/>
      <c r="L1823" s="5"/>
      <c r="M1823" s="5"/>
      <c r="N1823" s="9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>
      <c r="A1824" s="6" t="s">
        <v>3630</v>
      </c>
      <c r="B1824" s="6" t="s">
        <v>3631</v>
      </c>
      <c r="C1824" s="5" t="s">
        <v>1968</v>
      </c>
      <c r="D1824" s="7">
        <f>IFERROR(__xludf.DUMMYFUNCTION("GOOGLEFINANCE(""ASX:REP"", ""price"")"),0.56)</f>
        <v>0.56</v>
      </c>
      <c r="E1824" s="8">
        <f>IFERROR(__xludf.DUMMYFUNCTION("GOOGLEFINANCE(""ASX:REP"", ""closeyest"")"),0.57)</f>
        <v>0.57</v>
      </c>
      <c r="F1824" s="5" t="str">
        <f>IFERROR(__xludf.DUMMYFUNCTION("GOOGLEFINANCE(""ASX:REP"", ""pe"")"),"#N/A")</f>
        <v>#N/A</v>
      </c>
      <c r="G1824" s="9">
        <f>IFERROR(__xludf.DUMMYFUNCTION("GOOGLEFINANCE(""ASX:REP"", ""high52"")"),0.65)</f>
        <v>0.65</v>
      </c>
      <c r="H1824" s="9">
        <f>IFERROR(__xludf.DUMMYFUNCTION("GOOGLEFINANCE(""ASX:REP"", ""low52"")"),0.53)</f>
        <v>0.53</v>
      </c>
      <c r="I1824" s="9">
        <f>IFERROR(__xludf.DUMMYFUNCTION("GOOGLEFINANCE(""ASX:REP"", ""marketcap"")"),2.83101723E8)</f>
        <v>283101723</v>
      </c>
      <c r="J1824" s="5"/>
      <c r="K1824" s="5"/>
      <c r="L1824" s="5"/>
      <c r="M1824" s="5"/>
      <c r="N1824" s="9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>
      <c r="A1825" s="6" t="s">
        <v>3632</v>
      </c>
      <c r="B1825" s="6" t="s">
        <v>3633</v>
      </c>
      <c r="C1825" s="5" t="s">
        <v>3634</v>
      </c>
      <c r="D1825" s="7">
        <f>IFERROR(__xludf.DUMMYFUNCTION("GOOGLEFINANCE(""ASX:REV"", ""price"")"),2.0)</f>
        <v>2</v>
      </c>
      <c r="E1825" s="8">
        <f>IFERROR(__xludf.DUMMYFUNCTION("GOOGLEFINANCE(""ASX:REV"", ""closeyest"")"),2.02)</f>
        <v>2.02</v>
      </c>
      <c r="F1825" s="5" t="str">
        <f>IFERROR(__xludf.DUMMYFUNCTION("GOOGLEFINANCE(""ASX:REV"", ""pe"")"),"#N/A")</f>
        <v>#N/A</v>
      </c>
      <c r="G1825" s="9">
        <f>IFERROR(__xludf.DUMMYFUNCTION("GOOGLEFINANCE(""ASX:REV"", ""high52"")"),2.04)</f>
        <v>2.04</v>
      </c>
      <c r="H1825" s="9">
        <f>IFERROR(__xludf.DUMMYFUNCTION("GOOGLEFINANCE(""ASX:REV"", ""low52"")"),1.98)</f>
        <v>1.98</v>
      </c>
      <c r="I1825" s="9" t="str">
        <f>IFERROR(__xludf.DUMMYFUNCTION("GOOGLEFINANCE(""ASX:REV"", ""marketcap"")"),"#N/A")</f>
        <v>#N/A</v>
      </c>
      <c r="J1825" s="5"/>
      <c r="K1825" s="5"/>
      <c r="L1825" s="5"/>
      <c r="M1825" s="5"/>
      <c r="N1825" s="9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>
      <c r="A1826" s="6" t="s">
        <v>3635</v>
      </c>
      <c r="B1826" s="6" t="s">
        <v>3636</v>
      </c>
      <c r="C1826" s="5" t="s">
        <v>88</v>
      </c>
      <c r="D1826" s="7">
        <f>IFERROR(__xludf.DUMMYFUNCTION("GOOGLEFINANCE(""ASX:REZ"", ""price"")"),0.02)</f>
        <v>0.02</v>
      </c>
      <c r="E1826" s="8">
        <f>IFERROR(__xludf.DUMMYFUNCTION("GOOGLEFINANCE(""ASX:REZ"", ""closeyest"")"),0.02)</f>
        <v>0.02</v>
      </c>
      <c r="F1826" s="5" t="str">
        <f>IFERROR(__xludf.DUMMYFUNCTION("GOOGLEFINANCE(""ASX:REZ"", ""pe"")"),"#N/A")</f>
        <v>#N/A</v>
      </c>
      <c r="G1826" s="9">
        <f>IFERROR(__xludf.DUMMYFUNCTION("GOOGLEFINANCE(""ASX:REZ"", ""high52"")"),0.04)</f>
        <v>0.04</v>
      </c>
      <c r="H1826" s="9">
        <f>IFERROR(__xludf.DUMMYFUNCTION("GOOGLEFINANCE(""ASX:REZ"", ""low52"")"),0.01)</f>
        <v>0.01</v>
      </c>
      <c r="I1826" s="9">
        <f>IFERROR(__xludf.DUMMYFUNCTION("GOOGLEFINANCE(""ASX:REZ"", ""marketcap"")"),2.1792777E7)</f>
        <v>21792777</v>
      </c>
      <c r="J1826" s="5"/>
      <c r="K1826" s="5"/>
      <c r="L1826" s="5"/>
      <c r="M1826" s="5"/>
      <c r="N1826" s="9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>
      <c r="A1827" s="6" t="s">
        <v>3637</v>
      </c>
      <c r="B1827" s="6" t="s">
        <v>3638</v>
      </c>
      <c r="C1827" s="5" t="s">
        <v>171</v>
      </c>
      <c r="D1827" s="7">
        <f>IFERROR(__xludf.DUMMYFUNCTION("GOOGLEFINANCE(""ASX:RF1"", ""price"")"),3.47)</f>
        <v>3.47</v>
      </c>
      <c r="E1827" s="8">
        <f>IFERROR(__xludf.DUMMYFUNCTION("GOOGLEFINANCE(""ASX:RF1"", ""closeyest"")"),3.47)</f>
        <v>3.47</v>
      </c>
      <c r="F1827" s="9">
        <f>IFERROR(__xludf.DUMMYFUNCTION("GOOGLEFINANCE(""ASX:RF1"", ""pe"")"),28.86)</f>
        <v>28.86</v>
      </c>
      <c r="G1827" s="9">
        <f>IFERROR(__xludf.DUMMYFUNCTION("GOOGLEFINANCE(""ASX:RF1"", ""high52"")"),3.54)</f>
        <v>3.54</v>
      </c>
      <c r="H1827" s="9">
        <f>IFERROR(__xludf.DUMMYFUNCTION("GOOGLEFINANCE(""ASX:RF1"", ""low52"")"),2.35)</f>
        <v>2.35</v>
      </c>
      <c r="I1827" s="9">
        <f>IFERROR(__xludf.DUMMYFUNCTION("GOOGLEFINANCE(""ASX:RF1"", ""marketcap"")"),7.3096314E8)</f>
        <v>730963140</v>
      </c>
      <c r="J1827" s="5"/>
      <c r="K1827" s="5"/>
      <c r="L1827" s="5"/>
      <c r="M1827" s="5"/>
      <c r="N1827" s="9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>
      <c r="A1828" s="6" t="s">
        <v>3639</v>
      </c>
      <c r="B1828" s="6" t="s">
        <v>3640</v>
      </c>
      <c r="C1828" s="5" t="s">
        <v>475</v>
      </c>
      <c r="D1828" s="7">
        <f>IFERROR(__xludf.DUMMYFUNCTION("GOOGLEFINANCE(""ASX:RFF"", ""price"")"),2.01)</f>
        <v>2.01</v>
      </c>
      <c r="E1828" s="8">
        <f>IFERROR(__xludf.DUMMYFUNCTION("GOOGLEFINANCE(""ASX:RFF"", ""closeyest"")"),1.98)</f>
        <v>1.98</v>
      </c>
      <c r="F1828" s="9">
        <f>IFERROR(__xludf.DUMMYFUNCTION("GOOGLEFINANCE(""ASX:RFF"", ""pe"")"),30.02)</f>
        <v>30.02</v>
      </c>
      <c r="G1828" s="9">
        <f>IFERROR(__xludf.DUMMYFUNCTION("GOOGLEFINANCE(""ASX:RFF"", ""high52"")"),2.07)</f>
        <v>2.07</v>
      </c>
      <c r="H1828" s="9">
        <f>IFERROR(__xludf.DUMMYFUNCTION("GOOGLEFINANCE(""ASX:RFF"", ""low52"")"),1.59)</f>
        <v>1.59</v>
      </c>
      <c r="I1828" s="9">
        <f>IFERROR(__xludf.DUMMYFUNCTION("GOOGLEFINANCE(""ASX:RFF"", ""marketcap"")"),7.83343226E8)</f>
        <v>783343226</v>
      </c>
      <c r="J1828" s="5"/>
      <c r="K1828" s="5"/>
      <c r="L1828" s="5"/>
      <c r="M1828" s="5"/>
      <c r="N1828" s="9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>
      <c r="A1829" s="6" t="s">
        <v>3641</v>
      </c>
      <c r="B1829" s="6" t="s">
        <v>3642</v>
      </c>
      <c r="C1829" s="5" t="s">
        <v>98</v>
      </c>
      <c r="D1829" s="7">
        <f>IFERROR(__xludf.DUMMYFUNCTION("GOOGLEFINANCE(""ASX:RFG"", ""price"")"),1.5)</f>
        <v>1.5</v>
      </c>
      <c r="E1829" s="8">
        <f>IFERROR(__xludf.DUMMYFUNCTION("GOOGLEFINANCE(""ASX:RFG"", ""closeyest"")"),1.49)</f>
        <v>1.49</v>
      </c>
      <c r="F1829" s="5" t="str">
        <f>IFERROR(__xludf.DUMMYFUNCTION("GOOGLEFINANCE(""ASX:RFG"", ""pe"")"),"#N/A")</f>
        <v>#N/A</v>
      </c>
      <c r="G1829" s="9">
        <f>IFERROR(__xludf.DUMMYFUNCTION("GOOGLEFINANCE(""ASX:RFG"", ""high52"")"),2.58)</f>
        <v>2.58</v>
      </c>
      <c r="H1829" s="9">
        <f>IFERROR(__xludf.DUMMYFUNCTION("GOOGLEFINANCE(""ASX:RFG"", ""low52"")"),1.23)</f>
        <v>1.23</v>
      </c>
      <c r="I1829" s="9">
        <f>IFERROR(__xludf.DUMMYFUNCTION("GOOGLEFINANCE(""ASX:RFG"", ""marketcap"")"),9.4327638E7)</f>
        <v>94327638</v>
      </c>
      <c r="J1829" s="5"/>
      <c r="K1829" s="5"/>
      <c r="L1829" s="5"/>
      <c r="M1829" s="5"/>
      <c r="N1829" s="9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>
      <c r="A1830" s="6" t="s">
        <v>3643</v>
      </c>
      <c r="B1830" s="6" t="s">
        <v>3644</v>
      </c>
      <c r="C1830" s="5" t="s">
        <v>3002</v>
      </c>
      <c r="D1830" s="7">
        <f>IFERROR(__xludf.DUMMYFUNCTION("GOOGLEFINANCE(""ASX:RFT"", ""price"")"),0.0)</f>
        <v>0</v>
      </c>
      <c r="E1830" s="8">
        <f>IFERROR(__xludf.DUMMYFUNCTION("GOOGLEFINANCE(""ASX:RFT"", ""closeyest"")"),0.0)</f>
        <v>0</v>
      </c>
      <c r="F1830" s="5" t="str">
        <f>IFERROR(__xludf.DUMMYFUNCTION("GOOGLEFINANCE(""ASX:RFT"", ""pe"")"),"#N/A")</f>
        <v>#N/A</v>
      </c>
      <c r="G1830" s="9">
        <f>IFERROR(__xludf.DUMMYFUNCTION("GOOGLEFINANCE(""ASX:RFT"", ""high52"")"),0.01)</f>
        <v>0.01</v>
      </c>
      <c r="H1830" s="9">
        <f>IFERROR(__xludf.DUMMYFUNCTION("GOOGLEFINANCE(""ASX:RFT"", ""low52"")"),0.0)</f>
        <v>0</v>
      </c>
      <c r="I1830" s="9">
        <f>IFERROR(__xludf.DUMMYFUNCTION("GOOGLEFINANCE(""ASX:RFT"", ""marketcap"")"),4145950.0)</f>
        <v>4145950</v>
      </c>
      <c r="J1830" s="12">
        <v>0.003</v>
      </c>
      <c r="K1830" s="12">
        <v>0.003</v>
      </c>
      <c r="L1830" s="12">
        <v>0.011</v>
      </c>
      <c r="M1830" s="12">
        <v>0.003</v>
      </c>
      <c r="N1830" s="9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>
      <c r="A1831" s="6" t="s">
        <v>3645</v>
      </c>
      <c r="B1831" s="6" t="s">
        <v>3646</v>
      </c>
      <c r="C1831" s="5" t="s">
        <v>171</v>
      </c>
      <c r="D1831" s="7">
        <f>IFERROR(__xludf.DUMMYFUNCTION("GOOGLEFINANCE(""ASX:RG1"", ""price"")"),2.34)</f>
        <v>2.34</v>
      </c>
      <c r="E1831" s="8">
        <f>IFERROR(__xludf.DUMMYFUNCTION("GOOGLEFINANCE(""ASX:RG1"", ""closeyest"")"),2.27)</f>
        <v>2.27</v>
      </c>
      <c r="F1831" s="5" t="str">
        <f>IFERROR(__xludf.DUMMYFUNCTION("GOOGLEFINANCE(""ASX:RG1"", ""pe"")"),"#N/A")</f>
        <v>#N/A</v>
      </c>
      <c r="G1831" s="9">
        <f>IFERROR(__xludf.DUMMYFUNCTION("GOOGLEFINANCE(""ASX:RG1"", ""high52"")"),2.34)</f>
        <v>2.34</v>
      </c>
      <c r="H1831" s="9">
        <f>IFERROR(__xludf.DUMMYFUNCTION("GOOGLEFINANCE(""ASX:RG1"", ""low52"")"),1.91)</f>
        <v>1.91</v>
      </c>
      <c r="I1831" s="9">
        <f>IFERROR(__xludf.DUMMYFUNCTION("GOOGLEFINANCE(""ASX:RG1"", ""marketcap"")"),5.69763771E8)</f>
        <v>569763771</v>
      </c>
      <c r="J1831" s="5"/>
      <c r="K1831" s="5"/>
      <c r="L1831" s="5"/>
      <c r="M1831" s="5"/>
      <c r="N1831" s="9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>
      <c r="A1832" s="6" t="s">
        <v>3647</v>
      </c>
      <c r="B1832" s="6" t="s">
        <v>3648</v>
      </c>
      <c r="C1832" s="5" t="s">
        <v>171</v>
      </c>
      <c r="D1832" s="7">
        <f>IFERROR(__xludf.DUMMYFUNCTION("GOOGLEFINANCE(""ASX:RG8"", ""price"")"),2.77)</f>
        <v>2.77</v>
      </c>
      <c r="E1832" s="8">
        <f>IFERROR(__xludf.DUMMYFUNCTION("GOOGLEFINANCE(""ASX:RG8"", ""closeyest"")"),2.73)</f>
        <v>2.73</v>
      </c>
      <c r="F1832" s="9">
        <f>IFERROR(__xludf.DUMMYFUNCTION("GOOGLEFINANCE(""ASX:RG8"", ""pe"")"),128.24)</f>
        <v>128.24</v>
      </c>
      <c r="G1832" s="9">
        <f>IFERROR(__xludf.DUMMYFUNCTION("GOOGLEFINANCE(""ASX:RG8"", ""high52"")"),2.78)</f>
        <v>2.78</v>
      </c>
      <c r="H1832" s="9">
        <f>IFERROR(__xludf.DUMMYFUNCTION("GOOGLEFINANCE(""ASX:RG8"", ""low52"")"),1.55)</f>
        <v>1.55</v>
      </c>
      <c r="I1832" s="9">
        <f>IFERROR(__xludf.DUMMYFUNCTION("GOOGLEFINANCE(""ASX:RG8"", ""marketcap"")"),4.06584752E8)</f>
        <v>406584752</v>
      </c>
      <c r="J1832" s="5"/>
      <c r="K1832" s="5"/>
      <c r="L1832" s="5"/>
      <c r="M1832" s="5"/>
      <c r="N1832" s="9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>
      <c r="A1833" s="6" t="s">
        <v>3649</v>
      </c>
      <c r="B1833" s="6" t="s">
        <v>3650</v>
      </c>
      <c r="C1833" s="5" t="s">
        <v>36</v>
      </c>
      <c r="D1833" s="7">
        <f>IFERROR(__xludf.DUMMYFUNCTION("GOOGLEFINANCE(""ASX:RGB"", ""price"")"),18.8)</f>
        <v>18.8</v>
      </c>
      <c r="E1833" s="8">
        <f>IFERROR(__xludf.DUMMYFUNCTION("GOOGLEFINANCE(""ASX:RGB"", ""closeyest"")"),18.82)</f>
        <v>18.82</v>
      </c>
      <c r="F1833" s="5" t="str">
        <f>IFERROR(__xludf.DUMMYFUNCTION("GOOGLEFINANCE(""ASX:RGB"", ""pe"")"),"#N/A")</f>
        <v>#N/A</v>
      </c>
      <c r="G1833" s="9">
        <f>IFERROR(__xludf.DUMMYFUNCTION("GOOGLEFINANCE(""ASX:RGB"", ""high52"")"),20.02)</f>
        <v>20.02</v>
      </c>
      <c r="H1833" s="9">
        <f>IFERROR(__xludf.DUMMYFUNCTION("GOOGLEFINANCE(""ASX:RGB"", ""low52"")"),18.52)</f>
        <v>18.52</v>
      </c>
      <c r="I1833" s="9" t="str">
        <f>IFERROR(__xludf.DUMMYFUNCTION("GOOGLEFINANCE(""ASX:RGB"", ""marketcap"")"),"#N/A")</f>
        <v>#N/A</v>
      </c>
      <c r="J1833" s="5"/>
      <c r="K1833" s="5"/>
      <c r="L1833" s="5"/>
      <c r="M1833" s="5"/>
      <c r="N1833" s="9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>
      <c r="A1834" s="6" t="s">
        <v>3651</v>
      </c>
      <c r="B1834" s="6" t="s">
        <v>3652</v>
      </c>
      <c r="C1834" s="5" t="s">
        <v>88</v>
      </c>
      <c r="D1834" s="7">
        <f>IFERROR(__xludf.DUMMYFUNCTION("GOOGLEFINANCE(""ASX:RGL"", ""price"")"),0.01)</f>
        <v>0.01</v>
      </c>
      <c r="E1834" s="8">
        <f>IFERROR(__xludf.DUMMYFUNCTION("GOOGLEFINANCE(""ASX:RGL"", ""closeyest"")"),0.01)</f>
        <v>0.01</v>
      </c>
      <c r="F1834" s="5" t="str">
        <f>IFERROR(__xludf.DUMMYFUNCTION("GOOGLEFINANCE(""ASX:RGL"", ""pe"")"),"#N/A")</f>
        <v>#N/A</v>
      </c>
      <c r="G1834" s="9">
        <f>IFERROR(__xludf.DUMMYFUNCTION("GOOGLEFINANCE(""ASX:RGL"", ""high52"")"),0.01)</f>
        <v>0.01</v>
      </c>
      <c r="H1834" s="9">
        <f>IFERROR(__xludf.DUMMYFUNCTION("GOOGLEFINANCE(""ASX:RGL"", ""low52"")"),0.0)</f>
        <v>0</v>
      </c>
      <c r="I1834" s="9">
        <f>IFERROR(__xludf.DUMMYFUNCTION("GOOGLEFINANCE(""ASX:RGL"", ""marketcap"")"),1.166879E7)</f>
        <v>11668790</v>
      </c>
      <c r="J1834" s="5"/>
      <c r="K1834" s="5"/>
      <c r="L1834" s="5"/>
      <c r="M1834" s="5"/>
      <c r="N1834" s="9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>
      <c r="A1835" s="6" t="s">
        <v>3653</v>
      </c>
      <c r="B1835" s="6" t="s">
        <v>3654</v>
      </c>
      <c r="C1835" s="5" t="s">
        <v>418</v>
      </c>
      <c r="D1835" s="7">
        <f>IFERROR(__xludf.DUMMYFUNCTION("GOOGLEFINANCE(""ASX:RGN"", ""price"")"),2.34)</f>
        <v>2.34</v>
      </c>
      <c r="E1835" s="8">
        <f>IFERROR(__xludf.DUMMYFUNCTION("GOOGLEFINANCE(""ASX:RGN"", ""closeyest"")"),2.32)</f>
        <v>2.32</v>
      </c>
      <c r="F1835" s="9">
        <f>IFERROR(__xludf.DUMMYFUNCTION("GOOGLEFINANCE(""ASX:RGN"", ""pe"")"),12.87)</f>
        <v>12.87</v>
      </c>
      <c r="G1835" s="9">
        <f>IFERROR(__xludf.DUMMYFUNCTION("GOOGLEFINANCE(""ASX:RGN"", ""high52"")"),2.5)</f>
        <v>2.5</v>
      </c>
      <c r="H1835" s="9">
        <f>IFERROR(__xludf.DUMMYFUNCTION("GOOGLEFINANCE(""ASX:RGN"", ""low52"")"),2.02)</f>
        <v>2.02</v>
      </c>
      <c r="I1835" s="9">
        <f>IFERROR(__xludf.DUMMYFUNCTION("GOOGLEFINANCE(""ASX:RGN"", ""marketcap"")"),2.7021266E9)</f>
        <v>2702126600</v>
      </c>
      <c r="J1835" s="5"/>
      <c r="K1835" s="5"/>
      <c r="L1835" s="5"/>
      <c r="M1835" s="5"/>
      <c r="N1835" s="9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>
      <c r="A1836" s="6" t="s">
        <v>3655</v>
      </c>
      <c r="B1836" s="6" t="s">
        <v>3656</v>
      </c>
      <c r="C1836" s="5" t="s">
        <v>36</v>
      </c>
      <c r="D1836" s="7">
        <f>IFERROR(__xludf.DUMMYFUNCTION("GOOGLEFINANCE(""ASX:RGOS"", ""price"")"),22.82)</f>
        <v>22.82</v>
      </c>
      <c r="E1836" s="8">
        <f>IFERROR(__xludf.DUMMYFUNCTION("GOOGLEFINANCE(""ASX:RGOS"", ""closeyest"")"),22.69)</f>
        <v>22.69</v>
      </c>
      <c r="F1836" s="5" t="str">
        <f>IFERROR(__xludf.DUMMYFUNCTION("GOOGLEFINANCE(""ASX:RGOS"", ""pe"")"),"#N/A")</f>
        <v>#N/A</v>
      </c>
      <c r="G1836" s="9">
        <f>IFERROR(__xludf.DUMMYFUNCTION("GOOGLEFINANCE(""ASX:RGOS"", ""high52"")"),22.83)</f>
        <v>22.83</v>
      </c>
      <c r="H1836" s="9">
        <f>IFERROR(__xludf.DUMMYFUNCTION("GOOGLEFINANCE(""ASX:RGOS"", ""low52"")"),19.49)</f>
        <v>19.49</v>
      </c>
      <c r="I1836" s="9" t="str">
        <f>IFERROR(__xludf.DUMMYFUNCTION("GOOGLEFINANCE(""ASX:RGOS"", ""marketcap"")"),"#N/A")</f>
        <v>#N/A</v>
      </c>
      <c r="J1836" s="5"/>
      <c r="K1836" s="5"/>
      <c r="L1836" s="5"/>
      <c r="M1836" s="5"/>
      <c r="N1836" s="9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>
      <c r="A1837" s="6" t="s">
        <v>3657</v>
      </c>
      <c r="B1837" s="6" t="s">
        <v>3658</v>
      </c>
      <c r="C1837" s="5" t="s">
        <v>25</v>
      </c>
      <c r="D1837" s="7">
        <f>IFERROR(__xludf.DUMMYFUNCTION("GOOGLEFINANCE(""ASX:RGT"", ""price"")"),0.07)</f>
        <v>0.07</v>
      </c>
      <c r="E1837" s="8">
        <f>IFERROR(__xludf.DUMMYFUNCTION("GOOGLEFINANCE(""ASX:RGT"", ""closeyest"")"),0.07)</f>
        <v>0.07</v>
      </c>
      <c r="F1837" s="5" t="str">
        <f>IFERROR(__xludf.DUMMYFUNCTION("GOOGLEFINANCE(""ASX:RGT"", ""pe"")"),"#N/A")</f>
        <v>#N/A</v>
      </c>
      <c r="G1837" s="9">
        <f>IFERROR(__xludf.DUMMYFUNCTION("GOOGLEFINANCE(""ASX:RGT"", ""high52"")"),0.32)</f>
        <v>0.32</v>
      </c>
      <c r="H1837" s="9">
        <f>IFERROR(__xludf.DUMMYFUNCTION("GOOGLEFINANCE(""ASX:RGT"", ""low52"")"),0.06)</f>
        <v>0.06</v>
      </c>
      <c r="I1837" s="9">
        <f>IFERROR(__xludf.DUMMYFUNCTION("GOOGLEFINANCE(""ASX:RGT"", ""marketcap"")"),5582025.0)</f>
        <v>5582025</v>
      </c>
      <c r="J1837" s="5"/>
      <c r="K1837" s="5"/>
      <c r="L1837" s="5"/>
      <c r="M1837" s="5"/>
      <c r="N1837" s="9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>
      <c r="A1838" s="6" t="s">
        <v>3659</v>
      </c>
      <c r="B1838" s="6" t="s">
        <v>3660</v>
      </c>
      <c r="C1838" s="5" t="s">
        <v>164</v>
      </c>
      <c r="D1838" s="7">
        <f>IFERROR(__xludf.DUMMYFUNCTION("GOOGLEFINANCE(""ASX:RHC"", ""price"")"),34.93)</f>
        <v>34.93</v>
      </c>
      <c r="E1838" s="8">
        <f>IFERROR(__xludf.DUMMYFUNCTION("GOOGLEFINANCE(""ASX:RHC"", ""closeyest"")"),34.95)</f>
        <v>34.95</v>
      </c>
      <c r="F1838" s="9">
        <f>IFERROR(__xludf.DUMMYFUNCTION("GOOGLEFINANCE(""ASX:RHC"", ""pe"")"),1181.26)</f>
        <v>1181.26</v>
      </c>
      <c r="G1838" s="9">
        <f>IFERROR(__xludf.DUMMYFUNCTION("GOOGLEFINANCE(""ASX:RHC"", ""high52"")"),39.84)</f>
        <v>39.84</v>
      </c>
      <c r="H1838" s="9">
        <f>IFERROR(__xludf.DUMMYFUNCTION("GOOGLEFINANCE(""ASX:RHC"", ""low52"")"),30.39)</f>
        <v>30.39</v>
      </c>
      <c r="I1838" s="9">
        <f>IFERROR(__xludf.DUMMYFUNCTION("GOOGLEFINANCE(""ASX:RHC"", ""marketcap"")"),8.062884984E9)</f>
        <v>8062884984</v>
      </c>
      <c r="J1838" s="5"/>
      <c r="K1838" s="5"/>
      <c r="L1838" s="5"/>
      <c r="M1838" s="5"/>
      <c r="N1838" s="9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>
      <c r="A1839" s="6" t="s">
        <v>3661</v>
      </c>
      <c r="B1839" s="6" t="s">
        <v>3662</v>
      </c>
      <c r="C1839" s="5" t="s">
        <v>212</v>
      </c>
      <c r="D1839" s="7">
        <f>IFERROR(__xludf.DUMMYFUNCTION("GOOGLEFINANCE(""ASX:RHI"", ""price"")"),5.0)</f>
        <v>5</v>
      </c>
      <c r="E1839" s="8">
        <f>IFERROR(__xludf.DUMMYFUNCTION("GOOGLEFINANCE(""ASX:RHI"", ""closeyest"")"),4.85)</f>
        <v>4.85</v>
      </c>
      <c r="F1839" s="9">
        <f>IFERROR(__xludf.DUMMYFUNCTION("GOOGLEFINANCE(""ASX:RHI"", ""pe"")"),35.15)</f>
        <v>35.15</v>
      </c>
      <c r="G1839" s="9">
        <f>IFERROR(__xludf.DUMMYFUNCTION("GOOGLEFINANCE(""ASX:RHI"", ""high52"")"),5.0)</f>
        <v>5</v>
      </c>
      <c r="H1839" s="9">
        <f>IFERROR(__xludf.DUMMYFUNCTION("GOOGLEFINANCE(""ASX:RHI"", ""low52"")"),2.8)</f>
        <v>2.8</v>
      </c>
      <c r="I1839" s="9">
        <f>IFERROR(__xludf.DUMMYFUNCTION("GOOGLEFINANCE(""ASX:RHI"", ""marketcap"")"),3.2063805E8)</f>
        <v>320638050</v>
      </c>
      <c r="J1839" s="9">
        <v>0.004</v>
      </c>
      <c r="K1839" s="5"/>
      <c r="L1839" s="5"/>
      <c r="M1839" s="5"/>
      <c r="N1839" s="9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>
      <c r="A1840" s="6" t="s">
        <v>3661</v>
      </c>
      <c r="B1840" s="6" t="s">
        <v>3662</v>
      </c>
      <c r="C1840" s="5" t="s">
        <v>212</v>
      </c>
      <c r="D1840" s="7">
        <f>IFERROR(__xludf.DUMMYFUNCTION("GOOGLEFINANCE(""ASX:RHI"", ""price"")"),5.0)</f>
        <v>5</v>
      </c>
      <c r="E1840" s="8">
        <f>IFERROR(__xludf.DUMMYFUNCTION("GOOGLEFINANCE(""ASX:RHI"", ""closeyest"")"),4.85)</f>
        <v>4.85</v>
      </c>
      <c r="F1840" s="9">
        <f>IFERROR(__xludf.DUMMYFUNCTION("GOOGLEFINANCE(""ASX:RHI"", ""pe"")"),35.15)</f>
        <v>35.15</v>
      </c>
      <c r="G1840" s="9">
        <f>IFERROR(__xludf.DUMMYFUNCTION("GOOGLEFINANCE(""ASX:RHI"", ""high52"")"),5.0)</f>
        <v>5</v>
      </c>
      <c r="H1840" s="9">
        <f>IFERROR(__xludf.DUMMYFUNCTION("GOOGLEFINANCE(""ASX:RHI"", ""low52"")"),2.8)</f>
        <v>2.8</v>
      </c>
      <c r="I1840" s="9">
        <f>IFERROR(__xludf.DUMMYFUNCTION("GOOGLEFINANCE(""ASX:RHI"", ""marketcap"")"),3.2063805E8)</f>
        <v>320638050</v>
      </c>
      <c r="J1840" s="9">
        <v>0.004</v>
      </c>
      <c r="K1840" s="5"/>
      <c r="L1840" s="5"/>
      <c r="M1840" s="5"/>
      <c r="N1840" s="9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>
      <c r="A1841" s="6" t="s">
        <v>3663</v>
      </c>
      <c r="B1841" s="6" t="s">
        <v>3664</v>
      </c>
      <c r="C1841" s="5" t="s">
        <v>62</v>
      </c>
      <c r="D1841" s="7">
        <f>IFERROR(__xludf.DUMMYFUNCTION("GOOGLEFINANCE(""ASX:RHT"", ""price"")"),0.05)</f>
        <v>0.05</v>
      </c>
      <c r="E1841" s="8">
        <f>IFERROR(__xludf.DUMMYFUNCTION("GOOGLEFINANCE(""ASX:RHT"", ""closeyest"")"),0.05)</f>
        <v>0.05</v>
      </c>
      <c r="F1841" s="5" t="str">
        <f>IFERROR(__xludf.DUMMYFUNCTION("GOOGLEFINANCE(""ASX:RHT"", ""pe"")"),"#N/A")</f>
        <v>#N/A</v>
      </c>
      <c r="G1841" s="9">
        <f>IFERROR(__xludf.DUMMYFUNCTION("GOOGLEFINANCE(""ASX:RHT"", ""high52"")"),0.07)</f>
        <v>0.07</v>
      </c>
      <c r="H1841" s="9">
        <f>IFERROR(__xludf.DUMMYFUNCTION("GOOGLEFINANCE(""ASX:RHT"", ""low52"")"),0.03)</f>
        <v>0.03</v>
      </c>
      <c r="I1841" s="9">
        <f>IFERROR(__xludf.DUMMYFUNCTION("GOOGLEFINANCE(""ASX:RHT"", ""marketcap"")"),2.2315251E7)</f>
        <v>22315251</v>
      </c>
      <c r="J1841" s="5"/>
      <c r="K1841" s="5"/>
      <c r="L1841" s="5"/>
      <c r="M1841" s="5"/>
      <c r="N1841" s="9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>
      <c r="A1842" s="6" t="s">
        <v>3665</v>
      </c>
      <c r="B1842" s="6" t="s">
        <v>3666</v>
      </c>
      <c r="C1842" s="5" t="s">
        <v>25</v>
      </c>
      <c r="D1842" s="7">
        <f>IFERROR(__xludf.DUMMYFUNCTION("GOOGLEFINANCE(""ASX:RHY"", ""price"")"),0.1)</f>
        <v>0.1</v>
      </c>
      <c r="E1842" s="8">
        <f>IFERROR(__xludf.DUMMYFUNCTION("GOOGLEFINANCE(""ASX:RHY"", ""closeyest"")"),0.12)</f>
        <v>0.12</v>
      </c>
      <c r="F1842" s="5" t="str">
        <f>IFERROR(__xludf.DUMMYFUNCTION("GOOGLEFINANCE(""ASX:RHY"", ""pe"")"),"#N/A")</f>
        <v>#N/A</v>
      </c>
      <c r="G1842" s="9">
        <f>IFERROR(__xludf.DUMMYFUNCTION("GOOGLEFINANCE(""ASX:RHY"", ""high52"")"),0.21)</f>
        <v>0.21</v>
      </c>
      <c r="H1842" s="9">
        <f>IFERROR(__xludf.DUMMYFUNCTION("GOOGLEFINANCE(""ASX:RHY"", ""low52"")"),0.05)</f>
        <v>0.05</v>
      </c>
      <c r="I1842" s="9">
        <f>IFERROR(__xludf.DUMMYFUNCTION("GOOGLEFINANCE(""ASX:RHY"", ""marketcap"")"),3.124822E7)</f>
        <v>31248220</v>
      </c>
      <c r="J1842" s="5"/>
      <c r="K1842" s="5"/>
      <c r="L1842" s="5"/>
      <c r="M1842" s="5"/>
      <c r="N1842" s="9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>
      <c r="A1843" s="6" t="s">
        <v>3667</v>
      </c>
      <c r="B1843" s="6" t="s">
        <v>3668</v>
      </c>
      <c r="C1843" s="5" t="s">
        <v>128</v>
      </c>
      <c r="D1843" s="7">
        <f>IFERROR(__xludf.DUMMYFUNCTION("GOOGLEFINANCE(""ASX:RIC"", ""price"")"),2.6)</f>
        <v>2.6</v>
      </c>
      <c r="E1843" s="8">
        <f>IFERROR(__xludf.DUMMYFUNCTION("GOOGLEFINANCE(""ASX:RIC"", ""closeyest"")"),2.58)</f>
        <v>2.58</v>
      </c>
      <c r="F1843" s="9">
        <f>IFERROR(__xludf.DUMMYFUNCTION("GOOGLEFINANCE(""ASX:RIC"", ""pe"")"),19.89)</f>
        <v>19.89</v>
      </c>
      <c r="G1843" s="9">
        <f>IFERROR(__xludf.DUMMYFUNCTION("GOOGLEFINANCE(""ASX:RIC"", ""high52"")"),3.3)</f>
        <v>3.3</v>
      </c>
      <c r="H1843" s="9">
        <f>IFERROR(__xludf.DUMMYFUNCTION("GOOGLEFINANCE(""ASX:RIC"", ""low52"")"),2.17)</f>
        <v>2.17</v>
      </c>
      <c r="I1843" s="9">
        <f>IFERROR(__xludf.DUMMYFUNCTION("GOOGLEFINANCE(""ASX:RIC"", ""marketcap"")"),9.74617764E8)</f>
        <v>974617764</v>
      </c>
      <c r="J1843" s="5"/>
      <c r="K1843" s="5"/>
      <c r="L1843" s="5"/>
      <c r="M1843" s="5"/>
      <c r="N1843" s="9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>
      <c r="A1844" s="6" t="s">
        <v>3669</v>
      </c>
      <c r="B1844" s="6" t="s">
        <v>3670</v>
      </c>
      <c r="C1844" s="5" t="s">
        <v>18</v>
      </c>
      <c r="D1844" s="7">
        <f>IFERROR(__xludf.DUMMYFUNCTION("GOOGLEFINANCE(""ASX:RIE"", ""price"")"),0.03)</f>
        <v>0.03</v>
      </c>
      <c r="E1844" s="8">
        <f>IFERROR(__xludf.DUMMYFUNCTION("GOOGLEFINANCE(""ASX:RIE"", ""closeyest"")"),0.03)</f>
        <v>0.03</v>
      </c>
      <c r="F1844" s="5" t="str">
        <f>IFERROR(__xludf.DUMMYFUNCTION("GOOGLEFINANCE(""ASX:RIE"", ""pe"")"),"#N/A")</f>
        <v>#N/A</v>
      </c>
      <c r="G1844" s="9">
        <f>IFERROR(__xludf.DUMMYFUNCTION("GOOGLEFINANCE(""ASX:RIE"", ""high52"")"),0.05)</f>
        <v>0.05</v>
      </c>
      <c r="H1844" s="9">
        <f>IFERROR(__xludf.DUMMYFUNCTION("GOOGLEFINANCE(""ASX:RIE"", ""low52"")"),0.02)</f>
        <v>0.02</v>
      </c>
      <c r="I1844" s="9">
        <f>IFERROR(__xludf.DUMMYFUNCTION("GOOGLEFINANCE(""ASX:RIE"", ""marketcap"")"),8003008.0)</f>
        <v>8003008</v>
      </c>
      <c r="J1844" s="5"/>
      <c r="K1844" s="5"/>
      <c r="L1844" s="5"/>
      <c r="M1844" s="5"/>
      <c r="N1844" s="9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>
      <c r="A1845" s="6" t="s">
        <v>3671</v>
      </c>
      <c r="B1845" s="6" t="s">
        <v>3672</v>
      </c>
      <c r="C1845" s="5" t="s">
        <v>36</v>
      </c>
      <c r="D1845" s="7">
        <f>IFERROR(__xludf.DUMMYFUNCTION("GOOGLEFINANCE(""ASX:RIIF"", ""price"")"),1.18)</f>
        <v>1.18</v>
      </c>
      <c r="E1845" s="8">
        <f>IFERROR(__xludf.DUMMYFUNCTION("GOOGLEFINANCE(""ASX:RIIF"", ""closeyest"")"),1.17)</f>
        <v>1.17</v>
      </c>
      <c r="F1845" s="5" t="str">
        <f>IFERROR(__xludf.DUMMYFUNCTION("GOOGLEFINANCE(""ASX:RIIF"", ""pe"")"),"#N/A")</f>
        <v>#N/A</v>
      </c>
      <c r="G1845" s="9">
        <f>IFERROR(__xludf.DUMMYFUNCTION("GOOGLEFINANCE(""ASX:RIIF"", ""high52"")"),1.2)</f>
        <v>1.2</v>
      </c>
      <c r="H1845" s="9">
        <f>IFERROR(__xludf.DUMMYFUNCTION("GOOGLEFINANCE(""ASX:RIIF"", ""low52"")"),1.01)</f>
        <v>1.01</v>
      </c>
      <c r="I1845" s="9" t="str">
        <f>IFERROR(__xludf.DUMMYFUNCTION("GOOGLEFINANCE(""ASX:RIIF"", ""marketcap"")"),"#N/A")</f>
        <v>#N/A</v>
      </c>
      <c r="J1845" s="9">
        <v>1.95</v>
      </c>
      <c r="K1845" s="9">
        <v>1.985</v>
      </c>
      <c r="L1845" s="9">
        <v>2.24</v>
      </c>
      <c r="M1845" s="9">
        <v>1.4</v>
      </c>
      <c r="N1845" s="9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>
      <c r="A1846" s="6" t="s">
        <v>3673</v>
      </c>
      <c r="B1846" s="6" t="s">
        <v>3674</v>
      </c>
      <c r="C1846" s="5" t="s">
        <v>223</v>
      </c>
      <c r="D1846" s="7">
        <f>IFERROR(__xludf.DUMMYFUNCTION("GOOGLEFINANCE(""ASX:RIL"", ""price"")"),0.0)</f>
        <v>0</v>
      </c>
      <c r="E1846" s="8">
        <f>IFERROR(__xludf.DUMMYFUNCTION("GOOGLEFINANCE(""ASX:RIL"", ""closeyest"")"),0.0)</f>
        <v>0</v>
      </c>
      <c r="F1846" s="5" t="str">
        <f>IFERROR(__xludf.DUMMYFUNCTION("GOOGLEFINANCE(""ASX:RIL"", ""pe"")"),"#N/A")</f>
        <v>#N/A</v>
      </c>
      <c r="G1846" s="9">
        <f>IFERROR(__xludf.DUMMYFUNCTION("GOOGLEFINANCE(""ASX:RIL"", ""high52"")"),0.0)</f>
        <v>0</v>
      </c>
      <c r="H1846" s="9">
        <f>IFERROR(__xludf.DUMMYFUNCTION("GOOGLEFINANCE(""ASX:RIL"", ""low52"")"),0.0)</f>
        <v>0</v>
      </c>
      <c r="I1846" s="9">
        <f>IFERROR(__xludf.DUMMYFUNCTION("GOOGLEFINANCE(""ASX:RIL"", ""marketcap"")"),5493708.0)</f>
        <v>5493708</v>
      </c>
      <c r="J1846" s="12">
        <v>0.004</v>
      </c>
      <c r="K1846" s="12">
        <v>0.004</v>
      </c>
      <c r="L1846" s="12">
        <v>0.004</v>
      </c>
      <c r="M1846" s="12">
        <v>0.002</v>
      </c>
      <c r="N1846" s="9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>
      <c r="A1847" s="6" t="s">
        <v>3675</v>
      </c>
      <c r="B1847" s="6" t="s">
        <v>3676</v>
      </c>
      <c r="C1847" s="5" t="s">
        <v>450</v>
      </c>
      <c r="D1847" s="7">
        <f>IFERROR(__xludf.DUMMYFUNCTION("GOOGLEFINANCE(""ASX:RIM"", ""price"")"),0.01)</f>
        <v>0.01</v>
      </c>
      <c r="E1847" s="8">
        <f>IFERROR(__xludf.DUMMYFUNCTION("GOOGLEFINANCE(""ASX:RIM"", ""closeyest"")"),0.02)</f>
        <v>0.02</v>
      </c>
      <c r="F1847" s="5" t="str">
        <f>IFERROR(__xludf.DUMMYFUNCTION("GOOGLEFINANCE(""ASX:RIM"", ""pe"")"),"#N/A")</f>
        <v>#N/A</v>
      </c>
      <c r="G1847" s="9">
        <f>IFERROR(__xludf.DUMMYFUNCTION("GOOGLEFINANCE(""ASX:RIM"", ""high52"")"),0.04)</f>
        <v>0.04</v>
      </c>
      <c r="H1847" s="9">
        <f>IFERROR(__xludf.DUMMYFUNCTION("GOOGLEFINANCE(""ASX:RIM"", ""low52"")"),0.01)</f>
        <v>0.01</v>
      </c>
      <c r="I1847" s="9">
        <f>IFERROR(__xludf.DUMMYFUNCTION("GOOGLEFINANCE(""ASX:RIM"", ""marketcap"")"),2.9042762E7)</f>
        <v>29042762</v>
      </c>
      <c r="J1847" s="5"/>
      <c r="K1847" s="5"/>
      <c r="L1847" s="5"/>
      <c r="M1847" s="5"/>
      <c r="N1847" s="9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>
      <c r="A1848" s="6" t="s">
        <v>3677</v>
      </c>
      <c r="B1848" s="6" t="s">
        <v>3678</v>
      </c>
      <c r="C1848" s="5" t="s">
        <v>18</v>
      </c>
      <c r="D1848" s="7">
        <f>IFERROR(__xludf.DUMMYFUNCTION("GOOGLEFINANCE(""ASX:RIO"", ""price"")"),154.73)</f>
        <v>154.73</v>
      </c>
      <c r="E1848" s="8">
        <f>IFERROR(__xludf.DUMMYFUNCTION("GOOGLEFINANCE(""ASX:RIO"", ""closeyest"")"),152.27)</f>
        <v>152.27</v>
      </c>
      <c r="F1848" s="9">
        <f>IFERROR(__xludf.DUMMYFUNCTION("GOOGLEFINANCE(""ASX:RIO"", ""pe"")"),16.48)</f>
        <v>16.48</v>
      </c>
      <c r="G1848" s="9">
        <f>IFERROR(__xludf.DUMMYFUNCTION("GOOGLEFINANCE(""ASX:RIO"", ""high52"")"),154.73)</f>
        <v>154.73</v>
      </c>
      <c r="H1848" s="9">
        <f>IFERROR(__xludf.DUMMYFUNCTION("GOOGLEFINANCE(""ASX:RIO"", ""low52"")"),100.75)</f>
        <v>100.75</v>
      </c>
      <c r="I1848" s="9">
        <f>IFERROR(__xludf.DUMMYFUNCTION("GOOGLEFINANCE(""ASX:RIO"", ""marketcap"")"),2.13574741482E11)</f>
        <v>213574741482</v>
      </c>
      <c r="J1848" s="5"/>
      <c r="K1848" s="5"/>
      <c r="L1848" s="5"/>
      <c r="M1848" s="5"/>
      <c r="N1848" s="9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>
      <c r="A1849" s="6" t="s">
        <v>3679</v>
      </c>
      <c r="B1849" s="6" t="s">
        <v>3680</v>
      </c>
      <c r="C1849" s="5" t="s">
        <v>1291</v>
      </c>
      <c r="D1849" s="7" t="str">
        <f>IFERROR(__xludf.DUMMYFUNCTION("GOOGLEFINANCE(""ASX:RIV"", ""price"")"),"#N/A")</f>
        <v>#N/A</v>
      </c>
      <c r="E1849" s="8" t="str">
        <f>IFERROR(__xludf.DUMMYFUNCTION("GOOGLEFINANCE(""ASX:RIV"", ""closeyest"")"),"#N/A")</f>
        <v>#N/A</v>
      </c>
      <c r="F1849" s="5" t="str">
        <f>IFERROR(__xludf.DUMMYFUNCTION("GOOGLEFINANCE(""ASX:RIV"", ""pe"")"),"#N/A")</f>
        <v>#N/A</v>
      </c>
      <c r="G1849" s="5" t="str">
        <f>IFERROR(__xludf.DUMMYFUNCTION("GOOGLEFINANCE(""ASX:RIV"", ""high52"")"),"#N/A")</f>
        <v>#N/A</v>
      </c>
      <c r="H1849" s="5" t="str">
        <f>IFERROR(__xludf.DUMMYFUNCTION("GOOGLEFINANCE(""ASX:RIV"", ""low52"")"),"#N/A")</f>
        <v>#N/A</v>
      </c>
      <c r="I1849" s="9" t="str">
        <f>IFERROR(__xludf.DUMMYFUNCTION("GOOGLEFINANCE(""ASX:RIV"", ""marketcap"")"),"#N/A")</f>
        <v>#N/A</v>
      </c>
      <c r="J1849" s="12">
        <v>1.48</v>
      </c>
      <c r="K1849" s="12">
        <v>1.48</v>
      </c>
      <c r="L1849" s="12">
        <v>1.59</v>
      </c>
      <c r="M1849" s="12">
        <v>1.385</v>
      </c>
      <c r="N1849" s="9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>
      <c r="A1850" s="6" t="s">
        <v>3679</v>
      </c>
      <c r="B1850" s="6" t="s">
        <v>3680</v>
      </c>
      <c r="C1850" s="5" t="s">
        <v>1291</v>
      </c>
      <c r="D1850" s="7" t="str">
        <f>IFERROR(__xludf.DUMMYFUNCTION("GOOGLEFINANCE(""ASX:RIV"", ""price"")"),"#N/A")</f>
        <v>#N/A</v>
      </c>
      <c r="E1850" s="8" t="str">
        <f>IFERROR(__xludf.DUMMYFUNCTION("GOOGLEFINANCE(""ASX:RIV"", ""closeyest"")"),"#N/A")</f>
        <v>#N/A</v>
      </c>
      <c r="F1850" s="5" t="str">
        <f>IFERROR(__xludf.DUMMYFUNCTION("GOOGLEFINANCE(""ASX:RIV"", ""pe"")"),"#N/A")</f>
        <v>#N/A</v>
      </c>
      <c r="G1850" s="5" t="str">
        <f>IFERROR(__xludf.DUMMYFUNCTION("GOOGLEFINANCE(""ASX:RIV"", ""high52"")"),"#N/A")</f>
        <v>#N/A</v>
      </c>
      <c r="H1850" s="5" t="str">
        <f>IFERROR(__xludf.DUMMYFUNCTION("GOOGLEFINANCE(""ASX:RIV"", ""low52"")"),"#N/A")</f>
        <v>#N/A</v>
      </c>
      <c r="I1850" s="9" t="str">
        <f>IFERROR(__xludf.DUMMYFUNCTION("GOOGLEFINANCE(""ASX:RIV"", ""marketcap"")"),"#N/A")</f>
        <v>#N/A</v>
      </c>
      <c r="J1850" s="12">
        <v>1.48</v>
      </c>
      <c r="K1850" s="12">
        <v>1.48</v>
      </c>
      <c r="L1850" s="12">
        <v>1.59</v>
      </c>
      <c r="M1850" s="12">
        <v>1.385</v>
      </c>
      <c r="N1850" s="9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>
      <c r="A1851" s="13" t="s">
        <v>3679</v>
      </c>
      <c r="B1851" s="13" t="s">
        <v>3680</v>
      </c>
      <c r="C1851" s="14" t="s">
        <v>1291</v>
      </c>
      <c r="D1851" s="15" t="str">
        <f>IFERROR(__xludf.DUMMYFUNCTION("GOOGLEFINANCE(""ASX:RIV"", ""price"")"),"#N/A")</f>
        <v>#N/A</v>
      </c>
      <c r="E1851" s="8" t="str">
        <f>IFERROR(__xludf.DUMMYFUNCTION("GOOGLEFINANCE(""ASX:RIV"", ""closeyest"")"),"#N/A")</f>
        <v>#N/A</v>
      </c>
      <c r="F1851" s="5" t="str">
        <f>IFERROR(__xludf.DUMMYFUNCTION("GOOGLEFINANCE(""ASX:RIV"", ""pe"")"),"#N/A")</f>
        <v>#N/A</v>
      </c>
      <c r="G1851" s="5" t="str">
        <f>IFERROR(__xludf.DUMMYFUNCTION("GOOGLEFINANCE(""ASX:RIV"", ""high52"")"),"#N/A")</f>
        <v>#N/A</v>
      </c>
      <c r="H1851" s="5" t="str">
        <f>IFERROR(__xludf.DUMMYFUNCTION("GOOGLEFINANCE(""ASX:RIV"", ""low52"")"),"#N/A")</f>
        <v>#N/A</v>
      </c>
      <c r="I1851" s="9" t="str">
        <f>IFERROR(__xludf.DUMMYFUNCTION("GOOGLEFINANCE(""ASX:RIV"", ""marketcap"")"),"#N/A")</f>
        <v>#N/A</v>
      </c>
      <c r="J1851" s="12">
        <v>1.48</v>
      </c>
      <c r="K1851" s="12">
        <v>1.48</v>
      </c>
      <c r="L1851" s="12">
        <v>1.59</v>
      </c>
      <c r="M1851" s="12">
        <v>1.385</v>
      </c>
      <c r="N1851" s="9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>
      <c r="A1852" s="6" t="s">
        <v>3681</v>
      </c>
      <c r="B1852" s="6" t="s">
        <v>3682</v>
      </c>
      <c r="C1852" s="5" t="s">
        <v>39</v>
      </c>
      <c r="D1852" s="7">
        <f>IFERROR(__xludf.DUMMYFUNCTION("GOOGLEFINANCE(""ASX:RKB"", ""price"")"),0.0)</f>
        <v>0</v>
      </c>
      <c r="E1852" s="8">
        <f>IFERROR(__xludf.DUMMYFUNCTION("GOOGLEFINANCE(""ASX:RKB"", ""closeyest"")"),0.0)</f>
        <v>0</v>
      </c>
      <c r="F1852" s="5" t="str">
        <f>IFERROR(__xludf.DUMMYFUNCTION("GOOGLEFINANCE(""ASX:RKB"", ""pe"")"),"#N/A")</f>
        <v>#N/A</v>
      </c>
      <c r="G1852" s="9">
        <f>IFERROR(__xludf.DUMMYFUNCTION("GOOGLEFINANCE(""ASX:RKB"", ""high52"")"),0.02)</f>
        <v>0.02</v>
      </c>
      <c r="H1852" s="9">
        <f>IFERROR(__xludf.DUMMYFUNCTION("GOOGLEFINANCE(""ASX:RKB"", ""low52"")"),0.0)</f>
        <v>0</v>
      </c>
      <c r="I1852" s="9">
        <f>IFERROR(__xludf.DUMMYFUNCTION("GOOGLEFINANCE(""ASX:RKB"", ""marketcap"")"),3653124.0)</f>
        <v>3653124</v>
      </c>
      <c r="J1852" s="12">
        <v>0.004</v>
      </c>
      <c r="K1852" s="12">
        <v>0.003</v>
      </c>
      <c r="L1852" s="12">
        <v>0.016</v>
      </c>
      <c r="M1852" s="12">
        <v>0.003</v>
      </c>
      <c r="N1852" s="9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>
      <c r="A1853" s="6" t="s">
        <v>3683</v>
      </c>
      <c r="B1853" s="6" t="s">
        <v>3684</v>
      </c>
      <c r="C1853" s="5" t="s">
        <v>15</v>
      </c>
      <c r="D1853" s="7">
        <f>IFERROR(__xludf.DUMMYFUNCTION("GOOGLEFINANCE(""ASX:RKN"", ""price"")"),0.56)</f>
        <v>0.56</v>
      </c>
      <c r="E1853" s="8">
        <f>IFERROR(__xludf.DUMMYFUNCTION("GOOGLEFINANCE(""ASX:RKN"", ""closeyest"")"),0.56)</f>
        <v>0.56</v>
      </c>
      <c r="F1853" s="9">
        <f>IFERROR(__xludf.DUMMYFUNCTION("GOOGLEFINANCE(""ASX:RKN"", ""pe"")"),11.97)</f>
        <v>11.97</v>
      </c>
      <c r="G1853" s="9">
        <f>IFERROR(__xludf.DUMMYFUNCTION("GOOGLEFINANCE(""ASX:RKN"", ""high52"")"),0.66)</f>
        <v>0.66</v>
      </c>
      <c r="H1853" s="9">
        <f>IFERROR(__xludf.DUMMYFUNCTION("GOOGLEFINANCE(""ASX:RKN"", ""low52"")"),0.45)</f>
        <v>0.45</v>
      </c>
      <c r="I1853" s="9">
        <f>IFERROR(__xludf.DUMMYFUNCTION("GOOGLEFINANCE(""ASX:RKN"", ""marketcap"")"),6.4583059E7)</f>
        <v>64583059</v>
      </c>
      <c r="J1853" s="5"/>
      <c r="K1853" s="5"/>
      <c r="L1853" s="5"/>
      <c r="M1853" s="5"/>
      <c r="N1853" s="9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>
      <c r="A1854" s="6" t="s">
        <v>3685</v>
      </c>
      <c r="B1854" s="6" t="s">
        <v>3686</v>
      </c>
      <c r="C1854" s="5" t="s">
        <v>504</v>
      </c>
      <c r="D1854" s="7">
        <f>IFERROR(__xludf.DUMMYFUNCTION("GOOGLEFINANCE(""ASX:RKT"", ""price"")"),0.03)</f>
        <v>0.03</v>
      </c>
      <c r="E1854" s="8">
        <f>IFERROR(__xludf.DUMMYFUNCTION("GOOGLEFINANCE(""ASX:RKT"", ""closeyest"")"),0.03)</f>
        <v>0.03</v>
      </c>
      <c r="F1854" s="5" t="str">
        <f>IFERROR(__xludf.DUMMYFUNCTION("GOOGLEFINANCE(""ASX:RKT"", ""pe"")"),"#N/A")</f>
        <v>#N/A</v>
      </c>
      <c r="G1854" s="9">
        <f>IFERROR(__xludf.DUMMYFUNCTION("GOOGLEFINANCE(""ASX:RKT"", ""high52"")"),0.03)</f>
        <v>0.03</v>
      </c>
      <c r="H1854" s="9">
        <f>IFERROR(__xludf.DUMMYFUNCTION("GOOGLEFINANCE(""ASX:RKT"", ""low52"")"),0.01)</f>
        <v>0.01</v>
      </c>
      <c r="I1854" s="9">
        <f>IFERROR(__xludf.DUMMYFUNCTION("GOOGLEFINANCE(""ASX:RKT"", ""marketcap"")"),2.5614116E7)</f>
        <v>25614116</v>
      </c>
      <c r="J1854" s="5"/>
      <c r="K1854" s="5"/>
      <c r="L1854" s="5"/>
      <c r="M1854" s="5"/>
      <c r="N1854" s="9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>
      <c r="A1855" s="6" t="s">
        <v>3687</v>
      </c>
      <c r="B1855" s="6" t="s">
        <v>3688</v>
      </c>
      <c r="C1855" s="5" t="s">
        <v>18</v>
      </c>
      <c r="D1855" s="7">
        <f>IFERROR(__xludf.DUMMYFUNCTION("GOOGLEFINANCE(""ASX:RLC"", ""price"")"),0.0)</f>
        <v>0</v>
      </c>
      <c r="E1855" s="8">
        <f>IFERROR(__xludf.DUMMYFUNCTION("GOOGLEFINANCE(""ASX:RLC"", ""closeyest"")"),0.0)</f>
        <v>0</v>
      </c>
      <c r="F1855" s="5" t="str">
        <f>IFERROR(__xludf.DUMMYFUNCTION("GOOGLEFINANCE(""ASX:RLC"", ""pe"")"),"#N/A")</f>
        <v>#N/A</v>
      </c>
      <c r="G1855" s="9">
        <f>IFERROR(__xludf.DUMMYFUNCTION("GOOGLEFINANCE(""ASX:RLC"", ""high52"")"),0.01)</f>
        <v>0.01</v>
      </c>
      <c r="H1855" s="9">
        <f>IFERROR(__xludf.DUMMYFUNCTION("GOOGLEFINANCE(""ASX:RLC"", ""low52"")"),0.0)</f>
        <v>0</v>
      </c>
      <c r="I1855" s="9">
        <f>IFERROR(__xludf.DUMMYFUNCTION("GOOGLEFINANCE(""ASX:RLC"", ""marketcap"")"),1165059.0)</f>
        <v>1165059</v>
      </c>
      <c r="J1855" s="12">
        <v>0.003</v>
      </c>
      <c r="K1855" s="12">
        <v>0.003</v>
      </c>
      <c r="L1855" s="12">
        <v>0.005</v>
      </c>
      <c r="M1855" s="12">
        <v>0.001</v>
      </c>
      <c r="N1855" s="9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>
      <c r="A1856" s="6" t="s">
        <v>3689</v>
      </c>
      <c r="B1856" s="6" t="s">
        <v>3690</v>
      </c>
      <c r="C1856" s="5" t="s">
        <v>267</v>
      </c>
      <c r="D1856" s="7">
        <f>IFERROR(__xludf.DUMMYFUNCTION("GOOGLEFINANCE(""ASX:RLF"", ""price"")"),0.06)</f>
        <v>0.06</v>
      </c>
      <c r="E1856" s="8">
        <f>IFERROR(__xludf.DUMMYFUNCTION("GOOGLEFINANCE(""ASX:RLF"", ""closeyest"")"),0.07)</f>
        <v>0.07</v>
      </c>
      <c r="F1856" s="5" t="str">
        <f>IFERROR(__xludf.DUMMYFUNCTION("GOOGLEFINANCE(""ASX:RLF"", ""pe"")"),"#N/A")</f>
        <v>#N/A</v>
      </c>
      <c r="G1856" s="9">
        <f>IFERROR(__xludf.DUMMYFUNCTION("GOOGLEFINANCE(""ASX:RLF"", ""high52"")"),0.1)</f>
        <v>0.1</v>
      </c>
      <c r="H1856" s="9">
        <f>IFERROR(__xludf.DUMMYFUNCTION("GOOGLEFINANCE(""ASX:RLF"", ""low52"")"),0.03)</f>
        <v>0.03</v>
      </c>
      <c r="I1856" s="9">
        <f>IFERROR(__xludf.DUMMYFUNCTION("GOOGLEFINANCE(""ASX:RLF"", ""marketcap"")"),2.8266177E7)</f>
        <v>28266177</v>
      </c>
      <c r="J1856" s="5"/>
      <c r="K1856" s="5"/>
      <c r="L1856" s="5"/>
      <c r="M1856" s="5"/>
      <c r="N1856" s="9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>
      <c r="A1857" s="6" t="s">
        <v>3691</v>
      </c>
      <c r="B1857" s="6" t="s">
        <v>3692</v>
      </c>
      <c r="C1857" s="5" t="s">
        <v>15</v>
      </c>
      <c r="D1857" s="7">
        <f>IFERROR(__xludf.DUMMYFUNCTION("GOOGLEFINANCE(""ASX:RLG"", ""price"")"),0.01)</f>
        <v>0.01</v>
      </c>
      <c r="E1857" s="8">
        <f>IFERROR(__xludf.DUMMYFUNCTION("GOOGLEFINANCE(""ASX:RLG"", ""closeyest"")"),0.0)</f>
        <v>0</v>
      </c>
      <c r="F1857" s="5" t="str">
        <f>IFERROR(__xludf.DUMMYFUNCTION("GOOGLEFINANCE(""ASX:RLG"", ""pe"")"),"#N/A")</f>
        <v>#N/A</v>
      </c>
      <c r="G1857" s="9">
        <f>IFERROR(__xludf.DUMMYFUNCTION("GOOGLEFINANCE(""ASX:RLG"", ""high52"")"),0.01)</f>
        <v>0.01</v>
      </c>
      <c r="H1857" s="9">
        <f>IFERROR(__xludf.DUMMYFUNCTION("GOOGLEFINANCE(""ASX:RLG"", ""low52"")"),0.0)</f>
        <v>0</v>
      </c>
      <c r="I1857" s="9">
        <f>IFERROR(__xludf.DUMMYFUNCTION("GOOGLEFINANCE(""ASX:RLG"", ""marketcap"")"),4696239.0)</f>
        <v>4696239</v>
      </c>
      <c r="J1857" s="12">
        <v>0.004</v>
      </c>
      <c r="K1857" s="12">
        <v>0.004</v>
      </c>
      <c r="L1857" s="12">
        <v>0.013</v>
      </c>
      <c r="M1857" s="12">
        <v>0.003</v>
      </c>
      <c r="N1857" s="9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>
      <c r="A1858" s="6" t="s">
        <v>3693</v>
      </c>
      <c r="B1858" s="6" t="s">
        <v>3694</v>
      </c>
      <c r="C1858" s="5" t="s">
        <v>78</v>
      </c>
      <c r="D1858" s="7">
        <f>IFERROR(__xludf.DUMMYFUNCTION("GOOGLEFINANCE(""ASX:RLT"", ""price"")"),0.75)</f>
        <v>0.75</v>
      </c>
      <c r="E1858" s="8">
        <f>IFERROR(__xludf.DUMMYFUNCTION("GOOGLEFINANCE(""ASX:RLT"", ""closeyest"")"),0.75)</f>
        <v>0.75</v>
      </c>
      <c r="F1858" s="5" t="str">
        <f>IFERROR(__xludf.DUMMYFUNCTION("GOOGLEFINANCE(""ASX:RLT"", ""pe"")"),"#N/A")</f>
        <v>#N/A</v>
      </c>
      <c r="G1858" s="9">
        <f>IFERROR(__xludf.DUMMYFUNCTION("GOOGLEFINANCE(""ASX:RLT"", ""high52"")"),1.5)</f>
        <v>1.5</v>
      </c>
      <c r="H1858" s="9">
        <f>IFERROR(__xludf.DUMMYFUNCTION("GOOGLEFINANCE(""ASX:RLT"", ""low52"")"),0.32)</f>
        <v>0.32</v>
      </c>
      <c r="I1858" s="9">
        <f>IFERROR(__xludf.DUMMYFUNCTION("GOOGLEFINANCE(""ASX:RLT"", ""marketcap"")"),1.42757136E9)</f>
        <v>1427571360</v>
      </c>
      <c r="J1858" s="5"/>
      <c r="K1858" s="5"/>
      <c r="L1858" s="5"/>
      <c r="M1858" s="5"/>
      <c r="N1858" s="9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>
      <c r="A1859" s="6" t="s">
        <v>3695</v>
      </c>
      <c r="B1859" s="6" t="s">
        <v>3696</v>
      </c>
      <c r="C1859" s="5" t="s">
        <v>36</v>
      </c>
      <c r="D1859" s="7">
        <f>IFERROR(__xludf.DUMMYFUNCTION("GOOGLEFINANCE(""ASX:RMBS"", ""price"")"),25.16)</f>
        <v>25.16</v>
      </c>
      <c r="E1859" s="8">
        <f>IFERROR(__xludf.DUMMYFUNCTION("GOOGLEFINANCE(""ASX:RMBS"", ""closeyest"")"),25.16)</f>
        <v>25.16</v>
      </c>
      <c r="F1859" s="5" t="str">
        <f>IFERROR(__xludf.DUMMYFUNCTION("GOOGLEFINANCE(""ASX:RMBS"", ""pe"")"),"#N/A")</f>
        <v>#N/A</v>
      </c>
      <c r="G1859" s="9">
        <f>IFERROR(__xludf.DUMMYFUNCTION("GOOGLEFINANCE(""ASX:RMBS"", ""high52"")"),25.16)</f>
        <v>25.16</v>
      </c>
      <c r="H1859" s="9">
        <f>IFERROR(__xludf.DUMMYFUNCTION("GOOGLEFINANCE(""ASX:RMBS"", ""low52"")"),24.94)</f>
        <v>24.94</v>
      </c>
      <c r="I1859" s="9" t="str">
        <f>IFERROR(__xludf.DUMMYFUNCTION("GOOGLEFINANCE(""ASX:RMBS"", ""marketcap"")"),"#N/A")</f>
        <v>#N/A</v>
      </c>
      <c r="J1859" s="5"/>
      <c r="K1859" s="5"/>
      <c r="L1859" s="5"/>
      <c r="M1859" s="5"/>
      <c r="N1859" s="9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>
      <c r="A1860" s="6" t="s">
        <v>3697</v>
      </c>
      <c r="B1860" s="6" t="s">
        <v>3698</v>
      </c>
      <c r="C1860" s="5" t="s">
        <v>241</v>
      </c>
      <c r="D1860" s="7">
        <f>IFERROR(__xludf.DUMMYFUNCTION("GOOGLEFINANCE(""ASX:RMC"", ""price"")"),0.95)</f>
        <v>0.95</v>
      </c>
      <c r="E1860" s="8">
        <f>IFERROR(__xludf.DUMMYFUNCTION("GOOGLEFINANCE(""ASX:RMC"", ""closeyest"")"),0.96)</f>
        <v>0.96</v>
      </c>
      <c r="F1860" s="9">
        <f>IFERROR(__xludf.DUMMYFUNCTION("GOOGLEFINANCE(""ASX:RMC"", ""pe"")"),10.95)</f>
        <v>10.95</v>
      </c>
      <c r="G1860" s="9">
        <f>IFERROR(__xludf.DUMMYFUNCTION("GOOGLEFINANCE(""ASX:RMC"", ""high52"")"),1.23)</f>
        <v>1.23</v>
      </c>
      <c r="H1860" s="9">
        <f>IFERROR(__xludf.DUMMYFUNCTION("GOOGLEFINANCE(""ASX:RMC"", ""low52"")"),0.81)</f>
        <v>0.81</v>
      </c>
      <c r="I1860" s="9">
        <f>IFERROR(__xludf.DUMMYFUNCTION("GOOGLEFINANCE(""ASX:RMC"", ""marketcap"")"),3.71867892E8)</f>
        <v>371867892</v>
      </c>
      <c r="J1860" s="5"/>
      <c r="K1860" s="5"/>
      <c r="L1860" s="5"/>
      <c r="M1860" s="5"/>
      <c r="N1860" s="9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>
      <c r="A1861" s="6" t="s">
        <v>3699</v>
      </c>
      <c r="B1861" s="6" t="s">
        <v>3700</v>
      </c>
      <c r="C1861" s="5" t="s">
        <v>62</v>
      </c>
      <c r="D1861" s="7">
        <f>IFERROR(__xludf.DUMMYFUNCTION("GOOGLEFINANCE(""ASX:RMD"", ""price"")"),36.5)</f>
        <v>36.5</v>
      </c>
      <c r="E1861" s="8">
        <f>IFERROR(__xludf.DUMMYFUNCTION("GOOGLEFINANCE(""ASX:RMD"", ""closeyest"")"),36.08)</f>
        <v>36.08</v>
      </c>
      <c r="F1861" s="5" t="str">
        <f>IFERROR(__xludf.DUMMYFUNCTION("GOOGLEFINANCE(""ASX:RMD"", ""pe"")"),"#N/A")</f>
        <v>#N/A</v>
      </c>
      <c r="G1861" s="9">
        <f>IFERROR(__xludf.DUMMYFUNCTION("GOOGLEFINANCE(""ASX:RMD"", ""high52"")"),45.25)</f>
        <v>45.25</v>
      </c>
      <c r="H1861" s="9">
        <f>IFERROR(__xludf.DUMMYFUNCTION("GOOGLEFINANCE(""ASX:RMD"", ""low52"")"),32.04)</f>
        <v>32.04</v>
      </c>
      <c r="I1861" s="9">
        <f>IFERROR(__xludf.DUMMYFUNCTION("GOOGLEFINANCE(""ASX:RMD"", ""marketcap"")"),3.6373317734E10)</f>
        <v>36373317734</v>
      </c>
      <c r="J1861" s="5"/>
      <c r="K1861" s="5"/>
      <c r="L1861" s="5"/>
      <c r="M1861" s="5"/>
      <c r="N1861" s="9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>
      <c r="A1862" s="6" t="s">
        <v>3701</v>
      </c>
      <c r="B1862" s="6" t="s">
        <v>3702</v>
      </c>
      <c r="C1862" s="5" t="s">
        <v>39</v>
      </c>
      <c r="D1862" s="7">
        <f>IFERROR(__xludf.DUMMYFUNCTION("GOOGLEFINANCE(""ASX:RMI"", ""price"")"),0.03)</f>
        <v>0.03</v>
      </c>
      <c r="E1862" s="8">
        <f>IFERROR(__xludf.DUMMYFUNCTION("GOOGLEFINANCE(""ASX:RMI"", ""closeyest"")"),0.03)</f>
        <v>0.03</v>
      </c>
      <c r="F1862" s="5" t="str">
        <f>IFERROR(__xludf.DUMMYFUNCTION("GOOGLEFINANCE(""ASX:RMI"", ""pe"")"),"#N/A")</f>
        <v>#N/A</v>
      </c>
      <c r="G1862" s="9">
        <f>IFERROR(__xludf.DUMMYFUNCTION("GOOGLEFINANCE(""ASX:RMI"", ""high52"")"),0.03)</f>
        <v>0.03</v>
      </c>
      <c r="H1862" s="9">
        <f>IFERROR(__xludf.DUMMYFUNCTION("GOOGLEFINANCE(""ASX:RMI"", ""low52"")"),0.0)</f>
        <v>0</v>
      </c>
      <c r="I1862" s="9">
        <f>IFERROR(__xludf.DUMMYFUNCTION("GOOGLEFINANCE(""ASX:RMI"", ""marketcap"")"),1.9939373E7)</f>
        <v>19939373</v>
      </c>
      <c r="J1862" s="9">
        <v>0.001</v>
      </c>
      <c r="K1862" s="9">
        <v>0.001</v>
      </c>
      <c r="L1862" s="9">
        <v>0.001</v>
      </c>
      <c r="M1862" s="9">
        <v>0.001</v>
      </c>
      <c r="N1862" s="9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>
      <c r="A1863" s="6" t="s">
        <v>3703</v>
      </c>
      <c r="B1863" s="6" t="s">
        <v>3704</v>
      </c>
      <c r="C1863" s="5" t="s">
        <v>39</v>
      </c>
      <c r="D1863" s="7">
        <f>IFERROR(__xludf.DUMMYFUNCTION("GOOGLEFINANCE(""ASX:RML"", ""price"")"),0.05)</f>
        <v>0.05</v>
      </c>
      <c r="E1863" s="8">
        <f>IFERROR(__xludf.DUMMYFUNCTION("GOOGLEFINANCE(""ASX:RML"", ""closeyest"")"),0.05)</f>
        <v>0.05</v>
      </c>
      <c r="F1863" s="5" t="str">
        <f>IFERROR(__xludf.DUMMYFUNCTION("GOOGLEFINANCE(""ASX:RML"", ""pe"")"),"#N/A")</f>
        <v>#N/A</v>
      </c>
      <c r="G1863" s="9">
        <f>IFERROR(__xludf.DUMMYFUNCTION("GOOGLEFINANCE(""ASX:RML"", ""high52"")"),0.15)</f>
        <v>0.15</v>
      </c>
      <c r="H1863" s="9">
        <f>IFERROR(__xludf.DUMMYFUNCTION("GOOGLEFINANCE(""ASX:RML"", ""low52"")"),0.01)</f>
        <v>0.01</v>
      </c>
      <c r="I1863" s="9">
        <f>IFERROR(__xludf.DUMMYFUNCTION("GOOGLEFINANCE(""ASX:RML"", ""marketcap"")"),9.3017884E7)</f>
        <v>93017884</v>
      </c>
      <c r="J1863" s="9">
        <v>62.98</v>
      </c>
      <c r="K1863" s="9">
        <v>63.49</v>
      </c>
      <c r="L1863" s="9">
        <v>64.77</v>
      </c>
      <c r="M1863" s="9">
        <v>58.0</v>
      </c>
      <c r="N1863" s="9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>
      <c r="A1864" s="6" t="s">
        <v>3705</v>
      </c>
      <c r="B1864" s="6" t="s">
        <v>3706</v>
      </c>
      <c r="C1864" s="5" t="s">
        <v>88</v>
      </c>
      <c r="D1864" s="7">
        <f>IFERROR(__xludf.DUMMYFUNCTION("GOOGLEFINANCE(""ASX:RMS"", ""price"")"),4.26)</f>
        <v>4.26</v>
      </c>
      <c r="E1864" s="8">
        <f>IFERROR(__xludf.DUMMYFUNCTION("GOOGLEFINANCE(""ASX:RMS"", ""closeyest"")"),4.3)</f>
        <v>4.3</v>
      </c>
      <c r="F1864" s="9">
        <f>IFERROR(__xludf.DUMMYFUNCTION("GOOGLEFINANCE(""ASX:RMS"", ""pe"")"),10.47)</f>
        <v>10.47</v>
      </c>
      <c r="G1864" s="9">
        <f>IFERROR(__xludf.DUMMYFUNCTION("GOOGLEFINANCE(""ASX:RMS"", ""high52"")"),4.45)</f>
        <v>4.45</v>
      </c>
      <c r="H1864" s="9">
        <f>IFERROR(__xludf.DUMMYFUNCTION("GOOGLEFINANCE(""ASX:RMS"", ""low52"")"),2.06)</f>
        <v>2.06</v>
      </c>
      <c r="I1864" s="9">
        <f>IFERROR(__xludf.DUMMYFUNCTION("GOOGLEFINANCE(""ASX:RMS"", ""marketcap"")"),8.20023206E9)</f>
        <v>8200232060</v>
      </c>
      <c r="J1864" s="5"/>
      <c r="K1864" s="5"/>
      <c r="L1864" s="5"/>
      <c r="M1864" s="5"/>
      <c r="N1864" s="9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>
      <c r="A1865" s="6" t="s">
        <v>3707</v>
      </c>
      <c r="B1865" s="6" t="s">
        <v>3708</v>
      </c>
      <c r="C1865" s="5" t="s">
        <v>39</v>
      </c>
      <c r="D1865" s="7">
        <f>IFERROR(__xludf.DUMMYFUNCTION("GOOGLEFINANCE(""ASX:RMX"", ""price"")"),0.03)</f>
        <v>0.03</v>
      </c>
      <c r="E1865" s="8">
        <f>IFERROR(__xludf.DUMMYFUNCTION("GOOGLEFINANCE(""ASX:RMX"", ""closeyest"")"),0.03)</f>
        <v>0.03</v>
      </c>
      <c r="F1865" s="5" t="str">
        <f>IFERROR(__xludf.DUMMYFUNCTION("GOOGLEFINANCE(""ASX:RMX"", ""pe"")"),"#N/A")</f>
        <v>#N/A</v>
      </c>
      <c r="G1865" s="9">
        <f>IFERROR(__xludf.DUMMYFUNCTION("GOOGLEFINANCE(""ASX:RMX"", ""high52"")"),0.05)</f>
        <v>0.05</v>
      </c>
      <c r="H1865" s="9">
        <f>IFERROR(__xludf.DUMMYFUNCTION("GOOGLEFINANCE(""ASX:RMX"", ""low52"")"),0.01)</f>
        <v>0.01</v>
      </c>
      <c r="I1865" s="9">
        <f>IFERROR(__xludf.DUMMYFUNCTION("GOOGLEFINANCE(""ASX:RMX"", ""marketcap"")"),2.8232875E7)</f>
        <v>28232875</v>
      </c>
      <c r="J1865" s="5"/>
      <c r="K1865" s="5"/>
      <c r="L1865" s="5"/>
      <c r="M1865" s="5"/>
      <c r="N1865" s="9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>
      <c r="A1866" s="6" t="s">
        <v>3709</v>
      </c>
      <c r="B1866" s="6" t="s">
        <v>3710</v>
      </c>
      <c r="C1866" s="5" t="s">
        <v>70</v>
      </c>
      <c r="D1866" s="7">
        <f>IFERROR(__xludf.DUMMYFUNCTION("GOOGLEFINANCE(""ASX:RMY"", ""price"")"),0.06)</f>
        <v>0.06</v>
      </c>
      <c r="E1866" s="8">
        <f>IFERROR(__xludf.DUMMYFUNCTION("GOOGLEFINANCE(""ASX:RMY"", ""closeyest"")"),0.06)</f>
        <v>0.06</v>
      </c>
      <c r="F1866" s="5" t="str">
        <f>IFERROR(__xludf.DUMMYFUNCTION("GOOGLEFINANCE(""ASX:RMY"", ""pe"")"),"#N/A")</f>
        <v>#N/A</v>
      </c>
      <c r="G1866" s="9">
        <f>IFERROR(__xludf.DUMMYFUNCTION("GOOGLEFINANCE(""ASX:RMY"", ""high52"")"),0.06)</f>
        <v>0.06</v>
      </c>
      <c r="H1866" s="9">
        <f>IFERROR(__xludf.DUMMYFUNCTION("GOOGLEFINANCE(""ASX:RMY"", ""low52"")"),0.03)</f>
        <v>0.03</v>
      </c>
      <c r="I1866" s="9">
        <f>IFERROR(__xludf.DUMMYFUNCTION("GOOGLEFINANCE(""ASX:RMY"", ""marketcap"")"),3.94613E7)</f>
        <v>39461300</v>
      </c>
      <c r="J1866" s="5"/>
      <c r="K1866" s="5"/>
      <c r="L1866" s="5"/>
      <c r="M1866" s="5"/>
      <c r="N1866" s="9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>
      <c r="A1867" s="6" t="s">
        <v>3711</v>
      </c>
      <c r="B1867" s="6" t="s">
        <v>3712</v>
      </c>
      <c r="C1867" s="5" t="s">
        <v>88</v>
      </c>
      <c r="D1867" s="7">
        <f>IFERROR(__xludf.DUMMYFUNCTION("GOOGLEFINANCE(""ASX:RND"", ""price"")"),2.59)</f>
        <v>2.59</v>
      </c>
      <c r="E1867" s="8">
        <f>IFERROR(__xludf.DUMMYFUNCTION("GOOGLEFINANCE(""ASX:RND"", ""closeyest"")"),2.58)</f>
        <v>2.58</v>
      </c>
      <c r="F1867" s="9">
        <f>IFERROR(__xludf.DUMMYFUNCTION("GOOGLEFINANCE(""ASX:RND"", ""pe"")"),11.22)</f>
        <v>11.22</v>
      </c>
      <c r="G1867" s="9">
        <f>IFERROR(__xludf.DUMMYFUNCTION("GOOGLEFINANCE(""ASX:RND"", ""high52"")"),2.82)</f>
        <v>2.82</v>
      </c>
      <c r="H1867" s="9">
        <f>IFERROR(__xludf.DUMMYFUNCTION("GOOGLEFINANCE(""ASX:RND"", ""low52"")"),1.37)</f>
        <v>1.37</v>
      </c>
      <c r="I1867" s="9">
        <f>IFERROR(__xludf.DUMMYFUNCTION("GOOGLEFINANCE(""ASX:RND"", ""marketcap"")"),1.47308731E8)</f>
        <v>147308731</v>
      </c>
      <c r="J1867" s="5"/>
      <c r="K1867" s="5"/>
      <c r="L1867" s="5"/>
      <c r="M1867" s="5"/>
      <c r="N1867" s="9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>
      <c r="A1868" s="6" t="s">
        <v>3713</v>
      </c>
      <c r="B1868" s="6" t="s">
        <v>3714</v>
      </c>
      <c r="C1868" s="5" t="s">
        <v>143</v>
      </c>
      <c r="D1868" s="7">
        <f>IFERROR(__xludf.DUMMYFUNCTION("GOOGLEFINANCE(""ASX:RNT"", ""price"")"),0.05)</f>
        <v>0.05</v>
      </c>
      <c r="E1868" s="8">
        <f>IFERROR(__xludf.DUMMYFUNCTION("GOOGLEFINANCE(""ASX:RNT"", ""closeyest"")"),0.05)</f>
        <v>0.05</v>
      </c>
      <c r="F1868" s="5" t="str">
        <f>IFERROR(__xludf.DUMMYFUNCTION("GOOGLEFINANCE(""ASX:RNT"", ""pe"")"),"#N/A")</f>
        <v>#N/A</v>
      </c>
      <c r="G1868" s="9">
        <f>IFERROR(__xludf.DUMMYFUNCTION("GOOGLEFINANCE(""ASX:RNT"", ""high52"")"),0.06)</f>
        <v>0.06</v>
      </c>
      <c r="H1868" s="9">
        <f>IFERROR(__xludf.DUMMYFUNCTION("GOOGLEFINANCE(""ASX:RNT"", ""low52"")"),0.01)</f>
        <v>0.01</v>
      </c>
      <c r="I1868" s="9">
        <f>IFERROR(__xludf.DUMMYFUNCTION("GOOGLEFINANCE(""ASX:RNT"", ""marketcap"")"),5.0747355E7)</f>
        <v>50747355</v>
      </c>
      <c r="J1868" s="5"/>
      <c r="K1868" s="5"/>
      <c r="L1868" s="5"/>
      <c r="M1868" s="5"/>
      <c r="N1868" s="9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>
      <c r="A1869" s="6" t="s">
        <v>3715</v>
      </c>
      <c r="B1869" s="6" t="s">
        <v>3716</v>
      </c>
      <c r="C1869" s="5" t="s">
        <v>39</v>
      </c>
      <c r="D1869" s="7">
        <f>IFERROR(__xludf.DUMMYFUNCTION("GOOGLEFINANCE(""ASX:RNU"", ""price"")"),0.09)</f>
        <v>0.09</v>
      </c>
      <c r="E1869" s="8">
        <f>IFERROR(__xludf.DUMMYFUNCTION("GOOGLEFINANCE(""ASX:RNU"", ""closeyest"")"),0.09)</f>
        <v>0.09</v>
      </c>
      <c r="F1869" s="9">
        <f>IFERROR(__xludf.DUMMYFUNCTION("GOOGLEFINANCE(""ASX:RNU"", ""pe"")"),119.44)</f>
        <v>119.44</v>
      </c>
      <c r="G1869" s="9">
        <f>IFERROR(__xludf.DUMMYFUNCTION("GOOGLEFINANCE(""ASX:RNU"", ""high52"")"),0.11)</f>
        <v>0.11</v>
      </c>
      <c r="H1869" s="9">
        <f>IFERROR(__xludf.DUMMYFUNCTION("GOOGLEFINANCE(""ASX:RNU"", ""low52"")"),0.04)</f>
        <v>0.04</v>
      </c>
      <c r="I1869" s="9">
        <f>IFERROR(__xludf.DUMMYFUNCTION("GOOGLEFINANCE(""ASX:RNU"", ""marketcap"")"),2.16054797E8)</f>
        <v>216054797</v>
      </c>
      <c r="J1869" s="5"/>
      <c r="K1869" s="5"/>
      <c r="L1869" s="5"/>
      <c r="M1869" s="5"/>
      <c r="N1869" s="9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>
      <c r="A1870" s="6" t="s">
        <v>3717</v>
      </c>
      <c r="B1870" s="6" t="s">
        <v>3718</v>
      </c>
      <c r="C1870" s="5" t="s">
        <v>276</v>
      </c>
      <c r="D1870" s="7">
        <f>IFERROR(__xludf.DUMMYFUNCTION("GOOGLEFINANCE(""ASX:RNV"", ""price"")"),0.11)</f>
        <v>0.11</v>
      </c>
      <c r="E1870" s="8">
        <f>IFERROR(__xludf.DUMMYFUNCTION("GOOGLEFINANCE(""ASX:RNV"", ""closeyest"")"),0.1)</f>
        <v>0.1</v>
      </c>
      <c r="F1870" s="5" t="str">
        <f>IFERROR(__xludf.DUMMYFUNCTION("GOOGLEFINANCE(""ASX:RNV"", ""pe"")"),"#N/A")</f>
        <v>#N/A</v>
      </c>
      <c r="G1870" s="9">
        <f>IFERROR(__xludf.DUMMYFUNCTION("GOOGLEFINANCE(""ASX:RNV"", ""high52"")"),0.22)</f>
        <v>0.22</v>
      </c>
      <c r="H1870" s="9">
        <f>IFERROR(__xludf.DUMMYFUNCTION("GOOGLEFINANCE(""ASX:RNV"", ""low52"")"),0.09)</f>
        <v>0.09</v>
      </c>
      <c r="I1870" s="9">
        <f>IFERROR(__xludf.DUMMYFUNCTION("GOOGLEFINANCE(""ASX:RNV"", ""marketcap"")"),1.3902261E7)</f>
        <v>13902261</v>
      </c>
      <c r="J1870" s="5"/>
      <c r="K1870" s="5"/>
      <c r="L1870" s="5"/>
      <c r="M1870" s="5"/>
      <c r="N1870" s="9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>
      <c r="A1871" s="6" t="s">
        <v>3719</v>
      </c>
      <c r="B1871" s="6" t="s">
        <v>3720</v>
      </c>
      <c r="C1871" s="5" t="s">
        <v>18</v>
      </c>
      <c r="D1871" s="7">
        <f>IFERROR(__xludf.DUMMYFUNCTION("GOOGLEFINANCE(""ASX:RNX"", ""price"")"),0.0)</f>
        <v>0</v>
      </c>
      <c r="E1871" s="8">
        <f>IFERROR(__xludf.DUMMYFUNCTION("GOOGLEFINANCE(""ASX:RNX"", ""closeyest"")"),0.0)</f>
        <v>0</v>
      </c>
      <c r="F1871" s="5" t="str">
        <f>IFERROR(__xludf.DUMMYFUNCTION("GOOGLEFINANCE(""ASX:RNX"", ""pe"")"),"#N/A")</f>
        <v>#N/A</v>
      </c>
      <c r="G1871" s="9">
        <f>IFERROR(__xludf.DUMMYFUNCTION("GOOGLEFINANCE(""ASX:RNX"", ""high52"")"),0.01)</f>
        <v>0.01</v>
      </c>
      <c r="H1871" s="9">
        <f>IFERROR(__xludf.DUMMYFUNCTION("GOOGLEFINANCE(""ASX:RNX"", ""low52"")"),0.0)</f>
        <v>0</v>
      </c>
      <c r="I1871" s="9">
        <f>IFERROR(__xludf.DUMMYFUNCTION("GOOGLEFINANCE(""ASX:RNX"", ""marketcap"")"),4139592.0)</f>
        <v>4139592</v>
      </c>
      <c r="J1871" s="12">
        <v>0.004</v>
      </c>
      <c r="K1871" s="12">
        <v>0.004</v>
      </c>
      <c r="L1871" s="12">
        <v>0.01</v>
      </c>
      <c r="M1871" s="12">
        <v>0.002</v>
      </c>
      <c r="N1871" s="9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>
      <c r="A1872" s="6" t="s">
        <v>3721</v>
      </c>
      <c r="B1872" s="6" t="s">
        <v>3722</v>
      </c>
      <c r="C1872" s="5" t="s">
        <v>36</v>
      </c>
      <c r="D1872" s="7">
        <f>IFERROR(__xludf.DUMMYFUNCTION("GOOGLEFINANCE(""ASX:ROBO"", ""price"")"),95.25)</f>
        <v>95.25</v>
      </c>
      <c r="E1872" s="8">
        <f>IFERROR(__xludf.DUMMYFUNCTION("GOOGLEFINANCE(""ASX:ROBO"", ""closeyest"")"),94.3)</f>
        <v>94.3</v>
      </c>
      <c r="F1872" s="5" t="str">
        <f>IFERROR(__xludf.DUMMYFUNCTION("GOOGLEFINANCE(""ASX:ROBO"", ""pe"")"),"#N/A")</f>
        <v>#N/A</v>
      </c>
      <c r="G1872" s="9">
        <f>IFERROR(__xludf.DUMMYFUNCTION("GOOGLEFINANCE(""ASX:ROBO"", ""high52"")"),95.99)</f>
        <v>95.99</v>
      </c>
      <c r="H1872" s="9">
        <f>IFERROR(__xludf.DUMMYFUNCTION("GOOGLEFINANCE(""ASX:ROBO"", ""low52"")"),63.01)</f>
        <v>63.01</v>
      </c>
      <c r="I1872" s="9" t="str">
        <f>IFERROR(__xludf.DUMMYFUNCTION("GOOGLEFINANCE(""ASX:ROBO"", ""marketcap"")"),"#N/A")</f>
        <v>#N/A</v>
      </c>
      <c r="J1872" s="5"/>
      <c r="K1872" s="5"/>
      <c r="L1872" s="5"/>
      <c r="M1872" s="5"/>
      <c r="N1872" s="9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>
      <c r="A1873" s="6" t="s">
        <v>3723</v>
      </c>
      <c r="B1873" s="6" t="s">
        <v>3724</v>
      </c>
      <c r="C1873" s="5" t="s">
        <v>184</v>
      </c>
      <c r="D1873" s="7">
        <f>IFERROR(__xludf.DUMMYFUNCTION("GOOGLEFINANCE(""ASX:ROC"", ""price"")"),0.34)</f>
        <v>0.34</v>
      </c>
      <c r="E1873" s="8">
        <f>IFERROR(__xludf.DUMMYFUNCTION("GOOGLEFINANCE(""ASX:ROC"", ""closeyest"")"),0.4)</f>
        <v>0.4</v>
      </c>
      <c r="F1873" s="5" t="str">
        <f>IFERROR(__xludf.DUMMYFUNCTION("GOOGLEFINANCE(""ASX:ROC"", ""pe"")"),"#N/A")</f>
        <v>#N/A</v>
      </c>
      <c r="G1873" s="9">
        <f>IFERROR(__xludf.DUMMYFUNCTION("GOOGLEFINANCE(""ASX:ROC"", ""high52"")"),0.49)</f>
        <v>0.49</v>
      </c>
      <c r="H1873" s="9">
        <f>IFERROR(__xludf.DUMMYFUNCTION("GOOGLEFINANCE(""ASX:ROC"", ""low52"")"),0.06)</f>
        <v>0.06</v>
      </c>
      <c r="I1873" s="9">
        <f>IFERROR(__xludf.DUMMYFUNCTION("GOOGLEFINANCE(""ASX:ROC"", ""marketcap"")"),5.8913432E7)</f>
        <v>58913432</v>
      </c>
      <c r="J1873" s="5"/>
      <c r="K1873" s="5"/>
      <c r="L1873" s="5"/>
      <c r="M1873" s="5"/>
      <c r="N1873" s="9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>
      <c r="A1874" s="6" t="s">
        <v>3725</v>
      </c>
      <c r="B1874" s="6" t="s">
        <v>3726</v>
      </c>
      <c r="C1874" s="5" t="s">
        <v>78</v>
      </c>
      <c r="D1874" s="7">
        <f>IFERROR(__xludf.DUMMYFUNCTION("GOOGLEFINANCE(""ASX:ROG"", ""price"")"),0.0)</f>
        <v>0</v>
      </c>
      <c r="E1874" s="8">
        <f>IFERROR(__xludf.DUMMYFUNCTION("GOOGLEFINANCE(""ASX:ROG"", ""closeyest"")"),0.0)</f>
        <v>0</v>
      </c>
      <c r="F1874" s="5" t="str">
        <f>IFERROR(__xludf.DUMMYFUNCTION("GOOGLEFINANCE(""ASX:ROG"", ""pe"")"),"#N/A")</f>
        <v>#N/A</v>
      </c>
      <c r="G1874" s="9">
        <f>IFERROR(__xludf.DUMMYFUNCTION("GOOGLEFINANCE(""ASX:ROG"", ""high52"")"),0.01)</f>
        <v>0.01</v>
      </c>
      <c r="H1874" s="9">
        <f>IFERROR(__xludf.DUMMYFUNCTION("GOOGLEFINANCE(""ASX:ROG"", ""low52"")"),0.0)</f>
        <v>0</v>
      </c>
      <c r="I1874" s="9">
        <f>IFERROR(__xludf.DUMMYFUNCTION("GOOGLEFINANCE(""ASX:ROG"", ""marketcap"")"),8133342.0)</f>
        <v>8133342</v>
      </c>
      <c r="J1874" s="12">
        <v>0.003</v>
      </c>
      <c r="K1874" s="12">
        <v>0.0025</v>
      </c>
      <c r="L1874" s="12">
        <v>0.008</v>
      </c>
      <c r="M1874" s="12">
        <v>0.002</v>
      </c>
      <c r="N1874" s="9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>
      <c r="A1875" s="6" t="s">
        <v>3727</v>
      </c>
      <c r="B1875" s="6" t="s">
        <v>3728</v>
      </c>
      <c r="C1875" s="5" t="s">
        <v>314</v>
      </c>
      <c r="D1875" s="7">
        <f>IFERROR(__xludf.DUMMYFUNCTION("GOOGLEFINANCE(""ASX:RON"", ""price"")"),0.18)</f>
        <v>0.18</v>
      </c>
      <c r="E1875" s="8">
        <f>IFERROR(__xludf.DUMMYFUNCTION("GOOGLEFINANCE(""ASX:RON"", ""closeyest"")"),0.18)</f>
        <v>0.18</v>
      </c>
      <c r="F1875" s="5" t="str">
        <f>IFERROR(__xludf.DUMMYFUNCTION("GOOGLEFINANCE(""ASX:RON"", ""pe"")"),"#N/A")</f>
        <v>#N/A</v>
      </c>
      <c r="G1875" s="9">
        <f>IFERROR(__xludf.DUMMYFUNCTION("GOOGLEFINANCE(""ASX:RON"", ""high52"")"),0.22)</f>
        <v>0.22</v>
      </c>
      <c r="H1875" s="9">
        <f>IFERROR(__xludf.DUMMYFUNCTION("GOOGLEFINANCE(""ASX:RON"", ""low52"")"),0.12)</f>
        <v>0.12</v>
      </c>
      <c r="I1875" s="9">
        <f>IFERROR(__xludf.DUMMYFUNCTION("GOOGLEFINANCE(""ASX:RON"", ""marketcap"")"),7065624.0)</f>
        <v>7065624</v>
      </c>
      <c r="J1875" s="5"/>
      <c r="K1875" s="5"/>
      <c r="L1875" s="5"/>
      <c r="M1875" s="5"/>
      <c r="N1875" s="9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>
      <c r="A1876" s="6" t="s">
        <v>3729</v>
      </c>
      <c r="B1876" s="6" t="s">
        <v>3730</v>
      </c>
      <c r="C1876" s="5" t="s">
        <v>36</v>
      </c>
      <c r="D1876" s="7">
        <f>IFERROR(__xludf.DUMMYFUNCTION("GOOGLEFINANCE(""ASX:ROYL"", ""price"")"),12.63)</f>
        <v>12.63</v>
      </c>
      <c r="E1876" s="8">
        <f>IFERROR(__xludf.DUMMYFUNCTION("GOOGLEFINANCE(""ASX:ROYL"", ""closeyest"")"),12.52)</f>
        <v>12.52</v>
      </c>
      <c r="F1876" s="5" t="str">
        <f>IFERROR(__xludf.DUMMYFUNCTION("GOOGLEFINANCE(""ASX:ROYL"", ""pe"")"),"#N/A")</f>
        <v>#N/A</v>
      </c>
      <c r="G1876" s="9">
        <f>IFERROR(__xludf.DUMMYFUNCTION("GOOGLEFINANCE(""ASX:ROYL"", ""high52"")"),13.64)</f>
        <v>13.64</v>
      </c>
      <c r="H1876" s="9">
        <f>IFERROR(__xludf.DUMMYFUNCTION("GOOGLEFINANCE(""ASX:ROYL"", ""low52"")"),10.43)</f>
        <v>10.43</v>
      </c>
      <c r="I1876" s="9" t="str">
        <f>IFERROR(__xludf.DUMMYFUNCTION("GOOGLEFINANCE(""ASX:ROYL"", ""marketcap"")"),"#N/A")</f>
        <v>#N/A</v>
      </c>
      <c r="J1876" s="5"/>
      <c r="K1876" s="5"/>
      <c r="L1876" s="5"/>
      <c r="M1876" s="5"/>
      <c r="N1876" s="9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>
      <c r="A1877" s="6" t="s">
        <v>3731</v>
      </c>
      <c r="B1877" s="6" t="s">
        <v>3732</v>
      </c>
      <c r="C1877" s="5" t="s">
        <v>171</v>
      </c>
      <c r="D1877" s="7">
        <f>IFERROR(__xludf.DUMMYFUNCTION("GOOGLEFINANCE(""ASX:RPL"", ""price"")"),3.3)</f>
        <v>3.3</v>
      </c>
      <c r="E1877" s="8">
        <f>IFERROR(__xludf.DUMMYFUNCTION("GOOGLEFINANCE(""ASX:RPL"", ""closeyest"")"),3.28)</f>
        <v>3.28</v>
      </c>
      <c r="F1877" s="9">
        <f>IFERROR(__xludf.DUMMYFUNCTION("GOOGLEFINANCE(""ASX:RPL"", ""pe"")"),28.67)</f>
        <v>28.67</v>
      </c>
      <c r="G1877" s="9">
        <f>IFERROR(__xludf.DUMMYFUNCTION("GOOGLEFINANCE(""ASX:RPL"", ""high52"")"),4.04)</f>
        <v>4.04</v>
      </c>
      <c r="H1877" s="9">
        <f>IFERROR(__xludf.DUMMYFUNCTION("GOOGLEFINANCE(""ASX:RPL"", ""low52"")"),1.62)</f>
        <v>1.62</v>
      </c>
      <c r="I1877" s="9">
        <f>IFERROR(__xludf.DUMMYFUNCTION("GOOGLEFINANCE(""ASX:RPL"", ""marketcap"")"),1.219018662E9)</f>
        <v>1219018662</v>
      </c>
      <c r="J1877" s="5"/>
      <c r="K1877" s="5"/>
      <c r="L1877" s="5"/>
      <c r="M1877" s="5"/>
      <c r="N1877" s="9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>
      <c r="A1878" s="6" t="s">
        <v>3733</v>
      </c>
      <c r="B1878" s="6" t="s">
        <v>3734</v>
      </c>
      <c r="C1878" s="5" t="s">
        <v>246</v>
      </c>
      <c r="D1878" s="7">
        <f>IFERROR(__xludf.DUMMYFUNCTION("GOOGLEFINANCE(""ASX:RPM"", ""price"")"),0.05)</f>
        <v>0.05</v>
      </c>
      <c r="E1878" s="8">
        <f>IFERROR(__xludf.DUMMYFUNCTION("GOOGLEFINANCE(""ASX:RPM"", ""closeyest"")"),0.05)</f>
        <v>0.05</v>
      </c>
      <c r="F1878" s="9">
        <f>IFERROR(__xludf.DUMMYFUNCTION("GOOGLEFINANCE(""ASX:RPM"", ""pe"")"),3.07)</f>
        <v>3.07</v>
      </c>
      <c r="G1878" s="9">
        <f>IFERROR(__xludf.DUMMYFUNCTION("GOOGLEFINANCE(""ASX:RPM"", ""high52"")"),0.07)</f>
        <v>0.07</v>
      </c>
      <c r="H1878" s="9">
        <f>IFERROR(__xludf.DUMMYFUNCTION("GOOGLEFINANCE(""ASX:RPM"", ""low52"")"),0.04)</f>
        <v>0.04</v>
      </c>
      <c r="I1878" s="9">
        <f>IFERROR(__xludf.DUMMYFUNCTION("GOOGLEFINANCE(""ASX:RPM"", ""marketcap"")"),1.3484923E7)</f>
        <v>13484923</v>
      </c>
      <c r="J1878" s="5"/>
      <c r="K1878" s="5"/>
      <c r="L1878" s="5"/>
      <c r="M1878" s="5"/>
      <c r="N1878" s="9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>
      <c r="A1879" s="6" t="s">
        <v>3735</v>
      </c>
      <c r="B1879" s="6" t="s">
        <v>3736</v>
      </c>
      <c r="C1879" s="5" t="s">
        <v>88</v>
      </c>
      <c r="D1879" s="7">
        <f>IFERROR(__xludf.DUMMYFUNCTION("GOOGLEFINANCE(""ASX:RR1"", ""price"")"),0.01)</f>
        <v>0.01</v>
      </c>
      <c r="E1879" s="8">
        <f>IFERROR(__xludf.DUMMYFUNCTION("GOOGLEFINANCE(""ASX:RR1"", ""closeyest"")"),0.01)</f>
        <v>0.01</v>
      </c>
      <c r="F1879" s="5" t="str">
        <f>IFERROR(__xludf.DUMMYFUNCTION("GOOGLEFINANCE(""ASX:RR1"", ""pe"")"),"#N/A")</f>
        <v>#N/A</v>
      </c>
      <c r="G1879" s="9">
        <f>IFERROR(__xludf.DUMMYFUNCTION("GOOGLEFINANCE(""ASX:RR1"", ""high52"")"),0.02)</f>
        <v>0.02</v>
      </c>
      <c r="H1879" s="9">
        <f>IFERROR(__xludf.DUMMYFUNCTION("GOOGLEFINANCE(""ASX:RR1"", ""low52"")"),0.01)</f>
        <v>0.01</v>
      </c>
      <c r="I1879" s="9">
        <f>IFERROR(__xludf.DUMMYFUNCTION("GOOGLEFINANCE(""ASX:RR1"", ""marketcap"")"),1.0580613E7)</f>
        <v>10580613</v>
      </c>
      <c r="J1879" s="5"/>
      <c r="K1879" s="5"/>
      <c r="L1879" s="5"/>
      <c r="M1879" s="5"/>
      <c r="N1879" s="9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>
      <c r="A1880" s="6" t="s">
        <v>3737</v>
      </c>
      <c r="B1880" s="6" t="s">
        <v>3738</v>
      </c>
      <c r="C1880" s="5" t="s">
        <v>18</v>
      </c>
      <c r="D1880" s="7">
        <f>IFERROR(__xludf.DUMMYFUNCTION("GOOGLEFINANCE(""ASX:RRE"", ""price"")"),0.28)</f>
        <v>0.28</v>
      </c>
      <c r="E1880" s="8">
        <f>IFERROR(__xludf.DUMMYFUNCTION("GOOGLEFINANCE(""ASX:RRE"", ""closeyest"")"),0.26)</f>
        <v>0.26</v>
      </c>
      <c r="F1880" s="5" t="str">
        <f>IFERROR(__xludf.DUMMYFUNCTION("GOOGLEFINANCE(""ASX:RRE"", ""pe"")"),"#N/A")</f>
        <v>#N/A</v>
      </c>
      <c r="G1880" s="9">
        <f>IFERROR(__xludf.DUMMYFUNCTION("GOOGLEFINANCE(""ASX:RRE"", ""high52"")"),0.31)</f>
        <v>0.31</v>
      </c>
      <c r="H1880" s="9">
        <f>IFERROR(__xludf.DUMMYFUNCTION("GOOGLEFINANCE(""ASX:RRE"", ""low52"")"),0.15)</f>
        <v>0.15</v>
      </c>
      <c r="I1880" s="9" t="str">
        <f>IFERROR(__xludf.DUMMYFUNCTION("GOOGLEFINANCE(""ASX:RRE"", ""marketcap"")"),"#N/A")</f>
        <v>#N/A</v>
      </c>
      <c r="J1880" s="5"/>
      <c r="K1880" s="5"/>
      <c r="L1880" s="5"/>
      <c r="M1880" s="5"/>
      <c r="N1880" s="9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>
      <c r="A1881" s="6" t="s">
        <v>3739</v>
      </c>
      <c r="B1881" s="6" t="s">
        <v>3740</v>
      </c>
      <c r="C1881" s="5" t="s">
        <v>88</v>
      </c>
      <c r="D1881" s="7">
        <f>IFERROR(__xludf.DUMMYFUNCTION("GOOGLEFINANCE(""ASX:RRL"", ""price"")"),7.65)</f>
        <v>7.65</v>
      </c>
      <c r="E1881" s="8">
        <f>IFERROR(__xludf.DUMMYFUNCTION("GOOGLEFINANCE(""ASX:RRL"", ""closeyest"")"),7.5)</f>
        <v>7.5</v>
      </c>
      <c r="F1881" s="9">
        <f>IFERROR(__xludf.DUMMYFUNCTION("GOOGLEFINANCE(""ASX:RRL"", ""pe"")"),22.89)</f>
        <v>22.89</v>
      </c>
      <c r="G1881" s="9">
        <f>IFERROR(__xludf.DUMMYFUNCTION("GOOGLEFINANCE(""ASX:RRL"", ""high52"")"),7.84)</f>
        <v>7.84</v>
      </c>
      <c r="H1881" s="9">
        <f>IFERROR(__xludf.DUMMYFUNCTION("GOOGLEFINANCE(""ASX:RRL"", ""low52"")"),2.55)</f>
        <v>2.55</v>
      </c>
      <c r="I1881" s="9">
        <f>IFERROR(__xludf.DUMMYFUNCTION("GOOGLEFINANCE(""ASX:RRL"", ""marketcap"")"),5.792979402E9)</f>
        <v>5792979402</v>
      </c>
      <c r="J1881" s="9">
        <v>79.98</v>
      </c>
      <c r="K1881" s="9">
        <v>81.02</v>
      </c>
      <c r="L1881" s="9">
        <v>82.35</v>
      </c>
      <c r="M1881" s="9">
        <v>64.17</v>
      </c>
      <c r="N1881" s="9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>
      <c r="A1882" s="6" t="s">
        <v>3741</v>
      </c>
      <c r="B1882" s="6" t="s">
        <v>3742</v>
      </c>
      <c r="C1882" s="5" t="s">
        <v>39</v>
      </c>
      <c r="D1882" s="7">
        <f>IFERROR(__xludf.DUMMYFUNCTION("GOOGLEFINANCE(""ASX:RRR"", ""price"")"),0.09)</f>
        <v>0.09</v>
      </c>
      <c r="E1882" s="8">
        <f>IFERROR(__xludf.DUMMYFUNCTION("GOOGLEFINANCE(""ASX:RRR"", ""closeyest"")"),0.09)</f>
        <v>0.09</v>
      </c>
      <c r="F1882" s="5" t="str">
        <f>IFERROR(__xludf.DUMMYFUNCTION("GOOGLEFINANCE(""ASX:RRR"", ""pe"")"),"#N/A")</f>
        <v>#N/A</v>
      </c>
      <c r="G1882" s="9">
        <f>IFERROR(__xludf.DUMMYFUNCTION("GOOGLEFINANCE(""ASX:RRR"", ""high52"")"),0.11)</f>
        <v>0.11</v>
      </c>
      <c r="H1882" s="9">
        <f>IFERROR(__xludf.DUMMYFUNCTION("GOOGLEFINANCE(""ASX:RRR"", ""low52"")"),0.02)</f>
        <v>0.02</v>
      </c>
      <c r="I1882" s="9">
        <f>IFERROR(__xludf.DUMMYFUNCTION("GOOGLEFINANCE(""ASX:RRR"", ""marketcap"")"),2.630484E7)</f>
        <v>26304840</v>
      </c>
      <c r="J1882" s="5"/>
      <c r="K1882" s="5"/>
      <c r="L1882" s="5"/>
      <c r="M1882" s="5"/>
      <c r="N1882" s="9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>
      <c r="A1883" s="6" t="s">
        <v>3743</v>
      </c>
      <c r="B1883" s="6" t="s">
        <v>3744</v>
      </c>
      <c r="C1883" s="5" t="s">
        <v>88</v>
      </c>
      <c r="D1883" s="7">
        <f>IFERROR(__xludf.DUMMYFUNCTION("GOOGLEFINANCE(""ASX:RSG"", ""price"")"),1.29)</f>
        <v>1.29</v>
      </c>
      <c r="E1883" s="8">
        <f>IFERROR(__xludf.DUMMYFUNCTION("GOOGLEFINANCE(""ASX:RSG"", ""closeyest"")"),1.27)</f>
        <v>1.27</v>
      </c>
      <c r="F1883" s="9">
        <f>IFERROR(__xludf.DUMMYFUNCTION("GOOGLEFINANCE(""ASX:RSG"", ""pe"")"),151.35)</f>
        <v>151.35</v>
      </c>
      <c r="G1883" s="9">
        <f>IFERROR(__xludf.DUMMYFUNCTION("GOOGLEFINANCE(""ASX:RSG"", ""high52"")"),1.32)</f>
        <v>1.32</v>
      </c>
      <c r="H1883" s="9">
        <f>IFERROR(__xludf.DUMMYFUNCTION("GOOGLEFINANCE(""ASX:RSG"", ""low52"")"),0.34)</f>
        <v>0.34</v>
      </c>
      <c r="I1883" s="9">
        <f>IFERROR(__xludf.DUMMYFUNCTION("GOOGLEFINANCE(""ASX:RSG"", ""marketcap"")"),2.747517538E9)</f>
        <v>2747517538</v>
      </c>
      <c r="J1883" s="5"/>
      <c r="K1883" s="5"/>
      <c r="L1883" s="5"/>
      <c r="M1883" s="5"/>
      <c r="N1883" s="9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>
      <c r="A1884" s="6" t="s">
        <v>3745</v>
      </c>
      <c r="B1884" s="6" t="s">
        <v>3746</v>
      </c>
      <c r="C1884" s="5" t="s">
        <v>36</v>
      </c>
      <c r="D1884" s="7">
        <f>IFERROR(__xludf.DUMMYFUNCTION("GOOGLEFINANCE(""ASX:RSM"", ""price"")"),20.48)</f>
        <v>20.48</v>
      </c>
      <c r="E1884" s="8">
        <f>IFERROR(__xludf.DUMMYFUNCTION("GOOGLEFINANCE(""ASX:RSM"", ""closeyest"")"),20.48)</f>
        <v>20.48</v>
      </c>
      <c r="F1884" s="5" t="str">
        <f>IFERROR(__xludf.DUMMYFUNCTION("GOOGLEFINANCE(""ASX:RSM"", ""pe"")"),"#N/A")</f>
        <v>#N/A</v>
      </c>
      <c r="G1884" s="9">
        <f>IFERROR(__xludf.DUMMYFUNCTION("GOOGLEFINANCE(""ASX:RSM"", ""high52"")"),21.25)</f>
        <v>21.25</v>
      </c>
      <c r="H1884" s="9">
        <f>IFERROR(__xludf.DUMMYFUNCTION("GOOGLEFINANCE(""ASX:RSM"", ""low52"")"),20.04)</f>
        <v>20.04</v>
      </c>
      <c r="I1884" s="9" t="str">
        <f>IFERROR(__xludf.DUMMYFUNCTION("GOOGLEFINANCE(""ASX:RSM"", ""marketcap"")"),"#N/A")</f>
        <v>#N/A</v>
      </c>
      <c r="J1884" s="5"/>
      <c r="K1884" s="5"/>
      <c r="L1884" s="5"/>
      <c r="M1884" s="5"/>
      <c r="N1884" s="9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>
      <c r="A1885" s="6" t="s">
        <v>3747</v>
      </c>
      <c r="B1885" s="6" t="s">
        <v>3748</v>
      </c>
      <c r="C1885" s="5" t="s">
        <v>36</v>
      </c>
      <c r="D1885" s="7">
        <f>IFERROR(__xludf.DUMMYFUNCTION("GOOGLEFINANCE(""ASX:RSSL"", ""price"")"),10.27)</f>
        <v>10.27</v>
      </c>
      <c r="E1885" s="8">
        <f>IFERROR(__xludf.DUMMYFUNCTION("GOOGLEFINANCE(""ASX:RSSL"", ""closeyest"")"),10.27)</f>
        <v>10.27</v>
      </c>
      <c r="F1885" s="5" t="str">
        <f>IFERROR(__xludf.DUMMYFUNCTION("GOOGLEFINANCE(""ASX:RSSL"", ""pe"")"),"#N/A")</f>
        <v>#N/A</v>
      </c>
      <c r="G1885" s="9">
        <f>IFERROR(__xludf.DUMMYFUNCTION("GOOGLEFINANCE(""ASX:RSSL"", ""high52"")"),10.79)</f>
        <v>10.79</v>
      </c>
      <c r="H1885" s="9">
        <f>IFERROR(__xludf.DUMMYFUNCTION("GOOGLEFINANCE(""ASX:RSSL"", ""low52"")"),7.85)</f>
        <v>7.85</v>
      </c>
      <c r="I1885" s="9" t="str">
        <f>IFERROR(__xludf.DUMMYFUNCTION("GOOGLEFINANCE(""ASX:RSSL"", ""marketcap"")"),"#N/A")</f>
        <v>#N/A</v>
      </c>
      <c r="J1885" s="5"/>
      <c r="K1885" s="5"/>
      <c r="L1885" s="5"/>
      <c r="M1885" s="5"/>
      <c r="N1885" s="9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>
      <c r="A1886" s="6" t="s">
        <v>3749</v>
      </c>
      <c r="B1886" s="6" t="s">
        <v>3750</v>
      </c>
      <c r="C1886" s="5" t="s">
        <v>88</v>
      </c>
      <c r="D1886" s="7">
        <f>IFERROR(__xludf.DUMMYFUNCTION("GOOGLEFINANCE(""ASX:RTG"", ""price"")"),0.04)</f>
        <v>0.04</v>
      </c>
      <c r="E1886" s="8">
        <f>IFERROR(__xludf.DUMMYFUNCTION("GOOGLEFINANCE(""ASX:RTG"", ""closeyest"")"),0.04)</f>
        <v>0.04</v>
      </c>
      <c r="F1886" s="5" t="str">
        <f>IFERROR(__xludf.DUMMYFUNCTION("GOOGLEFINANCE(""ASX:RTG"", ""pe"")"),"#N/A")</f>
        <v>#N/A</v>
      </c>
      <c r="G1886" s="9">
        <f>IFERROR(__xludf.DUMMYFUNCTION("GOOGLEFINANCE(""ASX:RTG"", ""high52"")"),0.04)</f>
        <v>0.04</v>
      </c>
      <c r="H1886" s="9">
        <f>IFERROR(__xludf.DUMMYFUNCTION("GOOGLEFINANCE(""ASX:RTG"", ""low52"")"),0.02)</f>
        <v>0.02</v>
      </c>
      <c r="I1886" s="9">
        <f>IFERROR(__xludf.DUMMYFUNCTION("GOOGLEFINANCE(""ASX:RTG"", ""marketcap"")"),5.7351148E7)</f>
        <v>57351148</v>
      </c>
      <c r="J1886" s="5"/>
      <c r="K1886" s="5"/>
      <c r="L1886" s="5"/>
      <c r="M1886" s="5"/>
      <c r="N1886" s="9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>
      <c r="A1887" s="6" t="s">
        <v>3751</v>
      </c>
      <c r="B1887" s="6" t="s">
        <v>3752</v>
      </c>
      <c r="C1887" s="5" t="s">
        <v>15</v>
      </c>
      <c r="D1887" s="7">
        <f>IFERROR(__xludf.DUMMYFUNCTION("GOOGLEFINANCE(""ASX:RTH"", ""price"")"),0.83)</f>
        <v>0.83</v>
      </c>
      <c r="E1887" s="8">
        <f>IFERROR(__xludf.DUMMYFUNCTION("GOOGLEFINANCE(""ASX:RTH"", ""closeyest"")"),0.82)</f>
        <v>0.82</v>
      </c>
      <c r="F1887" s="9">
        <f>IFERROR(__xludf.DUMMYFUNCTION("GOOGLEFINANCE(""ASX:RTH"", ""pe"")"),73.6)</f>
        <v>73.6</v>
      </c>
      <c r="G1887" s="9">
        <f>IFERROR(__xludf.DUMMYFUNCTION("GOOGLEFINANCE(""ASX:RTH"", ""high52"")"),1.3)</f>
        <v>1.3</v>
      </c>
      <c r="H1887" s="9">
        <f>IFERROR(__xludf.DUMMYFUNCTION("GOOGLEFINANCE(""ASX:RTH"", ""low52"")"),0.65)</f>
        <v>0.65</v>
      </c>
      <c r="I1887" s="9">
        <f>IFERROR(__xludf.DUMMYFUNCTION("GOOGLEFINANCE(""ASX:RTH"", ""marketcap"")"),3.9505858E7)</f>
        <v>39505858</v>
      </c>
      <c r="J1887" s="5"/>
      <c r="K1887" s="5"/>
      <c r="L1887" s="5"/>
      <c r="M1887" s="5"/>
      <c r="N1887" s="9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>
      <c r="A1888" s="6" t="s">
        <v>3753</v>
      </c>
      <c r="B1888" s="6" t="s">
        <v>3754</v>
      </c>
      <c r="C1888" s="5" t="s">
        <v>18</v>
      </c>
      <c r="D1888" s="7">
        <f>IFERROR(__xludf.DUMMYFUNCTION("GOOGLEFINANCE(""ASX:RTR"", ""price"")"),0.05)</f>
        <v>0.05</v>
      </c>
      <c r="E1888" s="8">
        <f>IFERROR(__xludf.DUMMYFUNCTION("GOOGLEFINANCE(""ASX:RTR"", ""closeyest"")"),0.05)</f>
        <v>0.05</v>
      </c>
      <c r="F1888" s="5" t="str">
        <f>IFERROR(__xludf.DUMMYFUNCTION("GOOGLEFINANCE(""ASX:RTR"", ""pe"")"),"#N/A")</f>
        <v>#N/A</v>
      </c>
      <c r="G1888" s="9">
        <f>IFERROR(__xludf.DUMMYFUNCTION("GOOGLEFINANCE(""ASX:RTR"", ""high52"")"),0.05)</f>
        <v>0.05</v>
      </c>
      <c r="H1888" s="9">
        <f>IFERROR(__xludf.DUMMYFUNCTION("GOOGLEFINANCE(""ASX:RTR"", ""low52"")"),0.02)</f>
        <v>0.02</v>
      </c>
      <c r="I1888" s="9">
        <f>IFERROR(__xludf.DUMMYFUNCTION("GOOGLEFINANCE(""ASX:RTR"", ""marketcap"")"),6.3059974E7)</f>
        <v>63059974</v>
      </c>
      <c r="J1888" s="5"/>
      <c r="K1888" s="5"/>
      <c r="L1888" s="5"/>
      <c r="M1888" s="5"/>
      <c r="N1888" s="9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>
      <c r="A1889" s="6" t="s">
        <v>3755</v>
      </c>
      <c r="B1889" s="6" t="s">
        <v>3756</v>
      </c>
      <c r="C1889" s="5" t="s">
        <v>15</v>
      </c>
      <c r="D1889" s="7">
        <f>IFERROR(__xludf.DUMMYFUNCTION("GOOGLEFINANCE(""ASX:RUL"", ""price"")"),4.98)</f>
        <v>4.98</v>
      </c>
      <c r="E1889" s="8">
        <f>IFERROR(__xludf.DUMMYFUNCTION("GOOGLEFINANCE(""ASX:RUL"", ""closeyest"")"),4.96)</f>
        <v>4.96</v>
      </c>
      <c r="F1889" s="9">
        <f>IFERROR(__xludf.DUMMYFUNCTION("GOOGLEFINANCE(""ASX:RUL"", ""pe"")"),249000.0)</f>
        <v>249000</v>
      </c>
      <c r="G1889" s="9">
        <f>IFERROR(__xludf.DUMMYFUNCTION("GOOGLEFINANCE(""ASX:RUL"", ""high52"")"),4.98)</f>
        <v>4.98</v>
      </c>
      <c r="H1889" s="9">
        <f>IFERROR(__xludf.DUMMYFUNCTION("GOOGLEFINANCE(""ASX:RUL"", ""low52"")"),2.39)</f>
        <v>2.39</v>
      </c>
      <c r="I1889" s="9">
        <f>IFERROR(__xludf.DUMMYFUNCTION("GOOGLEFINANCE(""ASX:RUL"", ""marketcap"")"),1.103109844E9)</f>
        <v>1103109844</v>
      </c>
      <c r="J1889" s="5"/>
      <c r="K1889" s="5"/>
      <c r="L1889" s="5"/>
      <c r="M1889" s="5"/>
      <c r="N1889" s="9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>
      <c r="A1890" s="6" t="s">
        <v>3757</v>
      </c>
      <c r="B1890" s="6" t="s">
        <v>3758</v>
      </c>
      <c r="C1890" s="5" t="s">
        <v>28</v>
      </c>
      <c r="D1890" s="7">
        <f>IFERROR(__xludf.DUMMYFUNCTION("GOOGLEFINANCE(""ASX:RVT"", ""price"")"),0.08)</f>
        <v>0.08</v>
      </c>
      <c r="E1890" s="8">
        <f>IFERROR(__xludf.DUMMYFUNCTION("GOOGLEFINANCE(""ASX:RVT"", ""closeyest"")"),0.08)</f>
        <v>0.08</v>
      </c>
      <c r="F1890" s="5" t="str">
        <f>IFERROR(__xludf.DUMMYFUNCTION("GOOGLEFINANCE(""ASX:RVT"", ""pe"")"),"#N/A")</f>
        <v>#N/A</v>
      </c>
      <c r="G1890" s="9">
        <f>IFERROR(__xludf.DUMMYFUNCTION("GOOGLEFINANCE(""ASX:RVT"", ""high52"")"),0.22)</f>
        <v>0.22</v>
      </c>
      <c r="H1890" s="9">
        <f>IFERROR(__xludf.DUMMYFUNCTION("GOOGLEFINANCE(""ASX:RVT"", ""low52"")"),0.06)</f>
        <v>0.06</v>
      </c>
      <c r="I1890" s="9">
        <f>IFERROR(__xludf.DUMMYFUNCTION("GOOGLEFINANCE(""ASX:RVT"", ""marketcap"")"),1.6995735E7)</f>
        <v>16995735</v>
      </c>
      <c r="J1890" s="5"/>
      <c r="K1890" s="5"/>
      <c r="L1890" s="5"/>
      <c r="M1890" s="5"/>
      <c r="N1890" s="9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>
      <c r="A1891" s="6" t="s">
        <v>3757</v>
      </c>
      <c r="B1891" s="6" t="s">
        <v>3758</v>
      </c>
      <c r="C1891" s="5" t="s">
        <v>28</v>
      </c>
      <c r="D1891" s="7">
        <f>IFERROR(__xludf.DUMMYFUNCTION("GOOGLEFINANCE(""ASX:RVT"", ""price"")"),0.08)</f>
        <v>0.08</v>
      </c>
      <c r="E1891" s="8">
        <f>IFERROR(__xludf.DUMMYFUNCTION("GOOGLEFINANCE(""ASX:RVT"", ""closeyest"")"),0.08)</f>
        <v>0.08</v>
      </c>
      <c r="F1891" s="5" t="str">
        <f>IFERROR(__xludf.DUMMYFUNCTION("GOOGLEFINANCE(""ASX:RVT"", ""pe"")"),"#N/A")</f>
        <v>#N/A</v>
      </c>
      <c r="G1891" s="9">
        <f>IFERROR(__xludf.DUMMYFUNCTION("GOOGLEFINANCE(""ASX:RVT"", ""high52"")"),0.22)</f>
        <v>0.22</v>
      </c>
      <c r="H1891" s="9">
        <f>IFERROR(__xludf.DUMMYFUNCTION("GOOGLEFINANCE(""ASX:RVT"", ""low52"")"),0.06)</f>
        <v>0.06</v>
      </c>
      <c r="I1891" s="9">
        <f>IFERROR(__xludf.DUMMYFUNCTION("GOOGLEFINANCE(""ASX:RVT"", ""marketcap"")"),1.6995735E7)</f>
        <v>16995735</v>
      </c>
      <c r="J1891" s="5"/>
      <c r="K1891" s="5"/>
      <c r="L1891" s="5"/>
      <c r="M1891" s="5"/>
      <c r="N1891" s="9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>
      <c r="A1892" s="13" t="s">
        <v>3757</v>
      </c>
      <c r="B1892" s="13" t="s">
        <v>3758</v>
      </c>
      <c r="C1892" s="14" t="s">
        <v>28</v>
      </c>
      <c r="D1892" s="15">
        <f>IFERROR(__xludf.DUMMYFUNCTION("GOOGLEFINANCE(""ASX:RVT"", ""price"")"),0.08)</f>
        <v>0.08</v>
      </c>
      <c r="E1892" s="8">
        <f>IFERROR(__xludf.DUMMYFUNCTION("GOOGLEFINANCE(""ASX:RVT"", ""closeyest"")"),0.08)</f>
        <v>0.08</v>
      </c>
      <c r="F1892" s="5" t="str">
        <f>IFERROR(__xludf.DUMMYFUNCTION("GOOGLEFINANCE(""ASX:RVT"", ""pe"")"),"#N/A")</f>
        <v>#N/A</v>
      </c>
      <c r="G1892" s="9">
        <f>IFERROR(__xludf.DUMMYFUNCTION("GOOGLEFINANCE(""ASX:RVT"", ""high52"")"),0.22)</f>
        <v>0.22</v>
      </c>
      <c r="H1892" s="9">
        <f>IFERROR(__xludf.DUMMYFUNCTION("GOOGLEFINANCE(""ASX:RVT"", ""low52"")"),0.06)</f>
        <v>0.06</v>
      </c>
      <c r="I1892" s="9">
        <f>IFERROR(__xludf.DUMMYFUNCTION("GOOGLEFINANCE(""ASX:RVT"", ""marketcap"")"),1.6995735E7)</f>
        <v>16995735</v>
      </c>
      <c r="J1892" s="5"/>
      <c r="K1892" s="5"/>
      <c r="L1892" s="5"/>
      <c r="M1892" s="5"/>
      <c r="N1892" s="9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>
      <c r="A1893" s="6" t="s">
        <v>3759</v>
      </c>
      <c r="B1893" s="6" t="s">
        <v>3760</v>
      </c>
      <c r="C1893" s="5" t="s">
        <v>1666</v>
      </c>
      <c r="D1893" s="7">
        <f>IFERROR(__xludf.DUMMYFUNCTION("GOOGLEFINANCE(""ASX:RWC"", ""price"")"),3.92)</f>
        <v>3.92</v>
      </c>
      <c r="E1893" s="8">
        <f>IFERROR(__xludf.DUMMYFUNCTION("GOOGLEFINANCE(""ASX:RWC"", ""closeyest"")"),3.91)</f>
        <v>3.91</v>
      </c>
      <c r="F1893" s="9">
        <f>IFERROR(__xludf.DUMMYFUNCTION("GOOGLEFINANCE(""ASX:RWC"", ""pe"")"),16.3)</f>
        <v>16.3</v>
      </c>
      <c r="G1893" s="9">
        <f>IFERROR(__xludf.DUMMYFUNCTION("GOOGLEFINANCE(""ASX:RWC"", ""high52"")"),5.52)</f>
        <v>5.52</v>
      </c>
      <c r="H1893" s="9">
        <f>IFERROR(__xludf.DUMMYFUNCTION("GOOGLEFINANCE(""ASX:RWC"", ""low52"")"),3.68)</f>
        <v>3.68</v>
      </c>
      <c r="I1893" s="9">
        <f>IFERROR(__xludf.DUMMYFUNCTION("GOOGLEFINANCE(""ASX:RWC"", ""marketcap"")"),3.004417026E9)</f>
        <v>3004417026</v>
      </c>
      <c r="J1893" s="5"/>
      <c r="K1893" s="5"/>
      <c r="L1893" s="5"/>
      <c r="M1893" s="5"/>
      <c r="N1893" s="9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>
      <c r="A1894" s="6" t="s">
        <v>3761</v>
      </c>
      <c r="B1894" s="6" t="s">
        <v>3762</v>
      </c>
      <c r="C1894" s="5" t="s">
        <v>267</v>
      </c>
      <c r="D1894" s="7">
        <f>IFERROR(__xludf.DUMMYFUNCTION("GOOGLEFINANCE(""ASX:RWD"", ""price"")"),0.04)</f>
        <v>0.04</v>
      </c>
      <c r="E1894" s="8">
        <f>IFERROR(__xludf.DUMMYFUNCTION("GOOGLEFINANCE(""ASX:RWD"", ""closeyest"")"),0.04)</f>
        <v>0.04</v>
      </c>
      <c r="F1894" s="5" t="str">
        <f>IFERROR(__xludf.DUMMYFUNCTION("GOOGLEFINANCE(""ASX:RWD"", ""pe"")"),"#N/A")</f>
        <v>#N/A</v>
      </c>
      <c r="G1894" s="9">
        <f>IFERROR(__xludf.DUMMYFUNCTION("GOOGLEFINANCE(""ASX:RWD"", ""high52"")"),0.07)</f>
        <v>0.07</v>
      </c>
      <c r="H1894" s="9">
        <f>IFERROR(__xludf.DUMMYFUNCTION("GOOGLEFINANCE(""ASX:RWD"", ""low52"")"),0.04)</f>
        <v>0.04</v>
      </c>
      <c r="I1894" s="9">
        <f>IFERROR(__xludf.DUMMYFUNCTION("GOOGLEFINANCE(""ASX:RWD"", ""marketcap"")"),1.0420339E7)</f>
        <v>10420339</v>
      </c>
      <c r="J1894" s="5"/>
      <c r="K1894" s="5"/>
      <c r="L1894" s="5"/>
      <c r="M1894" s="5"/>
      <c r="N1894" s="9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>
      <c r="A1895" s="6" t="s">
        <v>3763</v>
      </c>
      <c r="B1895" s="6" t="s">
        <v>3764</v>
      </c>
      <c r="C1895" s="5" t="s">
        <v>1291</v>
      </c>
      <c r="D1895" s="7">
        <f>IFERROR(__xludf.DUMMYFUNCTION("GOOGLEFINANCE(""ASX:RWL"", ""price"")"),0.22)</f>
        <v>0.22</v>
      </c>
      <c r="E1895" s="8">
        <f>IFERROR(__xludf.DUMMYFUNCTION("GOOGLEFINANCE(""ASX:RWL"", ""closeyest"")"),0.2)</f>
        <v>0.2</v>
      </c>
      <c r="F1895" s="5" t="str">
        <f>IFERROR(__xludf.DUMMYFUNCTION("GOOGLEFINANCE(""ASX:RWL"", ""pe"")"),"#N/A")</f>
        <v>#N/A</v>
      </c>
      <c r="G1895" s="9">
        <f>IFERROR(__xludf.DUMMYFUNCTION("GOOGLEFINANCE(""ASX:RWL"", ""high52"")"),0.37)</f>
        <v>0.37</v>
      </c>
      <c r="H1895" s="9">
        <f>IFERROR(__xludf.DUMMYFUNCTION("GOOGLEFINANCE(""ASX:RWL"", ""low52"")"),0.11)</f>
        <v>0.11</v>
      </c>
      <c r="I1895" s="9">
        <f>IFERROR(__xludf.DUMMYFUNCTION("GOOGLEFINANCE(""ASX:RWL"", ""marketcap"")"),5.1650543E7)</f>
        <v>51650543</v>
      </c>
      <c r="J1895" s="5"/>
      <c r="K1895" s="5"/>
      <c r="L1895" s="5"/>
      <c r="M1895" s="5"/>
      <c r="N1895" s="9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>
      <c r="A1896" s="6" t="s">
        <v>3763</v>
      </c>
      <c r="B1896" s="6" t="s">
        <v>3764</v>
      </c>
      <c r="C1896" s="5" t="s">
        <v>1291</v>
      </c>
      <c r="D1896" s="7">
        <f>IFERROR(__xludf.DUMMYFUNCTION("GOOGLEFINANCE(""ASX:RWL"", ""price"")"),0.22)</f>
        <v>0.22</v>
      </c>
      <c r="E1896" s="8">
        <f>IFERROR(__xludf.DUMMYFUNCTION("GOOGLEFINANCE(""ASX:RWL"", ""closeyest"")"),0.2)</f>
        <v>0.2</v>
      </c>
      <c r="F1896" s="5" t="str">
        <f>IFERROR(__xludf.DUMMYFUNCTION("GOOGLEFINANCE(""ASX:RWL"", ""pe"")"),"#N/A")</f>
        <v>#N/A</v>
      </c>
      <c r="G1896" s="9">
        <f>IFERROR(__xludf.DUMMYFUNCTION("GOOGLEFINANCE(""ASX:RWL"", ""high52"")"),0.37)</f>
        <v>0.37</v>
      </c>
      <c r="H1896" s="9">
        <f>IFERROR(__xludf.DUMMYFUNCTION("GOOGLEFINANCE(""ASX:RWL"", ""low52"")"),0.11)</f>
        <v>0.11</v>
      </c>
      <c r="I1896" s="9">
        <f>IFERROR(__xludf.DUMMYFUNCTION("GOOGLEFINANCE(""ASX:RWL"", ""marketcap"")"),5.1650543E7)</f>
        <v>51650543</v>
      </c>
      <c r="J1896" s="5"/>
      <c r="K1896" s="5"/>
      <c r="L1896" s="5"/>
      <c r="M1896" s="5"/>
      <c r="N1896" s="9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>
      <c r="A1897" s="13" t="s">
        <v>3763</v>
      </c>
      <c r="B1897" s="13" t="s">
        <v>3764</v>
      </c>
      <c r="C1897" s="14" t="s">
        <v>1291</v>
      </c>
      <c r="D1897" s="15">
        <f>IFERROR(__xludf.DUMMYFUNCTION("GOOGLEFINANCE(""ASX:RWL"", ""price"")"),0.22)</f>
        <v>0.22</v>
      </c>
      <c r="E1897" s="8">
        <f>IFERROR(__xludf.DUMMYFUNCTION("GOOGLEFINANCE(""ASX:RWL"", ""closeyest"")"),0.2)</f>
        <v>0.2</v>
      </c>
      <c r="F1897" s="5" t="str">
        <f>IFERROR(__xludf.DUMMYFUNCTION("GOOGLEFINANCE(""ASX:RWL"", ""pe"")"),"#N/A")</f>
        <v>#N/A</v>
      </c>
      <c r="G1897" s="9">
        <f>IFERROR(__xludf.DUMMYFUNCTION("GOOGLEFINANCE(""ASX:RWL"", ""high52"")"),0.37)</f>
        <v>0.37</v>
      </c>
      <c r="H1897" s="9">
        <f>IFERROR(__xludf.DUMMYFUNCTION("GOOGLEFINANCE(""ASX:RWL"", ""low52"")"),0.11)</f>
        <v>0.11</v>
      </c>
      <c r="I1897" s="9">
        <f>IFERROR(__xludf.DUMMYFUNCTION("GOOGLEFINANCE(""ASX:RWL"", ""marketcap"")"),5.1650543E7)</f>
        <v>51650543</v>
      </c>
      <c r="J1897" s="5"/>
      <c r="K1897" s="5"/>
      <c r="L1897" s="5"/>
      <c r="M1897" s="5"/>
      <c r="N1897" s="9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>
      <c r="A1898" s="6" t="s">
        <v>3765</v>
      </c>
      <c r="B1898" s="6" t="s">
        <v>3766</v>
      </c>
      <c r="C1898" s="5" t="s">
        <v>88</v>
      </c>
      <c r="D1898" s="7">
        <f>IFERROR(__xludf.DUMMYFUNCTION("GOOGLEFINANCE(""ASX:RXL"", ""price"")"),0.53)</f>
        <v>0.53</v>
      </c>
      <c r="E1898" s="8">
        <f>IFERROR(__xludf.DUMMYFUNCTION("GOOGLEFINANCE(""ASX:RXL"", ""closeyest"")"),0.51)</f>
        <v>0.51</v>
      </c>
      <c r="F1898" s="5" t="str">
        <f>IFERROR(__xludf.DUMMYFUNCTION("GOOGLEFINANCE(""ASX:RXL"", ""pe"")"),"#N/A")</f>
        <v>#N/A</v>
      </c>
      <c r="G1898" s="9">
        <f>IFERROR(__xludf.DUMMYFUNCTION("GOOGLEFINANCE(""ASX:RXL"", ""high52"")"),0.6)</f>
        <v>0.6</v>
      </c>
      <c r="H1898" s="9">
        <f>IFERROR(__xludf.DUMMYFUNCTION("GOOGLEFINANCE(""ASX:RXL"", ""low52"")"),0.21)</f>
        <v>0.21</v>
      </c>
      <c r="I1898" s="9">
        <f>IFERROR(__xludf.DUMMYFUNCTION("GOOGLEFINANCE(""ASX:RXL"", ""marketcap"")"),7.21546842E8)</f>
        <v>721546842</v>
      </c>
      <c r="J1898" s="5"/>
      <c r="K1898" s="5"/>
      <c r="L1898" s="5"/>
      <c r="M1898" s="5"/>
      <c r="N1898" s="9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>
      <c r="A1899" s="6" t="s">
        <v>3767</v>
      </c>
      <c r="B1899" s="6" t="s">
        <v>3768</v>
      </c>
      <c r="C1899" s="5" t="s">
        <v>3040</v>
      </c>
      <c r="D1899" s="7">
        <f>IFERROR(__xludf.DUMMYFUNCTION("GOOGLEFINANCE(""ASX:RXR"", ""price"")"),5.81)</f>
        <v>5.81</v>
      </c>
      <c r="E1899" s="8">
        <f>IFERROR(__xludf.DUMMYFUNCTION("GOOGLEFINANCE(""ASX:RXR"", ""closeyest"")"),5.7)</f>
        <v>5.7</v>
      </c>
      <c r="F1899" s="5" t="str">
        <f>IFERROR(__xludf.DUMMYFUNCTION("GOOGLEFINANCE(""ASX:RXR"", ""pe"")"),"#N/A")</f>
        <v>#N/A</v>
      </c>
      <c r="G1899" s="9">
        <f>IFERROR(__xludf.DUMMYFUNCTION("GOOGLEFINANCE(""ASX:RXR"", ""high52"")"),5.94)</f>
        <v>5.94</v>
      </c>
      <c r="H1899" s="9">
        <f>IFERROR(__xludf.DUMMYFUNCTION("GOOGLEFINANCE(""ASX:RXR"", ""low52"")"),3.2)</f>
        <v>3.2</v>
      </c>
      <c r="I1899" s="9">
        <f>IFERROR(__xludf.DUMMYFUNCTION("GOOGLEFINANCE(""ASX:RXR"", ""marketcap"")"),1.460706529E9)</f>
        <v>1460706529</v>
      </c>
      <c r="J1899" s="9">
        <v>0.008</v>
      </c>
      <c r="K1899" s="9">
        <v>0.008</v>
      </c>
      <c r="L1899" s="9">
        <v>0.013</v>
      </c>
      <c r="M1899" s="9">
        <v>0.003</v>
      </c>
      <c r="N1899" s="9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>
      <c r="A1900" s="6" t="s">
        <v>3769</v>
      </c>
      <c r="B1900" s="6" t="s">
        <v>3770</v>
      </c>
      <c r="C1900" s="5" t="s">
        <v>171</v>
      </c>
      <c r="D1900" s="7">
        <f>IFERROR(__xludf.DUMMYFUNCTION("GOOGLEFINANCE(""ASX:RYD"", ""price"")"),1.98)</f>
        <v>1.98</v>
      </c>
      <c r="E1900" s="8">
        <f>IFERROR(__xludf.DUMMYFUNCTION("GOOGLEFINANCE(""ASX:RYD"", ""closeyest"")"),1.97)</f>
        <v>1.97</v>
      </c>
      <c r="F1900" s="9">
        <f>IFERROR(__xludf.DUMMYFUNCTION("GOOGLEFINANCE(""ASX:RYD"", ""pe"")"),72.87)</f>
        <v>72.87</v>
      </c>
      <c r="G1900" s="9">
        <f>IFERROR(__xludf.DUMMYFUNCTION("GOOGLEFINANCE(""ASX:RYD"", ""high52"")"),2.0)</f>
        <v>2</v>
      </c>
      <c r="H1900" s="9">
        <f>IFERROR(__xludf.DUMMYFUNCTION("GOOGLEFINANCE(""ASX:RYD"", ""low52"")"),1.12)</f>
        <v>1.12</v>
      </c>
      <c r="I1900" s="9">
        <f>IFERROR(__xludf.DUMMYFUNCTION("GOOGLEFINANCE(""ASX:RYD"", ""marketcap"")"),1.59488585E8)</f>
        <v>159488585</v>
      </c>
      <c r="J1900" s="5"/>
      <c r="K1900" s="5"/>
      <c r="L1900" s="5"/>
      <c r="M1900" s="5"/>
      <c r="N1900" s="9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>
      <c r="A1901" s="6" t="s">
        <v>3771</v>
      </c>
      <c r="B1901" s="6" t="s">
        <v>3772</v>
      </c>
      <c r="C1901" s="5" t="s">
        <v>3773</v>
      </c>
      <c r="D1901" s="7">
        <f>IFERROR(__xludf.DUMMYFUNCTION("GOOGLEFINANCE(""ASX:RYM"", ""price"")"),2.55)</f>
        <v>2.55</v>
      </c>
      <c r="E1901" s="8">
        <f>IFERROR(__xludf.DUMMYFUNCTION("GOOGLEFINANCE(""ASX:RYM"", ""closeyest"")"),2.55)</f>
        <v>2.55</v>
      </c>
      <c r="F1901" s="5" t="str">
        <f>IFERROR(__xludf.DUMMYFUNCTION("GOOGLEFINANCE(""ASX:RYM"", ""pe"")"),"#N/A")</f>
        <v>#N/A</v>
      </c>
      <c r="G1901" s="9">
        <f>IFERROR(__xludf.DUMMYFUNCTION("GOOGLEFINANCE(""ASX:RYM"", ""high52"")"),2.62)</f>
        <v>2.62</v>
      </c>
      <c r="H1901" s="9">
        <f>IFERROR(__xludf.DUMMYFUNCTION("GOOGLEFINANCE(""ASX:RYM"", ""low52"")"),2.27)</f>
        <v>2.27</v>
      </c>
      <c r="I1901" s="9">
        <f>IFERROR(__xludf.DUMMYFUNCTION("GOOGLEFINANCE(""ASX:RYM"", ""marketcap"")"),2.966519E9)</f>
        <v>2966519000</v>
      </c>
      <c r="J1901" s="5"/>
      <c r="K1901" s="5"/>
      <c r="L1901" s="5"/>
      <c r="M1901" s="5"/>
      <c r="N1901" s="9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>
      <c r="A1902" s="6" t="s">
        <v>3774</v>
      </c>
      <c r="B1902" s="6" t="s">
        <v>3775</v>
      </c>
      <c r="C1902" s="5" t="s">
        <v>39</v>
      </c>
      <c r="D1902" s="7">
        <f>IFERROR(__xludf.DUMMYFUNCTION("GOOGLEFINANCE(""ASX:RYZ"", ""price"")"),0.0)</f>
        <v>0</v>
      </c>
      <c r="E1902" s="8">
        <f>IFERROR(__xludf.DUMMYFUNCTION("GOOGLEFINANCE(""ASX:RYZ"", ""closeyest"")"),0.04)</f>
        <v>0.04</v>
      </c>
      <c r="F1902" s="5" t="str">
        <f>IFERROR(__xludf.DUMMYFUNCTION("GOOGLEFINANCE(""ASX:RYZ"", ""pe"")"),"#N/A")</f>
        <v>#N/A</v>
      </c>
      <c r="G1902" s="5" t="str">
        <f>IFERROR(__xludf.DUMMYFUNCTION("GOOGLEFINANCE(""ASX:RYZ"", ""high52"")"),"#N/A")</f>
        <v>#N/A</v>
      </c>
      <c r="H1902" s="5" t="str">
        <f>IFERROR(__xludf.DUMMYFUNCTION("GOOGLEFINANCE(""ASX:RYZ"", ""low52"")"),"#N/A")</f>
        <v>#N/A</v>
      </c>
      <c r="I1902" s="9" t="str">
        <f>IFERROR(__xludf.DUMMYFUNCTION("GOOGLEFINANCE(""ASX:RYZ"", ""marketcap"")"),"#N/A")</f>
        <v>#N/A</v>
      </c>
      <c r="J1902" s="16" t="s">
        <v>3776</v>
      </c>
      <c r="K1902" s="5"/>
      <c r="L1902" s="5"/>
      <c r="M1902" s="5"/>
      <c r="N1902" s="9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>
      <c r="A1903" s="6" t="s">
        <v>3777</v>
      </c>
      <c r="B1903" s="6" t="s">
        <v>3778</v>
      </c>
      <c r="C1903" s="5" t="s">
        <v>15</v>
      </c>
      <c r="D1903" s="7">
        <f>IFERROR(__xludf.DUMMYFUNCTION("GOOGLEFINANCE(""ASX:RZI"", ""price"")"),0.8)</f>
        <v>0.8</v>
      </c>
      <c r="E1903" s="8">
        <f>IFERROR(__xludf.DUMMYFUNCTION("GOOGLEFINANCE(""ASX:RZI"", ""closeyest"")"),0.77)</f>
        <v>0.77</v>
      </c>
      <c r="F1903" s="5" t="str">
        <f>IFERROR(__xludf.DUMMYFUNCTION("GOOGLEFINANCE(""ASX:RZI"", ""pe"")"),"#N/A")</f>
        <v>#N/A</v>
      </c>
      <c r="G1903" s="9">
        <f>IFERROR(__xludf.DUMMYFUNCTION("GOOGLEFINANCE(""ASX:RZI"", ""high52"")"),0.96)</f>
        <v>0.96</v>
      </c>
      <c r="H1903" s="9">
        <f>IFERROR(__xludf.DUMMYFUNCTION("GOOGLEFINANCE(""ASX:RZI"", ""low52"")"),0.43)</f>
        <v>0.43</v>
      </c>
      <c r="I1903" s="9">
        <f>IFERROR(__xludf.DUMMYFUNCTION("GOOGLEFINANCE(""ASX:RZI"", ""marketcap"")"),8.3233798E7)</f>
        <v>83233798</v>
      </c>
      <c r="J1903" s="5"/>
      <c r="K1903" s="5"/>
      <c r="L1903" s="5"/>
      <c r="M1903" s="5"/>
      <c r="N1903" s="9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>
      <c r="A1904" s="6" t="s">
        <v>3779</v>
      </c>
      <c r="B1904" s="6" t="s">
        <v>3780</v>
      </c>
      <c r="C1904" s="5" t="s">
        <v>88</v>
      </c>
      <c r="D1904" s="7">
        <f>IFERROR(__xludf.DUMMYFUNCTION("GOOGLEFINANCE(""ASX:S2R"", ""price"")"),0.07)</f>
        <v>0.07</v>
      </c>
      <c r="E1904" s="8">
        <f>IFERROR(__xludf.DUMMYFUNCTION("GOOGLEFINANCE(""ASX:S2R"", ""closeyest"")"),0.07)</f>
        <v>0.07</v>
      </c>
      <c r="F1904" s="5" t="str">
        <f>IFERROR(__xludf.DUMMYFUNCTION("GOOGLEFINANCE(""ASX:S2R"", ""pe"")"),"#N/A")</f>
        <v>#N/A</v>
      </c>
      <c r="G1904" s="9">
        <f>IFERROR(__xludf.DUMMYFUNCTION("GOOGLEFINANCE(""ASX:S2R"", ""high52"")"),0.14)</f>
        <v>0.14</v>
      </c>
      <c r="H1904" s="9">
        <f>IFERROR(__xludf.DUMMYFUNCTION("GOOGLEFINANCE(""ASX:S2R"", ""low52"")"),0.06)</f>
        <v>0.06</v>
      </c>
      <c r="I1904" s="9">
        <f>IFERROR(__xludf.DUMMYFUNCTION("GOOGLEFINANCE(""ASX:S2R"", ""marketcap"")"),3.5022128E7)</f>
        <v>35022128</v>
      </c>
      <c r="J1904" s="9">
        <v>10.28</v>
      </c>
      <c r="K1904" s="9">
        <v>10.39</v>
      </c>
      <c r="L1904" s="9">
        <v>11.59</v>
      </c>
      <c r="M1904" s="9">
        <v>9.34</v>
      </c>
      <c r="N1904" s="9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>
      <c r="A1905" s="6" t="s">
        <v>3781</v>
      </c>
      <c r="B1905" s="6" t="s">
        <v>3782</v>
      </c>
      <c r="C1905" s="5" t="s">
        <v>18</v>
      </c>
      <c r="D1905" s="7">
        <f>IFERROR(__xludf.DUMMYFUNCTION("GOOGLEFINANCE(""ASX:S32"", ""price"")"),3.84)</f>
        <v>3.84</v>
      </c>
      <c r="E1905" s="8">
        <f>IFERROR(__xludf.DUMMYFUNCTION("GOOGLEFINANCE(""ASX:S32"", ""closeyest"")"),3.78)</f>
        <v>3.78</v>
      </c>
      <c r="F1905" s="9">
        <f>IFERROR(__xludf.DUMMYFUNCTION("GOOGLEFINANCE(""ASX:S32"", ""pe"")"),36.56)</f>
        <v>36.56</v>
      </c>
      <c r="G1905" s="9">
        <f>IFERROR(__xludf.DUMMYFUNCTION("GOOGLEFINANCE(""ASX:S32"", ""high52"")"),3.87)</f>
        <v>3.87</v>
      </c>
      <c r="H1905" s="9">
        <f>IFERROR(__xludf.DUMMYFUNCTION("GOOGLEFINANCE(""ASX:S32"", ""low52"")"),2.47)</f>
        <v>2.47</v>
      </c>
      <c r="I1905" s="9">
        <f>IFERROR(__xludf.DUMMYFUNCTION("GOOGLEFINANCE(""ASX:S32"", ""marketcap"")"),1.7245627774E10)</f>
        <v>17245627774</v>
      </c>
      <c r="J1905" s="5"/>
      <c r="K1905" s="5"/>
      <c r="L1905" s="5"/>
      <c r="M1905" s="5"/>
      <c r="N1905" s="9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>
      <c r="A1906" s="6" t="s">
        <v>3783</v>
      </c>
      <c r="B1906" s="6" t="s">
        <v>3784</v>
      </c>
      <c r="C1906" s="5" t="s">
        <v>36</v>
      </c>
      <c r="D1906" s="7" t="str">
        <f>IFERROR(__xludf.DUMMYFUNCTION("GOOGLEFINANCE(""ASX:S3GO"", ""price"")"),"#N/A")</f>
        <v>#N/A</v>
      </c>
      <c r="E1906" s="8" t="str">
        <f>IFERROR(__xludf.DUMMYFUNCTION("GOOGLEFINANCE(""ASX:S3GO"", ""closeyest"")"),"#N/A")</f>
        <v>#N/A</v>
      </c>
      <c r="F1906" s="5" t="str">
        <f>IFERROR(__xludf.DUMMYFUNCTION("GOOGLEFINANCE(""ASX:S3GO"", ""pe"")"),"#N/A")</f>
        <v>#N/A</v>
      </c>
      <c r="G1906" s="5" t="str">
        <f>IFERROR(__xludf.DUMMYFUNCTION("GOOGLEFINANCE(""ASX:S3GO"", ""high52"")"),"#N/A")</f>
        <v>#N/A</v>
      </c>
      <c r="H1906" s="5" t="str">
        <f>IFERROR(__xludf.DUMMYFUNCTION("GOOGLEFINANCE(""ASX:S3GO"", ""low52"")"),"#N/A")</f>
        <v>#N/A</v>
      </c>
      <c r="I1906" s="9" t="str">
        <f>IFERROR(__xludf.DUMMYFUNCTION("GOOGLEFINANCE(""ASX:S3GO"", ""marketcap"")"),"#N/A")</f>
        <v>#N/A</v>
      </c>
      <c r="J1906" s="12">
        <v>6.53</v>
      </c>
      <c r="K1906" s="12">
        <v>6.54</v>
      </c>
      <c r="L1906" s="12">
        <v>7.12</v>
      </c>
      <c r="M1906" s="12">
        <v>5.88</v>
      </c>
      <c r="N1906" s="9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>
      <c r="A1907" s="6" t="s">
        <v>3785</v>
      </c>
      <c r="B1907" s="6" t="s">
        <v>3786</v>
      </c>
      <c r="C1907" s="5" t="s">
        <v>399</v>
      </c>
      <c r="D1907" s="7">
        <f>IFERROR(__xludf.DUMMYFUNCTION("GOOGLEFINANCE(""ASX:S66"", ""price"")"),0.26)</f>
        <v>0.26</v>
      </c>
      <c r="E1907" s="8">
        <f>IFERROR(__xludf.DUMMYFUNCTION("GOOGLEFINANCE(""ASX:S66"", ""closeyest"")"),0.25)</f>
        <v>0.25</v>
      </c>
      <c r="F1907" s="9">
        <f>IFERROR(__xludf.DUMMYFUNCTION("GOOGLEFINANCE(""ASX:S66"", ""pe"")"),6.69)</f>
        <v>6.69</v>
      </c>
      <c r="G1907" s="9">
        <f>IFERROR(__xludf.DUMMYFUNCTION("GOOGLEFINANCE(""ASX:S66"", ""high52"")"),0.28)</f>
        <v>0.28</v>
      </c>
      <c r="H1907" s="9">
        <f>IFERROR(__xludf.DUMMYFUNCTION("GOOGLEFINANCE(""ASX:S66"", ""low52"")"),0.12)</f>
        <v>0.12</v>
      </c>
      <c r="I1907" s="9">
        <f>IFERROR(__xludf.DUMMYFUNCTION("GOOGLEFINANCE(""ASX:S66"", ""marketcap"")"),3.4471162E7)</f>
        <v>34471162</v>
      </c>
      <c r="J1907" s="5"/>
      <c r="K1907" s="5"/>
      <c r="L1907" s="5"/>
      <c r="M1907" s="5"/>
      <c r="N1907" s="9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>
      <c r="A1908" s="6" t="s">
        <v>3787</v>
      </c>
      <c r="B1908" s="6" t="s">
        <v>3788</v>
      </c>
      <c r="C1908" s="5" t="s">
        <v>78</v>
      </c>
      <c r="D1908" s="7">
        <f>IFERROR(__xludf.DUMMYFUNCTION("GOOGLEFINANCE(""ASX:SAN"", ""price"")"),0.01)</f>
        <v>0.01</v>
      </c>
      <c r="E1908" s="8">
        <f>IFERROR(__xludf.DUMMYFUNCTION("GOOGLEFINANCE(""ASX:SAN"", ""closeyest"")"),0.01)</f>
        <v>0.01</v>
      </c>
      <c r="F1908" s="5" t="str">
        <f>IFERROR(__xludf.DUMMYFUNCTION("GOOGLEFINANCE(""ASX:SAN"", ""pe"")"),"#N/A")</f>
        <v>#N/A</v>
      </c>
      <c r="G1908" s="9">
        <f>IFERROR(__xludf.DUMMYFUNCTION("GOOGLEFINANCE(""ASX:SAN"", ""high52"")"),0.02)</f>
        <v>0.02</v>
      </c>
      <c r="H1908" s="9">
        <f>IFERROR(__xludf.DUMMYFUNCTION("GOOGLEFINANCE(""ASX:SAN"", ""low52"")"),0.0)</f>
        <v>0</v>
      </c>
      <c r="I1908" s="9">
        <f>IFERROR(__xludf.DUMMYFUNCTION("GOOGLEFINANCE(""ASX:SAN"", ""marketcap"")"),2251260.0)</f>
        <v>2251260</v>
      </c>
      <c r="J1908" s="5"/>
      <c r="K1908" s="5"/>
      <c r="L1908" s="5"/>
      <c r="M1908" s="5"/>
      <c r="N1908" s="9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>
      <c r="A1909" s="6" t="s">
        <v>3789</v>
      </c>
      <c r="B1909" s="6" t="s">
        <v>3790</v>
      </c>
      <c r="C1909" s="5" t="s">
        <v>171</v>
      </c>
      <c r="D1909" s="7">
        <f>IFERROR(__xludf.DUMMYFUNCTION("GOOGLEFINANCE(""ASX:SB2"", ""price"")"),0.75)</f>
        <v>0.75</v>
      </c>
      <c r="E1909" s="8">
        <f>IFERROR(__xludf.DUMMYFUNCTION("GOOGLEFINANCE(""ASX:SB2"", ""closeyest"")"),0.73)</f>
        <v>0.73</v>
      </c>
      <c r="F1909" s="9">
        <f>IFERROR(__xludf.DUMMYFUNCTION("GOOGLEFINANCE(""ASX:SB2"", ""pe"")"),20.64)</f>
        <v>20.64</v>
      </c>
      <c r="G1909" s="9">
        <f>IFERROR(__xludf.DUMMYFUNCTION("GOOGLEFINANCE(""ASX:SB2"", ""high52"")"),0.86)</f>
        <v>0.86</v>
      </c>
      <c r="H1909" s="9">
        <f>IFERROR(__xludf.DUMMYFUNCTION("GOOGLEFINANCE(""ASX:SB2"", ""low52"")"),0.59)</f>
        <v>0.59</v>
      </c>
      <c r="I1909" s="9">
        <f>IFERROR(__xludf.DUMMYFUNCTION("GOOGLEFINANCE(""ASX:SB2"", ""marketcap"")"),6.2639332E7)</f>
        <v>62639332</v>
      </c>
      <c r="J1909" s="5"/>
      <c r="K1909" s="5"/>
      <c r="L1909" s="5"/>
      <c r="M1909" s="5"/>
      <c r="N1909" s="9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>
      <c r="A1910" s="6" t="s">
        <v>3791</v>
      </c>
      <c r="B1910" s="6" t="s">
        <v>3792</v>
      </c>
      <c r="C1910" s="5" t="s">
        <v>88</v>
      </c>
      <c r="D1910" s="7">
        <f>IFERROR(__xludf.DUMMYFUNCTION("GOOGLEFINANCE(""ASX:SBM"", ""price"")"),0.6)</f>
        <v>0.6</v>
      </c>
      <c r="E1910" s="8">
        <f>IFERROR(__xludf.DUMMYFUNCTION("GOOGLEFINANCE(""ASX:SBM"", ""closeyest"")"),0.61)</f>
        <v>0.61</v>
      </c>
      <c r="F1910" s="5" t="str">
        <f>IFERROR(__xludf.DUMMYFUNCTION("GOOGLEFINANCE(""ASX:SBM"", ""pe"")"),"#N/A")</f>
        <v>#N/A</v>
      </c>
      <c r="G1910" s="9">
        <f>IFERROR(__xludf.DUMMYFUNCTION("GOOGLEFINANCE(""ASX:SBM"", ""high52"")"),0.66)</f>
        <v>0.66</v>
      </c>
      <c r="H1910" s="9">
        <f>IFERROR(__xludf.DUMMYFUNCTION("GOOGLEFINANCE(""ASX:SBM"", ""low52"")"),0.19)</f>
        <v>0.19</v>
      </c>
      <c r="I1910" s="9">
        <f>IFERROR(__xludf.DUMMYFUNCTION("GOOGLEFINANCE(""ASX:SBM"", ""marketcap"")"),7.19828059E8)</f>
        <v>719828059</v>
      </c>
      <c r="J1910" s="5"/>
      <c r="K1910" s="5"/>
      <c r="L1910" s="5"/>
      <c r="M1910" s="5"/>
      <c r="N1910" s="9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>
      <c r="A1911" s="6" t="s">
        <v>3793</v>
      </c>
      <c r="B1911" s="6" t="s">
        <v>3794</v>
      </c>
      <c r="C1911" s="5" t="s">
        <v>39</v>
      </c>
      <c r="D1911" s="7">
        <f>IFERROR(__xludf.DUMMYFUNCTION("GOOGLEFINANCE(""ASX:SBR"", ""price"")"),0.01)</f>
        <v>0.01</v>
      </c>
      <c r="E1911" s="8">
        <f>IFERROR(__xludf.DUMMYFUNCTION("GOOGLEFINANCE(""ASX:SBR"", ""closeyest"")"),0.01)</f>
        <v>0.01</v>
      </c>
      <c r="F1911" s="5" t="str">
        <f>IFERROR(__xludf.DUMMYFUNCTION("GOOGLEFINANCE(""ASX:SBR"", ""pe"")"),"#N/A")</f>
        <v>#N/A</v>
      </c>
      <c r="G1911" s="9">
        <f>IFERROR(__xludf.DUMMYFUNCTION("GOOGLEFINANCE(""ASX:SBR"", ""high52"")"),0.01)</f>
        <v>0.01</v>
      </c>
      <c r="H1911" s="9">
        <f>IFERROR(__xludf.DUMMYFUNCTION("GOOGLEFINANCE(""ASX:SBR"", ""low52"")"),0.01)</f>
        <v>0.01</v>
      </c>
      <c r="I1911" s="9">
        <f>IFERROR(__xludf.DUMMYFUNCTION("GOOGLEFINANCE(""ASX:SBR"", ""marketcap"")"),5206893.0)</f>
        <v>5206893</v>
      </c>
      <c r="J1911" s="9">
        <v>0.001</v>
      </c>
      <c r="K1911" s="9">
        <v>0.001</v>
      </c>
      <c r="L1911" s="9">
        <v>0.004</v>
      </c>
      <c r="M1911" s="9">
        <v>0.001</v>
      </c>
      <c r="N1911" s="9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>
      <c r="A1912" s="6" t="s">
        <v>3795</v>
      </c>
      <c r="B1912" s="6" t="s">
        <v>3796</v>
      </c>
      <c r="C1912" s="5" t="s">
        <v>143</v>
      </c>
      <c r="D1912" s="7">
        <f>IFERROR(__xludf.DUMMYFUNCTION("GOOGLEFINANCE(""ASX:SCG"", ""price"")"),4.16)</f>
        <v>4.16</v>
      </c>
      <c r="E1912" s="8">
        <f>IFERROR(__xludf.DUMMYFUNCTION("GOOGLEFINANCE(""ASX:SCG"", ""closeyest"")"),4.13)</f>
        <v>4.13</v>
      </c>
      <c r="F1912" s="9">
        <f>IFERROR(__xludf.DUMMYFUNCTION("GOOGLEFINANCE(""ASX:SCG"", ""pe"")"),15.21)</f>
        <v>15.21</v>
      </c>
      <c r="G1912" s="9">
        <f>IFERROR(__xludf.DUMMYFUNCTION("GOOGLEFINANCE(""ASX:SCG"", ""high52"")"),4.27)</f>
        <v>4.27</v>
      </c>
      <c r="H1912" s="9">
        <f>IFERROR(__xludf.DUMMYFUNCTION("GOOGLEFINANCE(""ASX:SCG"", ""low52"")"),3.23)</f>
        <v>3.23</v>
      </c>
      <c r="I1912" s="9">
        <f>IFERROR(__xludf.DUMMYFUNCTION("GOOGLEFINANCE(""ASX:SCG"", ""marketcap"")"),2.1700289764E10)</f>
        <v>21700289764</v>
      </c>
      <c r="J1912" s="5"/>
      <c r="K1912" s="5"/>
      <c r="L1912" s="5"/>
      <c r="M1912" s="5"/>
      <c r="N1912" s="9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>
      <c r="A1913" s="6" t="s">
        <v>3797</v>
      </c>
      <c r="B1913" s="6" t="s">
        <v>3798</v>
      </c>
      <c r="C1913" s="5" t="s">
        <v>39</v>
      </c>
      <c r="D1913" s="7">
        <f>IFERROR(__xludf.DUMMYFUNCTION("GOOGLEFINANCE(""ASX:SCN"", ""price"")"),0.04)</f>
        <v>0.04</v>
      </c>
      <c r="E1913" s="8">
        <f>IFERROR(__xludf.DUMMYFUNCTION("GOOGLEFINANCE(""ASX:SCN"", ""closeyest"")"),0.04)</f>
        <v>0.04</v>
      </c>
      <c r="F1913" s="5" t="str">
        <f>IFERROR(__xludf.DUMMYFUNCTION("GOOGLEFINANCE(""ASX:SCN"", ""pe"")"),"#N/A")</f>
        <v>#N/A</v>
      </c>
      <c r="G1913" s="9">
        <f>IFERROR(__xludf.DUMMYFUNCTION("GOOGLEFINANCE(""ASX:SCN"", ""high52"")"),0.05)</f>
        <v>0.05</v>
      </c>
      <c r="H1913" s="9">
        <f>IFERROR(__xludf.DUMMYFUNCTION("GOOGLEFINANCE(""ASX:SCN"", ""low52"")"),0.02)</f>
        <v>0.02</v>
      </c>
      <c r="I1913" s="9">
        <f>IFERROR(__xludf.DUMMYFUNCTION("GOOGLEFINANCE(""ASX:SCN"", ""marketcap"")"),2.2863816E7)</f>
        <v>22863816</v>
      </c>
      <c r="J1913" s="5"/>
      <c r="K1913" s="5"/>
      <c r="L1913" s="5"/>
      <c r="M1913" s="5"/>
      <c r="N1913" s="9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>
      <c r="A1914" s="6" t="s">
        <v>3799</v>
      </c>
      <c r="B1914" s="6" t="s">
        <v>3800</v>
      </c>
      <c r="C1914" s="5" t="s">
        <v>171</v>
      </c>
      <c r="D1914" s="7">
        <f>IFERROR(__xludf.DUMMYFUNCTION("GOOGLEFINANCE(""ASX:SCP"", ""price"")"),0.1)</f>
        <v>0.1</v>
      </c>
      <c r="E1914" s="8">
        <f>IFERROR(__xludf.DUMMYFUNCTION("GOOGLEFINANCE(""ASX:SCP"", ""closeyest"")"),0.1)</f>
        <v>0.1</v>
      </c>
      <c r="F1914" s="5" t="str">
        <f>IFERROR(__xludf.DUMMYFUNCTION("GOOGLEFINANCE(""ASX:SCP"", ""pe"")"),"#N/A")</f>
        <v>#N/A</v>
      </c>
      <c r="G1914" s="9">
        <f>IFERROR(__xludf.DUMMYFUNCTION("GOOGLEFINANCE(""ASX:SCP"", ""high52"")"),0.22)</f>
        <v>0.22</v>
      </c>
      <c r="H1914" s="9">
        <f>IFERROR(__xludf.DUMMYFUNCTION("GOOGLEFINANCE(""ASX:SCP"", ""low52"")"),0.08)</f>
        <v>0.08</v>
      </c>
      <c r="I1914" s="9">
        <f>IFERROR(__xludf.DUMMYFUNCTION("GOOGLEFINANCE(""ASX:SCP"", ""marketcap"")"),8809070.0)</f>
        <v>8809070</v>
      </c>
      <c r="J1914" s="5"/>
      <c r="K1914" s="5"/>
      <c r="L1914" s="5"/>
      <c r="M1914" s="5"/>
      <c r="N1914" s="9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>
      <c r="A1915" s="6" t="s">
        <v>3801</v>
      </c>
      <c r="B1915" s="6" t="s">
        <v>3802</v>
      </c>
      <c r="C1915" s="5" t="s">
        <v>161</v>
      </c>
      <c r="D1915" s="7">
        <f>IFERROR(__xludf.DUMMYFUNCTION("GOOGLEFINANCE(""ASX:SCT"", ""price"")"),0.7)</f>
        <v>0.7</v>
      </c>
      <c r="E1915" s="8">
        <f>IFERROR(__xludf.DUMMYFUNCTION("GOOGLEFINANCE(""ASX:SCT"", ""closeyest"")"),0.7)</f>
        <v>0.7</v>
      </c>
      <c r="F1915" s="5" t="str">
        <f>IFERROR(__xludf.DUMMYFUNCTION("GOOGLEFINANCE(""ASX:SCT"", ""pe"")"),"#N/A")</f>
        <v>#N/A</v>
      </c>
      <c r="G1915" s="9">
        <f>IFERROR(__xludf.DUMMYFUNCTION("GOOGLEFINANCE(""ASX:SCT"", ""high52"")"),0.7)</f>
        <v>0.7</v>
      </c>
      <c r="H1915" s="9">
        <f>IFERROR(__xludf.DUMMYFUNCTION("GOOGLEFINANCE(""ASX:SCT"", ""low52"")"),0.7)</f>
        <v>0.7</v>
      </c>
      <c r="I1915" s="9">
        <f>IFERROR(__xludf.DUMMYFUNCTION("GOOGLEFINANCE(""ASX:SCT"", ""marketcap"")"),1138893.0)</f>
        <v>1138893</v>
      </c>
      <c r="J1915" s="5"/>
      <c r="K1915" s="5"/>
      <c r="L1915" s="5"/>
      <c r="M1915" s="5"/>
      <c r="N1915" s="9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>
      <c r="A1916" s="6" t="s">
        <v>3803</v>
      </c>
      <c r="B1916" s="6" t="s">
        <v>3804</v>
      </c>
      <c r="C1916" s="5" t="s">
        <v>567</v>
      </c>
      <c r="D1916" s="7">
        <f>IFERROR(__xludf.DUMMYFUNCTION("GOOGLEFINANCE(""ASX:SDF"", ""price"")"),5.27)</f>
        <v>5.27</v>
      </c>
      <c r="E1916" s="8">
        <f>IFERROR(__xludf.DUMMYFUNCTION("GOOGLEFINANCE(""ASX:SDF"", ""closeyest"")"),5.21)</f>
        <v>5.21</v>
      </c>
      <c r="F1916" s="9">
        <f>IFERROR(__xludf.DUMMYFUNCTION("GOOGLEFINANCE(""ASX:SDF"", ""pe"")"),17.39)</f>
        <v>17.39</v>
      </c>
      <c r="G1916" s="9">
        <f>IFERROR(__xludf.DUMMYFUNCTION("GOOGLEFINANCE(""ASX:SDF"", ""high52"")"),6.67)</f>
        <v>6.67</v>
      </c>
      <c r="H1916" s="9">
        <f>IFERROR(__xludf.DUMMYFUNCTION("GOOGLEFINANCE(""ASX:SDF"", ""low52"")"),4.88)</f>
        <v>4.88</v>
      </c>
      <c r="I1916" s="9">
        <f>IFERROR(__xludf.DUMMYFUNCTION("GOOGLEFINANCE(""ASX:SDF"", ""marketcap"")"),5.860192548E9)</f>
        <v>5860192548</v>
      </c>
      <c r="J1916" s="5"/>
      <c r="K1916" s="5"/>
      <c r="L1916" s="5"/>
      <c r="M1916" s="5"/>
      <c r="N1916" s="9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>
      <c r="A1917" s="6" t="s">
        <v>3805</v>
      </c>
      <c r="B1917" s="6" t="s">
        <v>3806</v>
      </c>
      <c r="C1917" s="5" t="s">
        <v>276</v>
      </c>
      <c r="D1917" s="7">
        <f>IFERROR(__xludf.DUMMYFUNCTION("GOOGLEFINANCE(""ASX:SDI"", ""price"")"),0.94)</f>
        <v>0.94</v>
      </c>
      <c r="E1917" s="8">
        <f>IFERROR(__xludf.DUMMYFUNCTION("GOOGLEFINANCE(""ASX:SDI"", ""closeyest"")"),0.97)</f>
        <v>0.97</v>
      </c>
      <c r="F1917" s="9">
        <f>IFERROR(__xludf.DUMMYFUNCTION("GOOGLEFINANCE(""ASX:SDI"", ""pe"")"),9.19)</f>
        <v>9.19</v>
      </c>
      <c r="G1917" s="9">
        <f>IFERROR(__xludf.DUMMYFUNCTION("GOOGLEFINANCE(""ASX:SDI"", ""high52"")"),1.16)</f>
        <v>1.16</v>
      </c>
      <c r="H1917" s="9">
        <f>IFERROR(__xludf.DUMMYFUNCTION("GOOGLEFINANCE(""ASX:SDI"", ""low52"")"),0.8)</f>
        <v>0.8</v>
      </c>
      <c r="I1917" s="9">
        <f>IFERROR(__xludf.DUMMYFUNCTION("GOOGLEFINANCE(""ASX:SDI"", ""marketcap"")"),1.11126329E8)</f>
        <v>111126329</v>
      </c>
      <c r="J1917" s="5"/>
      <c r="K1917" s="5"/>
      <c r="L1917" s="5"/>
      <c r="M1917" s="5"/>
      <c r="N1917" s="9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>
      <c r="A1918" s="6" t="s">
        <v>3807</v>
      </c>
      <c r="B1918" s="6" t="s">
        <v>3808</v>
      </c>
      <c r="C1918" s="5" t="s">
        <v>15</v>
      </c>
      <c r="D1918" s="7">
        <f>IFERROR(__xludf.DUMMYFUNCTION("GOOGLEFINANCE(""ASX:SDR"", ""price"")"),5.95)</f>
        <v>5.95</v>
      </c>
      <c r="E1918" s="8">
        <f>IFERROR(__xludf.DUMMYFUNCTION("GOOGLEFINANCE(""ASX:SDR"", ""closeyest"")"),5.84)</f>
        <v>5.84</v>
      </c>
      <c r="F1918" s="5" t="str">
        <f>IFERROR(__xludf.DUMMYFUNCTION("GOOGLEFINANCE(""ASX:SDR"", ""pe"")"),"#N/A")</f>
        <v>#N/A</v>
      </c>
      <c r="G1918" s="9">
        <f>IFERROR(__xludf.DUMMYFUNCTION("GOOGLEFINANCE(""ASX:SDR"", ""high52"")"),7.96)</f>
        <v>7.96</v>
      </c>
      <c r="H1918" s="9">
        <f>IFERROR(__xludf.DUMMYFUNCTION("GOOGLEFINANCE(""ASX:SDR"", ""low52"")"),3.4)</f>
        <v>3.4</v>
      </c>
      <c r="I1918" s="9">
        <f>IFERROR(__xludf.DUMMYFUNCTION("GOOGLEFINANCE(""ASX:SDR"", ""marketcap"")"),1.677031246E9)</f>
        <v>1677031246</v>
      </c>
      <c r="J1918" s="5"/>
      <c r="K1918" s="5"/>
      <c r="L1918" s="5"/>
      <c r="M1918" s="5"/>
      <c r="N1918" s="9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>
      <c r="A1919" s="6" t="s">
        <v>3809</v>
      </c>
      <c r="B1919" s="6" t="s">
        <v>3810</v>
      </c>
      <c r="C1919" s="5" t="s">
        <v>223</v>
      </c>
      <c r="D1919" s="7">
        <f>IFERROR(__xludf.DUMMYFUNCTION("GOOGLEFINANCE(""ASX:SDV"", ""price"")"),0.45)</f>
        <v>0.45</v>
      </c>
      <c r="E1919" s="8">
        <f>IFERROR(__xludf.DUMMYFUNCTION("GOOGLEFINANCE(""ASX:SDV"", ""closeyest"")"),0.46)</f>
        <v>0.46</v>
      </c>
      <c r="F1919" s="5" t="str">
        <f>IFERROR(__xludf.DUMMYFUNCTION("GOOGLEFINANCE(""ASX:SDV"", ""pe"")"),"#N/A")</f>
        <v>#N/A</v>
      </c>
      <c r="G1919" s="9">
        <f>IFERROR(__xludf.DUMMYFUNCTION("GOOGLEFINANCE(""ASX:SDV"", ""high52"")"),0.57)</f>
        <v>0.57</v>
      </c>
      <c r="H1919" s="9">
        <f>IFERROR(__xludf.DUMMYFUNCTION("GOOGLEFINANCE(""ASX:SDV"", ""low52"")"),0.26)</f>
        <v>0.26</v>
      </c>
      <c r="I1919" s="9">
        <f>IFERROR(__xludf.DUMMYFUNCTION("GOOGLEFINANCE(""ASX:SDV"", ""marketcap"")"),8.5539822E7)</f>
        <v>85539822</v>
      </c>
      <c r="J1919" s="5"/>
      <c r="K1919" s="5"/>
      <c r="L1919" s="5"/>
      <c r="M1919" s="5"/>
      <c r="N1919" s="9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>
      <c r="A1920" s="6" t="s">
        <v>3811</v>
      </c>
      <c r="B1920" s="6" t="s">
        <v>3812</v>
      </c>
      <c r="C1920" s="5" t="s">
        <v>128</v>
      </c>
      <c r="D1920" s="7">
        <f>IFERROR(__xludf.DUMMYFUNCTION("GOOGLEFINANCE(""ASX:SEA"", ""price"")"),2.84)</f>
        <v>2.84</v>
      </c>
      <c r="E1920" s="8">
        <f>IFERROR(__xludf.DUMMYFUNCTION("GOOGLEFINANCE(""ASX:SEA"", ""closeyest"")"),2.85)</f>
        <v>2.85</v>
      </c>
      <c r="F1920" s="5" t="str">
        <f>IFERROR(__xludf.DUMMYFUNCTION("GOOGLEFINANCE(""ASX:SEA"", ""pe"")"),"#N/A")</f>
        <v>#N/A</v>
      </c>
      <c r="G1920" s="9">
        <f>IFERROR(__xludf.DUMMYFUNCTION("GOOGLEFINANCE(""ASX:SEA"", ""high52"")"),3.88)</f>
        <v>3.88</v>
      </c>
      <c r="H1920" s="9">
        <f>IFERROR(__xludf.DUMMYFUNCTION("GOOGLEFINANCE(""ASX:SEA"", ""low52"")"),2.25)</f>
        <v>2.25</v>
      </c>
      <c r="I1920" s="9">
        <f>IFERROR(__xludf.DUMMYFUNCTION("GOOGLEFINANCE(""ASX:SEA"", ""marketcap"")"),1.89525889E9)</f>
        <v>1895258890</v>
      </c>
      <c r="J1920" s="5"/>
      <c r="K1920" s="5"/>
      <c r="L1920" s="5"/>
      <c r="M1920" s="5"/>
      <c r="N1920" s="9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>
      <c r="A1921" s="6" t="s">
        <v>3813</v>
      </c>
      <c r="B1921" s="6" t="s">
        <v>3814</v>
      </c>
      <c r="C1921" s="5" t="s">
        <v>171</v>
      </c>
      <c r="D1921" s="7">
        <f>IFERROR(__xludf.DUMMYFUNCTION("GOOGLEFINANCE(""ASX:SEC"", ""price"")"),2.82)</f>
        <v>2.82</v>
      </c>
      <c r="E1921" s="8">
        <f>IFERROR(__xludf.DUMMYFUNCTION("GOOGLEFINANCE(""ASX:SEC"", ""closeyest"")"),2.83)</f>
        <v>2.83</v>
      </c>
      <c r="F1921" s="9">
        <f>IFERROR(__xludf.DUMMYFUNCTION("GOOGLEFINANCE(""ASX:SEC"", ""pe"")"),10.28)</f>
        <v>10.28</v>
      </c>
      <c r="G1921" s="9">
        <f>IFERROR(__xludf.DUMMYFUNCTION("GOOGLEFINANCE(""ASX:SEC"", ""high52"")"),2.9)</f>
        <v>2.9</v>
      </c>
      <c r="H1921" s="9">
        <f>IFERROR(__xludf.DUMMYFUNCTION("GOOGLEFINANCE(""ASX:SEC"", ""low52"")"),2.05)</f>
        <v>2.05</v>
      </c>
      <c r="I1921" s="9">
        <f>IFERROR(__xludf.DUMMYFUNCTION("GOOGLEFINANCE(""ASX:SEC"", ""marketcap"")"),1.68924623E8)</f>
        <v>168924623</v>
      </c>
      <c r="J1921" s="5"/>
      <c r="K1921" s="5"/>
      <c r="L1921" s="5"/>
      <c r="M1921" s="5"/>
      <c r="N1921" s="9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>
      <c r="A1922" s="6" t="s">
        <v>3815</v>
      </c>
      <c r="B1922" s="6" t="s">
        <v>3816</v>
      </c>
      <c r="C1922" s="5" t="s">
        <v>93</v>
      </c>
      <c r="D1922" s="7">
        <f>IFERROR(__xludf.DUMMYFUNCTION("GOOGLEFINANCE(""ASX:SEG"", ""price"")"),0.29)</f>
        <v>0.29</v>
      </c>
      <c r="E1922" s="8">
        <f>IFERROR(__xludf.DUMMYFUNCTION("GOOGLEFINANCE(""ASX:SEG"", ""closeyest"")"),0.29)</f>
        <v>0.29</v>
      </c>
      <c r="F1922" s="5" t="str">
        <f>IFERROR(__xludf.DUMMYFUNCTION("GOOGLEFINANCE(""ASX:SEG"", ""pe"")"),"#N/A")</f>
        <v>#N/A</v>
      </c>
      <c r="G1922" s="9">
        <f>IFERROR(__xludf.DUMMYFUNCTION("GOOGLEFINANCE(""ASX:SEG"", ""high52"")"),0.36)</f>
        <v>0.36</v>
      </c>
      <c r="H1922" s="9">
        <f>IFERROR(__xludf.DUMMYFUNCTION("GOOGLEFINANCE(""ASX:SEG"", ""low52"")"),0.19)</f>
        <v>0.19</v>
      </c>
      <c r="I1922" s="9">
        <f>IFERROR(__xludf.DUMMYFUNCTION("GOOGLEFINANCE(""ASX:SEG"", ""marketcap"")"),8.145366E7)</f>
        <v>81453660</v>
      </c>
      <c r="J1922" s="5"/>
      <c r="K1922" s="5"/>
      <c r="L1922" s="5"/>
      <c r="M1922" s="5"/>
      <c r="N1922" s="9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>
      <c r="A1923" s="6" t="s">
        <v>3817</v>
      </c>
      <c r="B1923" s="6" t="s">
        <v>3818</v>
      </c>
      <c r="C1923" s="5" t="s">
        <v>509</v>
      </c>
      <c r="D1923" s="7">
        <f>IFERROR(__xludf.DUMMYFUNCTION("GOOGLEFINANCE(""ASX:SEK"", ""price"")"),23.09)</f>
        <v>23.09</v>
      </c>
      <c r="E1923" s="8">
        <f>IFERROR(__xludf.DUMMYFUNCTION("GOOGLEFINANCE(""ASX:SEK"", ""closeyest"")"),22.84)</f>
        <v>22.84</v>
      </c>
      <c r="F1923" s="9">
        <f>IFERROR(__xludf.DUMMYFUNCTION("GOOGLEFINANCE(""ASX:SEK"", ""pe"")"),34.72)</f>
        <v>34.72</v>
      </c>
      <c r="G1923" s="9">
        <f>IFERROR(__xludf.DUMMYFUNCTION("GOOGLEFINANCE(""ASX:SEK"", ""high52"")"),29.84)</f>
        <v>29.84</v>
      </c>
      <c r="H1923" s="9">
        <f>IFERROR(__xludf.DUMMYFUNCTION("GOOGLEFINANCE(""ASX:SEK"", ""low52"")"),18.88)</f>
        <v>18.88</v>
      </c>
      <c r="I1923" s="9">
        <f>IFERROR(__xludf.DUMMYFUNCTION("GOOGLEFINANCE(""ASX:SEK"", ""marketcap"")"),8.248212163E9)</f>
        <v>8248212163</v>
      </c>
      <c r="J1923" s="5"/>
      <c r="K1923" s="5"/>
      <c r="L1923" s="5"/>
      <c r="M1923" s="5"/>
      <c r="N1923" s="9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>
      <c r="A1924" s="6" t="s">
        <v>3819</v>
      </c>
      <c r="B1924" s="6" t="s">
        <v>3820</v>
      </c>
      <c r="C1924" s="5" t="s">
        <v>36</v>
      </c>
      <c r="D1924" s="7">
        <f>IFERROR(__xludf.DUMMYFUNCTION("GOOGLEFINANCE(""ASX:SEMI"", ""price"")"),25.03)</f>
        <v>25.03</v>
      </c>
      <c r="E1924" s="8">
        <f>IFERROR(__xludf.DUMMYFUNCTION("GOOGLEFINANCE(""ASX:SEMI"", ""closeyest"")"),24.73)</f>
        <v>24.73</v>
      </c>
      <c r="F1924" s="5" t="str">
        <f>IFERROR(__xludf.DUMMYFUNCTION("GOOGLEFINANCE(""ASX:SEMI"", ""pe"")"),"#N/A")</f>
        <v>#N/A</v>
      </c>
      <c r="G1924" s="9">
        <f>IFERROR(__xludf.DUMMYFUNCTION("GOOGLEFINANCE(""ASX:SEMI"", ""high52"")"),25.23)</f>
        <v>25.23</v>
      </c>
      <c r="H1924" s="9">
        <f>IFERROR(__xludf.DUMMYFUNCTION("GOOGLEFINANCE(""ASX:SEMI"", ""low52"")"),12.69)</f>
        <v>12.69</v>
      </c>
      <c r="I1924" s="9" t="str">
        <f>IFERROR(__xludf.DUMMYFUNCTION("GOOGLEFINANCE(""ASX:SEMI"", ""marketcap"")"),"#N/A")</f>
        <v>#N/A</v>
      </c>
      <c r="J1924" s="5"/>
      <c r="K1924" s="5"/>
      <c r="L1924" s="5"/>
      <c r="M1924" s="5"/>
      <c r="N1924" s="9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>
      <c r="A1925" s="6" t="s">
        <v>3821</v>
      </c>
      <c r="B1925" s="6" t="s">
        <v>3822</v>
      </c>
      <c r="C1925" s="5" t="s">
        <v>184</v>
      </c>
      <c r="D1925" s="7">
        <f>IFERROR(__xludf.DUMMYFUNCTION("GOOGLEFINANCE(""ASX:SEN"", ""price"")"),2.42)</f>
        <v>2.42</v>
      </c>
      <c r="E1925" s="8">
        <f>IFERROR(__xludf.DUMMYFUNCTION("GOOGLEFINANCE(""ASX:SEN"", ""closeyest"")"),2.35)</f>
        <v>2.35</v>
      </c>
      <c r="F1925" s="5" t="str">
        <f>IFERROR(__xludf.DUMMYFUNCTION("GOOGLEFINANCE(""ASX:SEN"", ""pe"")"),"#N/A")</f>
        <v>#N/A</v>
      </c>
      <c r="G1925" s="9">
        <f>IFERROR(__xludf.DUMMYFUNCTION("GOOGLEFINANCE(""ASX:SEN"", ""high52"")"),3.0)</f>
        <v>3</v>
      </c>
      <c r="H1925" s="9">
        <f>IFERROR(__xludf.DUMMYFUNCTION("GOOGLEFINANCE(""ASX:SEN"", ""low52"")"),1.5)</f>
        <v>1.5</v>
      </c>
      <c r="I1925" s="9">
        <f>IFERROR(__xludf.DUMMYFUNCTION("GOOGLEFINANCE(""ASX:SEN"", ""marketcap"")"),4.0117285E7)</f>
        <v>40117285</v>
      </c>
      <c r="J1925" s="5"/>
      <c r="K1925" s="5"/>
      <c r="L1925" s="5"/>
      <c r="M1925" s="5"/>
      <c r="N1925" s="9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>
      <c r="A1926" s="6" t="s">
        <v>3823</v>
      </c>
      <c r="B1926" s="6" t="s">
        <v>3824</v>
      </c>
      <c r="C1926" s="5" t="s">
        <v>171</v>
      </c>
      <c r="D1926" s="7">
        <f>IFERROR(__xludf.DUMMYFUNCTION("GOOGLEFINANCE(""ASX:SEQ"", ""price"")"),0.28)</f>
        <v>0.28</v>
      </c>
      <c r="E1926" s="8">
        <f>IFERROR(__xludf.DUMMYFUNCTION("GOOGLEFINANCE(""ASX:SEQ"", ""closeyest"")"),0.28)</f>
        <v>0.28</v>
      </c>
      <c r="F1926" s="9">
        <f>IFERROR(__xludf.DUMMYFUNCTION("GOOGLEFINANCE(""ASX:SEQ"", ""pe"")"),10.81)</f>
        <v>10.81</v>
      </c>
      <c r="G1926" s="9">
        <f>IFERROR(__xludf.DUMMYFUNCTION("GOOGLEFINANCE(""ASX:SEQ"", ""high52"")"),0.47)</f>
        <v>0.47</v>
      </c>
      <c r="H1926" s="9">
        <f>IFERROR(__xludf.DUMMYFUNCTION("GOOGLEFINANCE(""ASX:SEQ"", ""low52"")"),0.22)</f>
        <v>0.22</v>
      </c>
      <c r="I1926" s="9">
        <f>IFERROR(__xludf.DUMMYFUNCTION("GOOGLEFINANCE(""ASX:SEQ"", ""marketcap"")"),3.4327104E7)</f>
        <v>34327104</v>
      </c>
      <c r="J1926" s="5"/>
      <c r="K1926" s="5"/>
      <c r="L1926" s="5"/>
      <c r="M1926" s="5"/>
      <c r="N1926" s="9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>
      <c r="A1927" s="6" t="s">
        <v>3825</v>
      </c>
      <c r="B1927" s="6" t="s">
        <v>3826</v>
      </c>
      <c r="C1927" s="5" t="s">
        <v>18</v>
      </c>
      <c r="D1927" s="7">
        <f>IFERROR(__xludf.DUMMYFUNCTION("GOOGLEFINANCE(""ASX:SER"", ""price"")"),0.01)</f>
        <v>0.01</v>
      </c>
      <c r="E1927" s="8">
        <f>IFERROR(__xludf.DUMMYFUNCTION("GOOGLEFINANCE(""ASX:SER"", ""closeyest"")"),0.01)</f>
        <v>0.01</v>
      </c>
      <c r="F1927" s="5" t="str">
        <f>IFERROR(__xludf.DUMMYFUNCTION("GOOGLEFINANCE(""ASX:SER"", ""pe"")"),"#N/A")</f>
        <v>#N/A</v>
      </c>
      <c r="G1927" s="9">
        <f>IFERROR(__xludf.DUMMYFUNCTION("GOOGLEFINANCE(""ASX:SER"", ""high52"")"),0.01)</f>
        <v>0.01</v>
      </c>
      <c r="H1927" s="9">
        <f>IFERROR(__xludf.DUMMYFUNCTION("GOOGLEFINANCE(""ASX:SER"", ""low52"")"),0.0)</f>
        <v>0</v>
      </c>
      <c r="I1927" s="9">
        <f>IFERROR(__xludf.DUMMYFUNCTION("GOOGLEFINANCE(""ASX:SER"", ""marketcap"")"),5458271.0)</f>
        <v>5458271</v>
      </c>
      <c r="J1927" s="5"/>
      <c r="K1927" s="5"/>
      <c r="L1927" s="5"/>
      <c r="M1927" s="5"/>
      <c r="N1927" s="9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>
      <c r="A1928" s="6" t="s">
        <v>3827</v>
      </c>
      <c r="B1928" s="6" t="s">
        <v>3828</v>
      </c>
      <c r="C1928" s="5" t="s">
        <v>148</v>
      </c>
      <c r="D1928" s="7">
        <f>IFERROR(__xludf.DUMMYFUNCTION("GOOGLEFINANCE(""ASX:SFC"", ""price"")"),20.15)</f>
        <v>20.15</v>
      </c>
      <c r="E1928" s="8">
        <f>IFERROR(__xludf.DUMMYFUNCTION("GOOGLEFINANCE(""ASX:SFC"", ""closeyest"")"),19.89)</f>
        <v>19.89</v>
      </c>
      <c r="F1928" s="9">
        <f>IFERROR(__xludf.DUMMYFUNCTION("GOOGLEFINANCE(""ASX:SFC"", ""pe"")"),11.29)</f>
        <v>11.29</v>
      </c>
      <c r="G1928" s="9">
        <f>IFERROR(__xludf.DUMMYFUNCTION("GOOGLEFINANCE(""ASX:SFC"", ""high52"")"),22.5)</f>
        <v>22.5</v>
      </c>
      <c r="H1928" s="9">
        <f>IFERROR(__xludf.DUMMYFUNCTION("GOOGLEFINANCE(""ASX:SFC"", ""low52"")"),19.47)</f>
        <v>19.47</v>
      </c>
      <c r="I1928" s="9">
        <f>IFERROR(__xludf.DUMMYFUNCTION("GOOGLEFINANCE(""ASX:SFC"", ""marketcap"")"),2.73854614E8)</f>
        <v>273854614</v>
      </c>
      <c r="J1928" s="5"/>
      <c r="K1928" s="5"/>
      <c r="L1928" s="5"/>
      <c r="M1928" s="5"/>
      <c r="N1928" s="9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>
      <c r="A1929" s="6" t="s">
        <v>3829</v>
      </c>
      <c r="B1929" s="6" t="s">
        <v>3830</v>
      </c>
      <c r="C1929" s="5" t="s">
        <v>128</v>
      </c>
      <c r="D1929" s="7">
        <f>IFERROR(__xludf.DUMMYFUNCTION("GOOGLEFINANCE(""ASX:SFG"", ""price"")"),0.0)</f>
        <v>0</v>
      </c>
      <c r="E1929" s="8">
        <f>IFERROR(__xludf.DUMMYFUNCTION("GOOGLEFINANCE(""ASX:SFG"", ""closeyest"")"),0.0)</f>
        <v>0</v>
      </c>
      <c r="F1929" s="5" t="str">
        <f>IFERROR(__xludf.DUMMYFUNCTION("GOOGLEFINANCE(""ASX:SFG"", ""pe"")"),"#N/A")</f>
        <v>#N/A</v>
      </c>
      <c r="G1929" s="9">
        <f>IFERROR(__xludf.DUMMYFUNCTION("GOOGLEFINANCE(""ASX:SFG"", ""high52"")"),0.0)</f>
        <v>0</v>
      </c>
      <c r="H1929" s="9">
        <f>IFERROR(__xludf.DUMMYFUNCTION("GOOGLEFINANCE(""ASX:SFG"", ""low52"")"),0.0)</f>
        <v>0</v>
      </c>
      <c r="I1929" s="9">
        <f>IFERROR(__xludf.DUMMYFUNCTION("GOOGLEFINANCE(""ASX:SFG"", ""marketcap"")"),4836600.0)</f>
        <v>4836600</v>
      </c>
      <c r="J1929" s="12">
        <v>0.002</v>
      </c>
      <c r="K1929" s="12">
        <v>0.002</v>
      </c>
      <c r="L1929" s="12">
        <v>0.003</v>
      </c>
      <c r="M1929" s="12">
        <v>0.001</v>
      </c>
      <c r="N1929" s="9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>
      <c r="A1930" s="6" t="s">
        <v>3831</v>
      </c>
      <c r="B1930" s="6" t="s">
        <v>3832</v>
      </c>
      <c r="C1930" s="5" t="s">
        <v>36</v>
      </c>
      <c r="D1930" s="7">
        <f>IFERROR(__xludf.DUMMYFUNCTION("GOOGLEFINANCE(""ASX:SFIF"", ""price"")"),10.78)</f>
        <v>10.78</v>
      </c>
      <c r="E1930" s="8">
        <f>IFERROR(__xludf.DUMMYFUNCTION("GOOGLEFINANCE(""ASX:SFIF"", ""closeyest"")"),10.77)</f>
        <v>10.77</v>
      </c>
      <c r="F1930" s="5" t="str">
        <f>IFERROR(__xludf.DUMMYFUNCTION("GOOGLEFINANCE(""ASX:SFIF"", ""pe"")"),"#N/A")</f>
        <v>#N/A</v>
      </c>
      <c r="G1930" s="9">
        <f>IFERROR(__xludf.DUMMYFUNCTION("GOOGLEFINANCE(""ASX:SFIF"", ""high52"")"),10.82)</f>
        <v>10.82</v>
      </c>
      <c r="H1930" s="9">
        <f>IFERROR(__xludf.DUMMYFUNCTION("GOOGLEFINANCE(""ASX:SFIF"", ""low52"")"),10.73)</f>
        <v>10.73</v>
      </c>
      <c r="I1930" s="9" t="str">
        <f>IFERROR(__xludf.DUMMYFUNCTION("GOOGLEFINANCE(""ASX:SFIF"", ""marketcap"")"),"#N/A")</f>
        <v>#N/A</v>
      </c>
      <c r="J1930" s="5"/>
      <c r="K1930" s="5"/>
      <c r="L1930" s="5"/>
      <c r="M1930" s="5"/>
      <c r="N1930" s="9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>
      <c r="A1931" s="6" t="s">
        <v>3833</v>
      </c>
      <c r="B1931" s="6" t="s">
        <v>3834</v>
      </c>
      <c r="C1931" s="5" t="s">
        <v>18</v>
      </c>
      <c r="D1931" s="7">
        <f>IFERROR(__xludf.DUMMYFUNCTION("GOOGLEFINANCE(""ASX:SFM"", ""price"")"),0.32)</f>
        <v>0.32</v>
      </c>
      <c r="E1931" s="8">
        <f>IFERROR(__xludf.DUMMYFUNCTION("GOOGLEFINANCE(""ASX:SFM"", ""closeyest"")"),0.31)</f>
        <v>0.31</v>
      </c>
      <c r="F1931" s="5" t="str">
        <f>IFERROR(__xludf.DUMMYFUNCTION("GOOGLEFINANCE(""ASX:SFM"", ""pe"")"),"#N/A")</f>
        <v>#N/A</v>
      </c>
      <c r="G1931" s="9">
        <f>IFERROR(__xludf.DUMMYFUNCTION("GOOGLEFINANCE(""ASX:SFM"", ""high52"")"),0.36)</f>
        <v>0.36</v>
      </c>
      <c r="H1931" s="9">
        <f>IFERROR(__xludf.DUMMYFUNCTION("GOOGLEFINANCE(""ASX:SFM"", ""low52"")"),0.03)</f>
        <v>0.03</v>
      </c>
      <c r="I1931" s="9">
        <f>IFERROR(__xludf.DUMMYFUNCTION("GOOGLEFINANCE(""ASX:SFM"", ""marketcap"")"),3.5519711E7)</f>
        <v>35519711</v>
      </c>
      <c r="J1931" s="5"/>
      <c r="K1931" s="5"/>
      <c r="L1931" s="5"/>
      <c r="M1931" s="5"/>
      <c r="N1931" s="9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>
      <c r="A1932" s="6" t="s">
        <v>3835</v>
      </c>
      <c r="B1932" s="6" t="s">
        <v>3836</v>
      </c>
      <c r="C1932" s="5" t="s">
        <v>39</v>
      </c>
      <c r="D1932" s="7">
        <f>IFERROR(__xludf.DUMMYFUNCTION("GOOGLEFINANCE(""ASX:SFR"", ""price"")"),19.01)</f>
        <v>19.01</v>
      </c>
      <c r="E1932" s="8">
        <f>IFERROR(__xludf.DUMMYFUNCTION("GOOGLEFINANCE(""ASX:SFR"", ""closeyest"")"),18.99)</f>
        <v>18.99</v>
      </c>
      <c r="F1932" s="9">
        <f>IFERROR(__xludf.DUMMYFUNCTION("GOOGLEFINANCE(""ASX:SFR"", ""pe"")"),63.25)</f>
        <v>63.25</v>
      </c>
      <c r="G1932" s="9">
        <f>IFERROR(__xludf.DUMMYFUNCTION("GOOGLEFINANCE(""ASX:SFR"", ""high52"")"),19.43)</f>
        <v>19.43</v>
      </c>
      <c r="H1932" s="9">
        <f>IFERROR(__xludf.DUMMYFUNCTION("GOOGLEFINANCE(""ASX:SFR"", ""low52"")"),8.05)</f>
        <v>8.05</v>
      </c>
      <c r="I1932" s="9">
        <f>IFERROR(__xludf.DUMMYFUNCTION("GOOGLEFINANCE(""ASX:SFR"", ""marketcap"")"),8.781150632E9)</f>
        <v>8781150632</v>
      </c>
      <c r="J1932" s="5"/>
      <c r="K1932" s="5"/>
      <c r="L1932" s="5"/>
      <c r="M1932" s="5"/>
      <c r="N1932" s="9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>
      <c r="A1933" s="6" t="s">
        <v>3837</v>
      </c>
      <c r="B1933" s="6" t="s">
        <v>3838</v>
      </c>
      <c r="C1933" s="5" t="s">
        <v>961</v>
      </c>
      <c r="D1933" s="7">
        <f>IFERROR(__xludf.DUMMYFUNCTION("GOOGLEFINANCE(""ASX:SFX"", ""price"")"),0.09)</f>
        <v>0.09</v>
      </c>
      <c r="E1933" s="8">
        <f>IFERROR(__xludf.DUMMYFUNCTION("GOOGLEFINANCE(""ASX:SFX"", ""closeyest"")"),0.08)</f>
        <v>0.08</v>
      </c>
      <c r="F1933" s="5" t="str">
        <f>IFERROR(__xludf.DUMMYFUNCTION("GOOGLEFINANCE(""ASX:SFX"", ""pe"")"),"#N/A")</f>
        <v>#N/A</v>
      </c>
      <c r="G1933" s="9">
        <f>IFERROR(__xludf.DUMMYFUNCTION("GOOGLEFINANCE(""ASX:SFX"", ""high52"")"),0.26)</f>
        <v>0.26</v>
      </c>
      <c r="H1933" s="9">
        <f>IFERROR(__xludf.DUMMYFUNCTION("GOOGLEFINANCE(""ASX:SFX"", ""low52"")"),0.06)</f>
        <v>0.06</v>
      </c>
      <c r="I1933" s="9">
        <f>IFERROR(__xludf.DUMMYFUNCTION("GOOGLEFINANCE(""ASX:SFX"", ""marketcap"")"),3.3637396E7)</f>
        <v>33637396</v>
      </c>
      <c r="J1933" s="5"/>
      <c r="K1933" s="5"/>
      <c r="L1933" s="5"/>
      <c r="M1933" s="5"/>
      <c r="N1933" s="9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>
      <c r="A1934" s="6" t="s">
        <v>3839</v>
      </c>
      <c r="B1934" s="6" t="s">
        <v>3840</v>
      </c>
      <c r="C1934" s="5" t="s">
        <v>3841</v>
      </c>
      <c r="D1934" s="7">
        <f>IFERROR(__xludf.DUMMYFUNCTION("GOOGLEFINANCE(""ASX:SFY"", ""price"")"),74.14)</f>
        <v>74.14</v>
      </c>
      <c r="E1934" s="8">
        <f>IFERROR(__xludf.DUMMYFUNCTION("GOOGLEFINANCE(""ASX:SFY"", ""closeyest"")"),74.03)</f>
        <v>74.03</v>
      </c>
      <c r="F1934" s="5" t="str">
        <f>IFERROR(__xludf.DUMMYFUNCTION("GOOGLEFINANCE(""ASX:SFY"", ""pe"")"),"#N/A")</f>
        <v>#N/A</v>
      </c>
      <c r="G1934" s="9">
        <f>IFERROR(__xludf.DUMMYFUNCTION("GOOGLEFINANCE(""ASX:SFY"", ""high52"")"),79.2)</f>
        <v>79.2</v>
      </c>
      <c r="H1934" s="9">
        <f>IFERROR(__xludf.DUMMYFUNCTION("GOOGLEFINANCE(""ASX:SFY"", ""low52"")"),63.65)</f>
        <v>63.65</v>
      </c>
      <c r="I1934" s="9">
        <f>IFERROR(__xludf.DUMMYFUNCTION("GOOGLEFINANCE(""ASX:SFY"", ""marketcap"")"),7.12632932E8)</f>
        <v>712632932</v>
      </c>
      <c r="J1934" s="5"/>
      <c r="K1934" s="5"/>
      <c r="L1934" s="5"/>
      <c r="M1934" s="5"/>
      <c r="N1934" s="9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>
      <c r="A1935" s="6" t="s">
        <v>3842</v>
      </c>
      <c r="B1935" s="6" t="s">
        <v>3843</v>
      </c>
      <c r="C1935" s="5" t="s">
        <v>39</v>
      </c>
      <c r="D1935" s="7">
        <f>IFERROR(__xludf.DUMMYFUNCTION("GOOGLEFINANCE(""ASX:SGA"", ""price"")"),0.1)</f>
        <v>0.1</v>
      </c>
      <c r="E1935" s="8">
        <f>IFERROR(__xludf.DUMMYFUNCTION("GOOGLEFINANCE(""ASX:SGA"", ""closeyest"")"),0.1)</f>
        <v>0.1</v>
      </c>
      <c r="F1935" s="5" t="str">
        <f>IFERROR(__xludf.DUMMYFUNCTION("GOOGLEFINANCE(""ASX:SGA"", ""pe"")"),"#N/A")</f>
        <v>#N/A</v>
      </c>
      <c r="G1935" s="9">
        <f>IFERROR(__xludf.DUMMYFUNCTION("GOOGLEFINANCE(""ASX:SGA"", ""high52"")"),0.16)</f>
        <v>0.16</v>
      </c>
      <c r="H1935" s="9">
        <f>IFERROR(__xludf.DUMMYFUNCTION("GOOGLEFINANCE(""ASX:SGA"", ""low52"")"),0.04)</f>
        <v>0.04</v>
      </c>
      <c r="I1935" s="9">
        <f>IFERROR(__xludf.DUMMYFUNCTION("GOOGLEFINANCE(""ASX:SGA"", ""marketcap"")"),1.8910519E7)</f>
        <v>18910519</v>
      </c>
      <c r="J1935" s="5"/>
      <c r="K1935" s="5"/>
      <c r="L1935" s="5"/>
      <c r="M1935" s="5"/>
      <c r="N1935" s="9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>
      <c r="A1936" s="6" t="s">
        <v>3844</v>
      </c>
      <c r="B1936" s="6" t="s">
        <v>3845</v>
      </c>
      <c r="C1936" s="5" t="s">
        <v>402</v>
      </c>
      <c r="D1936" s="7">
        <f>IFERROR(__xludf.DUMMYFUNCTION("GOOGLEFINANCE(""ASX:SGH"", ""price"")"),48.97)</f>
        <v>48.97</v>
      </c>
      <c r="E1936" s="8">
        <f>IFERROR(__xludf.DUMMYFUNCTION("GOOGLEFINANCE(""ASX:SGH"", ""closeyest"")"),48.6)</f>
        <v>48.6</v>
      </c>
      <c r="F1936" s="9">
        <f>IFERROR(__xludf.DUMMYFUNCTION("GOOGLEFINANCE(""ASX:SGH"", ""pe"")"),41.14)</f>
        <v>41.14</v>
      </c>
      <c r="G1936" s="9">
        <f>IFERROR(__xludf.DUMMYFUNCTION("GOOGLEFINANCE(""ASX:SGH"", ""high52"")"),55.65)</f>
        <v>55.65</v>
      </c>
      <c r="H1936" s="9">
        <f>IFERROR(__xludf.DUMMYFUNCTION("GOOGLEFINANCE(""ASX:SGH"", ""low52"")"),41.13)</f>
        <v>41.13</v>
      </c>
      <c r="I1936" s="9">
        <f>IFERROR(__xludf.DUMMYFUNCTION("GOOGLEFINANCE(""ASX:SGH"", ""marketcap"")"),1.993070235E10)</f>
        <v>19930702350</v>
      </c>
      <c r="J1936" s="5"/>
      <c r="K1936" s="5"/>
      <c r="L1936" s="5"/>
      <c r="M1936" s="5"/>
      <c r="N1936" s="9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>
      <c r="A1937" s="6" t="s">
        <v>3846</v>
      </c>
      <c r="B1937" s="6" t="s">
        <v>3847</v>
      </c>
      <c r="C1937" s="5" t="s">
        <v>3448</v>
      </c>
      <c r="D1937" s="7">
        <f>IFERROR(__xludf.DUMMYFUNCTION("GOOGLEFINANCE(""ASX:SGI"", ""price"")"),1.38)</f>
        <v>1.38</v>
      </c>
      <c r="E1937" s="8">
        <f>IFERROR(__xludf.DUMMYFUNCTION("GOOGLEFINANCE(""ASX:SGI"", ""closeyest"")"),1.35)</f>
        <v>1.35</v>
      </c>
      <c r="F1937" s="9">
        <f>IFERROR(__xludf.DUMMYFUNCTION("GOOGLEFINANCE(""ASX:SGI"", ""pe"")"),52.26)</f>
        <v>52.26</v>
      </c>
      <c r="G1937" s="9">
        <f>IFERROR(__xludf.DUMMYFUNCTION("GOOGLEFINANCE(""ASX:SGI"", ""high52"")"),1.49)</f>
        <v>1.49</v>
      </c>
      <c r="H1937" s="9">
        <f>IFERROR(__xludf.DUMMYFUNCTION("GOOGLEFINANCE(""ASX:SGI"", ""low52"")"),0.38)</f>
        <v>0.38</v>
      </c>
      <c r="I1937" s="9">
        <f>IFERROR(__xludf.DUMMYFUNCTION("GOOGLEFINANCE(""ASX:SGI"", ""marketcap"")"),2.0486785E8)</f>
        <v>204867850</v>
      </c>
      <c r="J1937" s="5"/>
      <c r="K1937" s="5"/>
      <c r="L1937" s="5"/>
      <c r="M1937" s="5"/>
      <c r="N1937" s="9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>
      <c r="A1938" s="6" t="s">
        <v>3848</v>
      </c>
      <c r="B1938" s="6" t="s">
        <v>3849</v>
      </c>
      <c r="C1938" s="5" t="s">
        <v>212</v>
      </c>
      <c r="D1938" s="7">
        <f>IFERROR(__xludf.DUMMYFUNCTION("GOOGLEFINANCE(""ASX:SGM"", ""price"")"),18.95)</f>
        <v>18.95</v>
      </c>
      <c r="E1938" s="8">
        <f>IFERROR(__xludf.DUMMYFUNCTION("GOOGLEFINANCE(""ASX:SGM"", ""closeyest"")"),18.27)</f>
        <v>18.27</v>
      </c>
      <c r="F1938" s="9">
        <f>IFERROR(__xludf.DUMMYFUNCTION("GOOGLEFINANCE(""ASX:SGM"", ""pe"")"),1523.31)</f>
        <v>1523.31</v>
      </c>
      <c r="G1938" s="9">
        <f>IFERROR(__xludf.DUMMYFUNCTION("GOOGLEFINANCE(""ASX:SGM"", ""high52"")"),19.04)</f>
        <v>19.04</v>
      </c>
      <c r="H1938" s="9">
        <f>IFERROR(__xludf.DUMMYFUNCTION("GOOGLEFINANCE(""ASX:SGM"", ""low52"")"),12.0)</f>
        <v>12</v>
      </c>
      <c r="I1938" s="9">
        <f>IFERROR(__xludf.DUMMYFUNCTION("GOOGLEFINANCE(""ASX:SGM"", ""marketcap"")"),3.661735177E9)</f>
        <v>3661735177</v>
      </c>
      <c r="J1938" s="5"/>
      <c r="K1938" s="5"/>
      <c r="L1938" s="5"/>
      <c r="M1938" s="5"/>
      <c r="N1938" s="9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>
      <c r="A1939" s="6" t="s">
        <v>3848</v>
      </c>
      <c r="B1939" s="6" t="s">
        <v>3849</v>
      </c>
      <c r="C1939" s="5" t="s">
        <v>212</v>
      </c>
      <c r="D1939" s="7">
        <f>IFERROR(__xludf.DUMMYFUNCTION("GOOGLEFINANCE(""ASX:SGM"", ""price"")"),18.95)</f>
        <v>18.95</v>
      </c>
      <c r="E1939" s="8">
        <f>IFERROR(__xludf.DUMMYFUNCTION("GOOGLEFINANCE(""ASX:SGM"", ""closeyest"")"),18.27)</f>
        <v>18.27</v>
      </c>
      <c r="F1939" s="9">
        <f>IFERROR(__xludf.DUMMYFUNCTION("GOOGLEFINANCE(""ASX:SGM"", ""pe"")"),1523.31)</f>
        <v>1523.31</v>
      </c>
      <c r="G1939" s="9">
        <f>IFERROR(__xludf.DUMMYFUNCTION("GOOGLEFINANCE(""ASX:SGM"", ""high52"")"),19.04)</f>
        <v>19.04</v>
      </c>
      <c r="H1939" s="9">
        <f>IFERROR(__xludf.DUMMYFUNCTION("GOOGLEFINANCE(""ASX:SGM"", ""low52"")"),12.0)</f>
        <v>12</v>
      </c>
      <c r="I1939" s="9">
        <f>IFERROR(__xludf.DUMMYFUNCTION("GOOGLEFINANCE(""ASX:SGM"", ""marketcap"")"),3.661735177E9)</f>
        <v>3661735177</v>
      </c>
      <c r="J1939" s="5"/>
      <c r="K1939" s="5"/>
      <c r="L1939" s="5"/>
      <c r="M1939" s="5"/>
      <c r="N1939" s="9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>
      <c r="A1940" s="6" t="s">
        <v>3850</v>
      </c>
      <c r="B1940" s="6" t="s">
        <v>3851</v>
      </c>
      <c r="C1940" s="5" t="s">
        <v>143</v>
      </c>
      <c r="D1940" s="7">
        <f>IFERROR(__xludf.DUMMYFUNCTION("GOOGLEFINANCE(""ASX:SGP"", ""price"")"),5.53)</f>
        <v>5.53</v>
      </c>
      <c r="E1940" s="8">
        <f>IFERROR(__xludf.DUMMYFUNCTION("GOOGLEFINANCE(""ASX:SGP"", ""closeyest"")"),5.59)</f>
        <v>5.59</v>
      </c>
      <c r="F1940" s="9">
        <f>IFERROR(__xludf.DUMMYFUNCTION("GOOGLEFINANCE(""ASX:SGP"", ""pe"")"),16.13)</f>
        <v>16.13</v>
      </c>
      <c r="G1940" s="9">
        <f>IFERROR(__xludf.DUMMYFUNCTION("GOOGLEFINANCE(""ASX:SGP"", ""high52"")"),6.75)</f>
        <v>6.75</v>
      </c>
      <c r="H1940" s="9">
        <f>IFERROR(__xludf.DUMMYFUNCTION("GOOGLEFINANCE(""ASX:SGP"", ""low52"")"),4.72)</f>
        <v>4.72</v>
      </c>
      <c r="I1940" s="9">
        <f>IFERROR(__xludf.DUMMYFUNCTION("GOOGLEFINANCE(""ASX:SGP"", ""marketcap"")"),1.3395701078E10)</f>
        <v>13395701078</v>
      </c>
      <c r="J1940" s="5"/>
      <c r="K1940" s="5"/>
      <c r="L1940" s="5"/>
      <c r="M1940" s="5"/>
      <c r="N1940" s="9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>
      <c r="A1941" s="6" t="s">
        <v>3852</v>
      </c>
      <c r="B1941" s="6" t="s">
        <v>3853</v>
      </c>
      <c r="C1941" s="5" t="s">
        <v>18</v>
      </c>
      <c r="D1941" s="7">
        <f>IFERROR(__xludf.DUMMYFUNCTION("GOOGLEFINANCE(""ASX:SGQ"", ""price"")"),0.11)</f>
        <v>0.11</v>
      </c>
      <c r="E1941" s="8">
        <f>IFERROR(__xludf.DUMMYFUNCTION("GOOGLEFINANCE(""ASX:SGQ"", ""closeyest"")"),0.1)</f>
        <v>0.1</v>
      </c>
      <c r="F1941" s="5" t="str">
        <f>IFERROR(__xludf.DUMMYFUNCTION("GOOGLEFINANCE(""ASX:SGQ"", ""pe"")"),"#N/A")</f>
        <v>#N/A</v>
      </c>
      <c r="G1941" s="9">
        <f>IFERROR(__xludf.DUMMYFUNCTION("GOOGLEFINANCE(""ASX:SGQ"", ""high52"")"),0.18)</f>
        <v>0.18</v>
      </c>
      <c r="H1941" s="9">
        <f>IFERROR(__xludf.DUMMYFUNCTION("GOOGLEFINANCE(""ASX:SGQ"", ""low52"")"),0.02)</f>
        <v>0.02</v>
      </c>
      <c r="I1941" s="9">
        <f>IFERROR(__xludf.DUMMYFUNCTION("GOOGLEFINANCE(""ASX:SGQ"", ""marketcap"")"),4.18171927E8)</f>
        <v>418171927</v>
      </c>
      <c r="J1941" s="9">
        <v>22.58</v>
      </c>
      <c r="K1941" s="9">
        <v>22.75</v>
      </c>
      <c r="L1941" s="9">
        <v>23.11</v>
      </c>
      <c r="M1941" s="9">
        <v>18.68</v>
      </c>
      <c r="N1941" s="9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>
      <c r="A1942" s="6" t="s">
        <v>3854</v>
      </c>
      <c r="B1942" s="6" t="s">
        <v>3855</v>
      </c>
      <c r="C1942" s="5" t="s">
        <v>259</v>
      </c>
      <c r="D1942" s="7">
        <f>IFERROR(__xludf.DUMMYFUNCTION("GOOGLEFINANCE(""ASX:SGR"", ""price"")"),0.17)</f>
        <v>0.17</v>
      </c>
      <c r="E1942" s="8">
        <f>IFERROR(__xludf.DUMMYFUNCTION("GOOGLEFINANCE(""ASX:SGR"", ""closeyest"")"),0.17)</f>
        <v>0.17</v>
      </c>
      <c r="F1942" s="5" t="str">
        <f>IFERROR(__xludf.DUMMYFUNCTION("GOOGLEFINANCE(""ASX:SGR"", ""pe"")"),"#N/A")</f>
        <v>#N/A</v>
      </c>
      <c r="G1942" s="9">
        <f>IFERROR(__xludf.DUMMYFUNCTION("GOOGLEFINANCE(""ASX:SGR"", ""high52"")"),0.2)</f>
        <v>0.2</v>
      </c>
      <c r="H1942" s="9">
        <f>IFERROR(__xludf.DUMMYFUNCTION("GOOGLEFINANCE(""ASX:SGR"", ""low52"")"),0.08)</f>
        <v>0.08</v>
      </c>
      <c r="I1942" s="9">
        <f>IFERROR(__xludf.DUMMYFUNCTION("GOOGLEFINANCE(""ASX:SGR"", ""marketcap"")"),1.062768837E9)</f>
        <v>1062768837</v>
      </c>
      <c r="J1942" s="5"/>
      <c r="K1942" s="5"/>
      <c r="L1942" s="5"/>
      <c r="M1942" s="5"/>
      <c r="N1942" s="9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>
      <c r="A1943" s="6" t="s">
        <v>3856</v>
      </c>
      <c r="B1943" s="6" t="s">
        <v>3857</v>
      </c>
      <c r="C1943" s="5" t="s">
        <v>123</v>
      </c>
      <c r="D1943" s="7">
        <f>IFERROR(__xludf.DUMMYFUNCTION("GOOGLEFINANCE(""ASX:SHA"", ""price"")"),6.36)</f>
        <v>6.36</v>
      </c>
      <c r="E1943" s="8">
        <f>IFERROR(__xludf.DUMMYFUNCTION("GOOGLEFINANCE(""ASX:SHA"", ""closeyest"")"),6.23)</f>
        <v>6.23</v>
      </c>
      <c r="F1943" s="9">
        <f>IFERROR(__xludf.DUMMYFUNCTION("GOOGLEFINANCE(""ASX:SHA"", ""pe"")"),25.73)</f>
        <v>25.73</v>
      </c>
      <c r="G1943" s="9">
        <f>IFERROR(__xludf.DUMMYFUNCTION("GOOGLEFINANCE(""ASX:SHA"", ""high52"")"),6.59)</f>
        <v>6.59</v>
      </c>
      <c r="H1943" s="9">
        <f>IFERROR(__xludf.DUMMYFUNCTION("GOOGLEFINANCE(""ASX:SHA"", ""low52"")"),2.61)</f>
        <v>2.61</v>
      </c>
      <c r="I1943" s="9">
        <f>IFERROR(__xludf.DUMMYFUNCTION("GOOGLEFINANCE(""ASX:SHA"", ""marketcap"")"),5.30991641E8)</f>
        <v>530991641</v>
      </c>
      <c r="J1943" s="5"/>
      <c r="K1943" s="5"/>
      <c r="L1943" s="5"/>
      <c r="M1943" s="5"/>
      <c r="N1943" s="9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>
      <c r="A1944" s="6" t="s">
        <v>3858</v>
      </c>
      <c r="B1944" s="6" t="s">
        <v>3859</v>
      </c>
      <c r="C1944" s="5" t="s">
        <v>78</v>
      </c>
      <c r="D1944" s="7">
        <f>IFERROR(__xludf.DUMMYFUNCTION("GOOGLEFINANCE(""ASX:SHE"", ""price"")"),0.01)</f>
        <v>0.01</v>
      </c>
      <c r="E1944" s="8">
        <f>IFERROR(__xludf.DUMMYFUNCTION("GOOGLEFINANCE(""ASX:SHE"", ""closeyest"")"),0.01)</f>
        <v>0.01</v>
      </c>
      <c r="F1944" s="5" t="str">
        <f>IFERROR(__xludf.DUMMYFUNCTION("GOOGLEFINANCE(""ASX:SHE"", ""pe"")"),"#N/A")</f>
        <v>#N/A</v>
      </c>
      <c r="G1944" s="9">
        <f>IFERROR(__xludf.DUMMYFUNCTION("GOOGLEFINANCE(""ASX:SHE"", ""high52"")"),0.01)</f>
        <v>0.01</v>
      </c>
      <c r="H1944" s="9">
        <f>IFERROR(__xludf.DUMMYFUNCTION("GOOGLEFINANCE(""ASX:SHE"", ""low52"")"),0.0)</f>
        <v>0</v>
      </c>
      <c r="I1944" s="9">
        <f>IFERROR(__xludf.DUMMYFUNCTION("GOOGLEFINANCE(""ASX:SHE"", ""marketcap"")"),3353735.0)</f>
        <v>3353735</v>
      </c>
      <c r="J1944" s="5"/>
      <c r="K1944" s="5"/>
      <c r="L1944" s="5"/>
      <c r="M1944" s="5"/>
      <c r="N1944" s="9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>
      <c r="A1945" s="6" t="s">
        <v>3860</v>
      </c>
      <c r="B1945" s="6" t="s">
        <v>3861</v>
      </c>
      <c r="C1945" s="5" t="s">
        <v>62</v>
      </c>
      <c r="D1945" s="7">
        <f>IFERROR(__xludf.DUMMYFUNCTION("GOOGLEFINANCE(""ASX:SHG"", ""price"")"),0.28)</f>
        <v>0.28</v>
      </c>
      <c r="E1945" s="8">
        <f>IFERROR(__xludf.DUMMYFUNCTION("GOOGLEFINANCE(""ASX:SHG"", ""closeyest"")"),0.28)</f>
        <v>0.28</v>
      </c>
      <c r="F1945" s="5" t="str">
        <f>IFERROR(__xludf.DUMMYFUNCTION("GOOGLEFINANCE(""ASX:SHG"", ""pe"")"),"#N/A")</f>
        <v>#N/A</v>
      </c>
      <c r="G1945" s="9">
        <f>IFERROR(__xludf.DUMMYFUNCTION("GOOGLEFINANCE(""ASX:SHG"", ""high52"")"),0.42)</f>
        <v>0.42</v>
      </c>
      <c r="H1945" s="9">
        <f>IFERROR(__xludf.DUMMYFUNCTION("GOOGLEFINANCE(""ASX:SHG"", ""low52"")"),0.18)</f>
        <v>0.18</v>
      </c>
      <c r="I1945" s="9">
        <f>IFERROR(__xludf.DUMMYFUNCTION("GOOGLEFINANCE(""ASX:SHG"", ""marketcap"")"),8.7910284E7)</f>
        <v>87910284</v>
      </c>
      <c r="J1945" s="5"/>
      <c r="K1945" s="5"/>
      <c r="L1945" s="5"/>
      <c r="M1945" s="5"/>
      <c r="N1945" s="9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>
      <c r="A1946" s="6" t="s">
        <v>3862</v>
      </c>
      <c r="B1946" s="6" t="s">
        <v>3863</v>
      </c>
      <c r="C1946" s="5" t="s">
        <v>246</v>
      </c>
      <c r="D1946" s="7">
        <f>IFERROR(__xludf.DUMMYFUNCTION("GOOGLEFINANCE(""ASX:SHJ"", ""price"")"),0.68)</f>
        <v>0.68</v>
      </c>
      <c r="E1946" s="8">
        <f>IFERROR(__xludf.DUMMYFUNCTION("GOOGLEFINANCE(""ASX:SHJ"", ""closeyest"")"),0.67)</f>
        <v>0.67</v>
      </c>
      <c r="F1946" s="9">
        <f>IFERROR(__xludf.DUMMYFUNCTION("GOOGLEFINANCE(""ASX:SHJ"", ""pe"")"),211.6)</f>
        <v>211.6</v>
      </c>
      <c r="G1946" s="9">
        <f>IFERROR(__xludf.DUMMYFUNCTION("GOOGLEFINANCE(""ASX:SHJ"", ""high52"")"),0.86)</f>
        <v>0.86</v>
      </c>
      <c r="H1946" s="9">
        <f>IFERROR(__xludf.DUMMYFUNCTION("GOOGLEFINANCE(""ASX:SHJ"", ""low52"")"),0.54)</f>
        <v>0.54</v>
      </c>
      <c r="I1946" s="9">
        <f>IFERROR(__xludf.DUMMYFUNCTION("GOOGLEFINANCE(""ASX:SHJ"", ""marketcap"")"),1.13497742E8)</f>
        <v>113497742</v>
      </c>
      <c r="J1946" s="5"/>
      <c r="K1946" s="5"/>
      <c r="L1946" s="5"/>
      <c r="M1946" s="5"/>
      <c r="N1946" s="9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>
      <c r="A1947" s="6" t="s">
        <v>3864</v>
      </c>
      <c r="B1947" s="6" t="s">
        <v>3865</v>
      </c>
      <c r="C1947" s="5" t="s">
        <v>164</v>
      </c>
      <c r="D1947" s="7">
        <f>IFERROR(__xludf.DUMMYFUNCTION("GOOGLEFINANCE(""ASX:SHL"", ""price"")"),22.14)</f>
        <v>22.14</v>
      </c>
      <c r="E1947" s="8">
        <f>IFERROR(__xludf.DUMMYFUNCTION("GOOGLEFINANCE(""ASX:SHL"", ""closeyest"")"),21.9)</f>
        <v>21.9</v>
      </c>
      <c r="F1947" s="9">
        <f>IFERROR(__xludf.DUMMYFUNCTION("GOOGLEFINANCE(""ASX:SHL"", ""pe"")"),20.75)</f>
        <v>20.75</v>
      </c>
      <c r="G1947" s="9">
        <f>IFERROR(__xludf.DUMMYFUNCTION("GOOGLEFINANCE(""ASX:SHL"", ""high52"")"),29.24)</f>
        <v>29.24</v>
      </c>
      <c r="H1947" s="9">
        <f>IFERROR(__xludf.DUMMYFUNCTION("GOOGLEFINANCE(""ASX:SHL"", ""low52"")"),20.5)</f>
        <v>20.5</v>
      </c>
      <c r="I1947" s="9">
        <f>IFERROR(__xludf.DUMMYFUNCTION("GOOGLEFINANCE(""ASX:SHL"", ""marketcap"")"),1.0942429018E10)</f>
        <v>10942429018</v>
      </c>
      <c r="J1947" s="5"/>
      <c r="K1947" s="5"/>
      <c r="L1947" s="5"/>
      <c r="M1947" s="5"/>
      <c r="N1947" s="9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>
      <c r="A1948" s="6" t="s">
        <v>3866</v>
      </c>
      <c r="B1948" s="6" t="s">
        <v>3867</v>
      </c>
      <c r="C1948" s="5" t="s">
        <v>837</v>
      </c>
      <c r="D1948" s="7">
        <f>IFERROR(__xludf.DUMMYFUNCTION("GOOGLEFINANCE(""ASX:SHM"", ""price"")"),0.79)</f>
        <v>0.79</v>
      </c>
      <c r="E1948" s="8">
        <f>IFERROR(__xludf.DUMMYFUNCTION("GOOGLEFINANCE(""ASX:SHM"", ""closeyest"")"),0.79)</f>
        <v>0.79</v>
      </c>
      <c r="F1948" s="9">
        <f>IFERROR(__xludf.DUMMYFUNCTION("GOOGLEFINANCE(""ASX:SHM"", ""pe"")"),9.38)</f>
        <v>9.38</v>
      </c>
      <c r="G1948" s="9">
        <f>IFERROR(__xludf.DUMMYFUNCTION("GOOGLEFINANCE(""ASX:SHM"", ""high52"")"),0.83)</f>
        <v>0.83</v>
      </c>
      <c r="H1948" s="9">
        <f>IFERROR(__xludf.DUMMYFUNCTION("GOOGLEFINANCE(""ASX:SHM"", ""low52"")"),0.61)</f>
        <v>0.61</v>
      </c>
      <c r="I1948" s="9">
        <f>IFERROR(__xludf.DUMMYFUNCTION("GOOGLEFINANCE(""ASX:SHM"", ""marketcap"")"),5.5947234E7)</f>
        <v>55947234</v>
      </c>
      <c r="J1948" s="5"/>
      <c r="K1948" s="5"/>
      <c r="L1948" s="5"/>
      <c r="M1948" s="5"/>
      <c r="N1948" s="9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>
      <c r="A1949" s="6" t="s">
        <v>3868</v>
      </c>
      <c r="B1949" s="6" t="s">
        <v>3869</v>
      </c>
      <c r="C1949" s="5" t="s">
        <v>18</v>
      </c>
      <c r="D1949" s="7">
        <f>IFERROR(__xludf.DUMMYFUNCTION("GOOGLEFINANCE(""ASX:SHN"", ""price"")"),0.03)</f>
        <v>0.03</v>
      </c>
      <c r="E1949" s="8">
        <f>IFERROR(__xludf.DUMMYFUNCTION("GOOGLEFINANCE(""ASX:SHN"", ""closeyest"")"),0.03)</f>
        <v>0.03</v>
      </c>
      <c r="F1949" s="5" t="str">
        <f>IFERROR(__xludf.DUMMYFUNCTION("GOOGLEFINANCE(""ASX:SHN"", ""pe"")"),"#N/A")</f>
        <v>#N/A</v>
      </c>
      <c r="G1949" s="9">
        <f>IFERROR(__xludf.DUMMYFUNCTION("GOOGLEFINANCE(""ASX:SHN"", ""high52"")"),0.03)</f>
        <v>0.03</v>
      </c>
      <c r="H1949" s="9">
        <f>IFERROR(__xludf.DUMMYFUNCTION("GOOGLEFINANCE(""ASX:SHN"", ""low52"")"),0.01)</f>
        <v>0.01</v>
      </c>
      <c r="I1949" s="9">
        <f>IFERROR(__xludf.DUMMYFUNCTION("GOOGLEFINANCE(""ASX:SHN"", ""marketcap"")"),7.7071255E7)</f>
        <v>77071255</v>
      </c>
      <c r="J1949" s="5"/>
      <c r="K1949" s="5"/>
      <c r="L1949" s="5"/>
      <c r="M1949" s="5"/>
      <c r="N1949" s="9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>
      <c r="A1950" s="6" t="s">
        <v>3870</v>
      </c>
      <c r="B1950" s="6" t="s">
        <v>3871</v>
      </c>
      <c r="C1950" s="5" t="s">
        <v>15</v>
      </c>
      <c r="D1950" s="7">
        <f>IFERROR(__xludf.DUMMYFUNCTION("GOOGLEFINANCE(""ASX:SHO"", ""price"")"),0.05)</f>
        <v>0.05</v>
      </c>
      <c r="E1950" s="8">
        <f>IFERROR(__xludf.DUMMYFUNCTION("GOOGLEFINANCE(""ASX:SHO"", ""closeyest"")"),0.05)</f>
        <v>0.05</v>
      </c>
      <c r="F1950" s="5" t="str">
        <f>IFERROR(__xludf.DUMMYFUNCTION("GOOGLEFINANCE(""ASX:SHO"", ""pe"")"),"#N/A")</f>
        <v>#N/A</v>
      </c>
      <c r="G1950" s="9">
        <f>IFERROR(__xludf.DUMMYFUNCTION("GOOGLEFINANCE(""ASX:SHO"", ""high52"")"),0.05)</f>
        <v>0.05</v>
      </c>
      <c r="H1950" s="9">
        <f>IFERROR(__xludf.DUMMYFUNCTION("GOOGLEFINANCE(""ASX:SHO"", ""low52"")"),0.02)</f>
        <v>0.02</v>
      </c>
      <c r="I1950" s="9">
        <f>IFERROR(__xludf.DUMMYFUNCTION("GOOGLEFINANCE(""ASX:SHO"", ""marketcap"")"),3.4580343E7)</f>
        <v>34580343</v>
      </c>
      <c r="J1950" s="5"/>
      <c r="K1950" s="5"/>
      <c r="L1950" s="5"/>
      <c r="M1950" s="5"/>
      <c r="N1950" s="9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>
      <c r="A1951" s="6" t="s">
        <v>3872</v>
      </c>
      <c r="B1951" s="6" t="s">
        <v>3873</v>
      </c>
      <c r="C1951" s="5" t="s">
        <v>267</v>
      </c>
      <c r="D1951" s="7">
        <f>IFERROR(__xludf.DUMMYFUNCTION("GOOGLEFINANCE(""ASX:SHP"", ""price"")"),0.03)</f>
        <v>0.03</v>
      </c>
      <c r="E1951" s="8">
        <f>IFERROR(__xludf.DUMMYFUNCTION("GOOGLEFINANCE(""ASX:SHP"", ""closeyest"")"),0.03)</f>
        <v>0.03</v>
      </c>
      <c r="F1951" s="5" t="str">
        <f>IFERROR(__xludf.DUMMYFUNCTION("GOOGLEFINANCE(""ASX:SHP"", ""pe"")"),"#N/A")</f>
        <v>#N/A</v>
      </c>
      <c r="G1951" s="9">
        <f>IFERROR(__xludf.DUMMYFUNCTION("GOOGLEFINANCE(""ASX:SHP"", ""high52"")"),0.18)</f>
        <v>0.18</v>
      </c>
      <c r="H1951" s="9">
        <f>IFERROR(__xludf.DUMMYFUNCTION("GOOGLEFINANCE(""ASX:SHP"", ""low52"")"),0.02)</f>
        <v>0.02</v>
      </c>
      <c r="I1951" s="9">
        <f>IFERROR(__xludf.DUMMYFUNCTION("GOOGLEFINANCE(""ASX:SHP"", ""marketcap"")"),3811189.0)</f>
        <v>3811189</v>
      </c>
      <c r="J1951" s="5"/>
      <c r="K1951" s="5"/>
      <c r="L1951" s="5"/>
      <c r="M1951" s="5"/>
      <c r="N1951" s="9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>
      <c r="A1952" s="6" t="s">
        <v>3874</v>
      </c>
      <c r="B1952" s="6" t="s">
        <v>3875</v>
      </c>
      <c r="C1952" s="5" t="s">
        <v>98</v>
      </c>
      <c r="D1952" s="7">
        <f>IFERROR(__xludf.DUMMYFUNCTION("GOOGLEFINANCE(""ASX:SHV"", ""price"")"),4.99)</f>
        <v>4.99</v>
      </c>
      <c r="E1952" s="8">
        <f>IFERROR(__xludf.DUMMYFUNCTION("GOOGLEFINANCE(""ASX:SHV"", ""closeyest"")"),4.88)</f>
        <v>4.88</v>
      </c>
      <c r="F1952" s="9">
        <f>IFERROR(__xludf.DUMMYFUNCTION("GOOGLEFINANCE(""ASX:SHV"", ""pe"")"),22.46)</f>
        <v>22.46</v>
      </c>
      <c r="G1952" s="9">
        <f>IFERROR(__xludf.DUMMYFUNCTION("GOOGLEFINANCE(""ASX:SHV"", ""high52"")"),5.45)</f>
        <v>5.45</v>
      </c>
      <c r="H1952" s="9">
        <f>IFERROR(__xludf.DUMMYFUNCTION("GOOGLEFINANCE(""ASX:SHV"", ""low52"")"),3.37)</f>
        <v>3.37</v>
      </c>
      <c r="I1952" s="9">
        <f>IFERROR(__xludf.DUMMYFUNCTION("GOOGLEFINANCE(""ASX:SHV"", ""marketcap"")"),7.09116891E8)</f>
        <v>709116891</v>
      </c>
      <c r="J1952" s="5"/>
      <c r="K1952" s="5"/>
      <c r="L1952" s="5"/>
      <c r="M1952" s="5"/>
      <c r="N1952" s="9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>
      <c r="A1953" s="6" t="s">
        <v>3876</v>
      </c>
      <c r="B1953" s="6" t="s">
        <v>3877</v>
      </c>
      <c r="C1953" s="5" t="s">
        <v>174</v>
      </c>
      <c r="D1953" s="7">
        <f>IFERROR(__xludf.DUMMYFUNCTION("GOOGLEFINANCE(""ASX:SIG"", ""price"")"),2.86)</f>
        <v>2.86</v>
      </c>
      <c r="E1953" s="8">
        <f>IFERROR(__xludf.DUMMYFUNCTION("GOOGLEFINANCE(""ASX:SIG"", ""closeyest"")"),2.83)</f>
        <v>2.83</v>
      </c>
      <c r="F1953" s="9">
        <f>IFERROR(__xludf.DUMMYFUNCTION("GOOGLEFINANCE(""ASX:SIG"", ""pe"")"),56.59)</f>
        <v>56.59</v>
      </c>
      <c r="G1953" s="9">
        <f>IFERROR(__xludf.DUMMYFUNCTION("GOOGLEFINANCE(""ASX:SIG"", ""high52"")"),3.32)</f>
        <v>3.32</v>
      </c>
      <c r="H1953" s="9">
        <f>IFERROR(__xludf.DUMMYFUNCTION("GOOGLEFINANCE(""ASX:SIG"", ""low52"")"),2.59)</f>
        <v>2.59</v>
      </c>
      <c r="I1953" s="9">
        <f>IFERROR(__xludf.DUMMYFUNCTION("GOOGLEFINANCE(""ASX:SIG"", ""marketcap"")"),3.3014980789E10)</f>
        <v>33014980789</v>
      </c>
      <c r="J1953" s="5"/>
      <c r="K1953" s="5"/>
      <c r="L1953" s="5"/>
      <c r="M1953" s="5"/>
      <c r="N1953" s="9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>
      <c r="A1954" s="6" t="s">
        <v>3878</v>
      </c>
      <c r="B1954" s="6" t="s">
        <v>3879</v>
      </c>
      <c r="C1954" s="5" t="s">
        <v>1764</v>
      </c>
      <c r="D1954" s="7">
        <f>IFERROR(__xludf.DUMMYFUNCTION("GOOGLEFINANCE(""ASX:SIO"", ""price"")"),0.13)</f>
        <v>0.13</v>
      </c>
      <c r="E1954" s="8">
        <f>IFERROR(__xludf.DUMMYFUNCTION("GOOGLEFINANCE(""ASX:SIO"", ""closeyest"")"),0.13)</f>
        <v>0.13</v>
      </c>
      <c r="F1954" s="9">
        <f>IFERROR(__xludf.DUMMYFUNCTION("GOOGLEFINANCE(""ASX:SIO"", ""pe"")"),32.13)</f>
        <v>32.13</v>
      </c>
      <c r="G1954" s="9">
        <f>IFERROR(__xludf.DUMMYFUNCTION("GOOGLEFINANCE(""ASX:SIO"", ""high52"")"),0.22)</f>
        <v>0.22</v>
      </c>
      <c r="H1954" s="9">
        <f>IFERROR(__xludf.DUMMYFUNCTION("GOOGLEFINANCE(""ASX:SIO"", ""low52"")"),0.12)</f>
        <v>0.12</v>
      </c>
      <c r="I1954" s="9">
        <f>IFERROR(__xludf.DUMMYFUNCTION("GOOGLEFINANCE(""ASX:SIO"", ""marketcap"")"),4.49883E7)</f>
        <v>44988300</v>
      </c>
      <c r="J1954" s="5"/>
      <c r="K1954" s="5"/>
      <c r="L1954" s="5"/>
      <c r="M1954" s="5"/>
      <c r="N1954" s="9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>
      <c r="A1955" s="6" t="s">
        <v>3880</v>
      </c>
      <c r="B1955" s="6" t="s">
        <v>3881</v>
      </c>
      <c r="C1955" s="5" t="s">
        <v>509</v>
      </c>
      <c r="D1955" s="7">
        <f>IFERROR(__xludf.DUMMYFUNCTION("GOOGLEFINANCE(""ASX:SIQ"", ""price"")"),9.05)</f>
        <v>9.05</v>
      </c>
      <c r="E1955" s="8">
        <f>IFERROR(__xludf.DUMMYFUNCTION("GOOGLEFINANCE(""ASX:SIQ"", ""closeyest"")"),8.91)</f>
        <v>8.91</v>
      </c>
      <c r="F1955" s="9">
        <f>IFERROR(__xludf.DUMMYFUNCTION("GOOGLEFINANCE(""ASX:SIQ"", ""pe"")"),14.83)</f>
        <v>14.83</v>
      </c>
      <c r="G1955" s="9">
        <f>IFERROR(__xludf.DUMMYFUNCTION("GOOGLEFINANCE(""ASX:SIQ"", ""high52"")"),9.22)</f>
        <v>9.22</v>
      </c>
      <c r="H1955" s="9">
        <f>IFERROR(__xludf.DUMMYFUNCTION("GOOGLEFINANCE(""ASX:SIQ"", ""low52"")"),6.82)</f>
        <v>6.82</v>
      </c>
      <c r="I1955" s="9">
        <f>IFERROR(__xludf.DUMMYFUNCTION("GOOGLEFINANCE(""ASX:SIQ"", ""marketcap"")"),1.2272298E9)</f>
        <v>1227229800</v>
      </c>
      <c r="J1955" s="9">
        <v>10.86</v>
      </c>
      <c r="K1955" s="9">
        <v>10.84</v>
      </c>
      <c r="L1955" s="9">
        <v>12.51</v>
      </c>
      <c r="M1955" s="9">
        <v>10.17</v>
      </c>
      <c r="N1955" s="9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>
      <c r="A1956" s="6" t="s">
        <v>3882</v>
      </c>
      <c r="B1956" s="6" t="s">
        <v>3883</v>
      </c>
      <c r="C1956" s="5" t="s">
        <v>15</v>
      </c>
      <c r="D1956" s="7">
        <f>IFERROR(__xludf.DUMMYFUNCTION("GOOGLEFINANCE(""ASX:SIS"", ""price"")"),0.01)</f>
        <v>0.01</v>
      </c>
      <c r="E1956" s="8">
        <f>IFERROR(__xludf.DUMMYFUNCTION("GOOGLEFINANCE(""ASX:SIS"", ""closeyest"")"),0.01)</f>
        <v>0.01</v>
      </c>
      <c r="F1956" s="5" t="str">
        <f>IFERROR(__xludf.DUMMYFUNCTION("GOOGLEFINANCE(""ASX:SIS"", ""pe"")"),"#N/A")</f>
        <v>#N/A</v>
      </c>
      <c r="G1956" s="9">
        <f>IFERROR(__xludf.DUMMYFUNCTION("GOOGLEFINANCE(""ASX:SIS"", ""high52"")"),0.01)</f>
        <v>0.01</v>
      </c>
      <c r="H1956" s="9">
        <f>IFERROR(__xludf.DUMMYFUNCTION("GOOGLEFINANCE(""ASX:SIS"", ""low52"")"),0.0)</f>
        <v>0</v>
      </c>
      <c r="I1956" s="9">
        <f>IFERROR(__xludf.DUMMYFUNCTION("GOOGLEFINANCE(""ASX:SIS"", ""marketcap"")"),5332817.0)</f>
        <v>5332817</v>
      </c>
      <c r="J1956" s="5"/>
      <c r="K1956" s="5"/>
      <c r="L1956" s="5"/>
      <c r="M1956" s="5"/>
      <c r="N1956" s="9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>
      <c r="A1957" s="6" t="s">
        <v>3884</v>
      </c>
      <c r="B1957" s="6" t="s">
        <v>3885</v>
      </c>
      <c r="C1957" s="5" t="s">
        <v>161</v>
      </c>
      <c r="D1957" s="7">
        <f>IFERROR(__xludf.DUMMYFUNCTION("GOOGLEFINANCE(""ASX:SIV"", ""price"")"),0.15)</f>
        <v>0.15</v>
      </c>
      <c r="E1957" s="8">
        <f>IFERROR(__xludf.DUMMYFUNCTION("GOOGLEFINANCE(""ASX:SIV"", ""closeyest"")"),0.15)</f>
        <v>0.15</v>
      </c>
      <c r="F1957" s="5" t="str">
        <f>IFERROR(__xludf.DUMMYFUNCTION("GOOGLEFINANCE(""ASX:SIV"", ""pe"")"),"#N/A")</f>
        <v>#N/A</v>
      </c>
      <c r="G1957" s="9">
        <f>IFERROR(__xludf.DUMMYFUNCTION("GOOGLEFINANCE(""ASX:SIV"", ""high52"")"),0.15)</f>
        <v>0.15</v>
      </c>
      <c r="H1957" s="9">
        <f>IFERROR(__xludf.DUMMYFUNCTION("GOOGLEFINANCE(""ASX:SIV"", ""low52"")"),0.14)</f>
        <v>0.14</v>
      </c>
      <c r="I1957" s="9">
        <f>IFERROR(__xludf.DUMMYFUNCTION("GOOGLEFINANCE(""ASX:SIV"", ""marketcap"")"),7102930.0)</f>
        <v>7102930</v>
      </c>
      <c r="J1957" s="9">
        <v>24.83</v>
      </c>
      <c r="K1957" s="9">
        <v>24.93</v>
      </c>
      <c r="L1957" s="9">
        <v>25.0</v>
      </c>
      <c r="M1957" s="9">
        <v>23.55</v>
      </c>
      <c r="N1957" s="9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>
      <c r="A1958" s="6" t="s">
        <v>3886</v>
      </c>
      <c r="B1958" s="6" t="s">
        <v>3887</v>
      </c>
      <c r="C1958" s="5" t="s">
        <v>148</v>
      </c>
      <c r="D1958" s="7">
        <f>IFERROR(__xludf.DUMMYFUNCTION("GOOGLEFINANCE(""ASX:SIX"", ""price"")"),0.09)</f>
        <v>0.09</v>
      </c>
      <c r="E1958" s="8">
        <f>IFERROR(__xludf.DUMMYFUNCTION("GOOGLEFINANCE(""ASX:SIX"", ""closeyest"")"),0.09)</f>
        <v>0.09</v>
      </c>
      <c r="F1958" s="5" t="str">
        <f>IFERROR(__xludf.DUMMYFUNCTION("GOOGLEFINANCE(""ASX:SIX"", ""pe"")"),"#N/A")</f>
        <v>#N/A</v>
      </c>
      <c r="G1958" s="9">
        <f>IFERROR(__xludf.DUMMYFUNCTION("GOOGLEFINANCE(""ASX:SIX"", ""high52"")"),0.1)</f>
        <v>0.1</v>
      </c>
      <c r="H1958" s="9">
        <f>IFERROR(__xludf.DUMMYFUNCTION("GOOGLEFINANCE(""ASX:SIX"", ""low52"")"),0.04)</f>
        <v>0.04</v>
      </c>
      <c r="I1958" s="9">
        <f>IFERROR(__xludf.DUMMYFUNCTION("GOOGLEFINANCE(""ASX:SIX"", ""marketcap"")"),5.6035893E7)</f>
        <v>56035893</v>
      </c>
      <c r="J1958" s="9">
        <v>7.06</v>
      </c>
      <c r="K1958" s="9">
        <v>6.96</v>
      </c>
      <c r="L1958" s="9">
        <v>7.74</v>
      </c>
      <c r="M1958" s="9">
        <v>6.33</v>
      </c>
      <c r="N1958" s="9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>
      <c r="A1959" s="6" t="s">
        <v>3888</v>
      </c>
      <c r="B1959" s="6" t="s">
        <v>3889</v>
      </c>
      <c r="C1959" s="5" t="s">
        <v>259</v>
      </c>
      <c r="D1959" s="7">
        <f>IFERROR(__xludf.DUMMYFUNCTION("GOOGLEFINANCE(""ASX:SKC"", ""price"")"),0.77)</f>
        <v>0.77</v>
      </c>
      <c r="E1959" s="8">
        <f>IFERROR(__xludf.DUMMYFUNCTION("GOOGLEFINANCE(""ASX:SKC"", ""closeyest"")"),0.78)</f>
        <v>0.78</v>
      </c>
      <c r="F1959" s="5" t="str">
        <f>IFERROR(__xludf.DUMMYFUNCTION("GOOGLEFINANCE(""ASX:SKC"", ""pe"")"),"#N/A")</f>
        <v>#N/A</v>
      </c>
      <c r="G1959" s="9">
        <f>IFERROR(__xludf.DUMMYFUNCTION("GOOGLEFINANCE(""ASX:SKC"", ""high52"")"),1.24)</f>
        <v>1.24</v>
      </c>
      <c r="H1959" s="9">
        <f>IFERROR(__xludf.DUMMYFUNCTION("GOOGLEFINANCE(""ASX:SKC"", ""low52"")"),0.57)</f>
        <v>0.57</v>
      </c>
      <c r="I1959" s="9">
        <f>IFERROR(__xludf.DUMMYFUNCTION("GOOGLEFINANCE(""ASX:SKC"", ""marketcap"")"),9.963593E8)</f>
        <v>996359300</v>
      </c>
      <c r="J1959" s="5"/>
      <c r="K1959" s="5"/>
      <c r="L1959" s="5"/>
      <c r="M1959" s="5"/>
      <c r="N1959" s="9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>
      <c r="A1960" s="6" t="s">
        <v>3890</v>
      </c>
      <c r="B1960" s="6" t="s">
        <v>3891</v>
      </c>
      <c r="C1960" s="5" t="s">
        <v>33</v>
      </c>
      <c r="D1960" s="7">
        <f>IFERROR(__xludf.DUMMYFUNCTION("GOOGLEFINANCE(""ASX:SKK"", ""price"")"),0.04)</f>
        <v>0.04</v>
      </c>
      <c r="E1960" s="8">
        <f>IFERROR(__xludf.DUMMYFUNCTION("GOOGLEFINANCE(""ASX:SKK"", ""closeyest"")"),0.04)</f>
        <v>0.04</v>
      </c>
      <c r="F1960" s="5" t="str">
        <f>IFERROR(__xludf.DUMMYFUNCTION("GOOGLEFINANCE(""ASX:SKK"", ""pe"")"),"#N/A")</f>
        <v>#N/A</v>
      </c>
      <c r="G1960" s="9">
        <f>IFERROR(__xludf.DUMMYFUNCTION("GOOGLEFINANCE(""ASX:SKK"", ""high52"")"),0.07)</f>
        <v>0.07</v>
      </c>
      <c r="H1960" s="9">
        <f>IFERROR(__xludf.DUMMYFUNCTION("GOOGLEFINANCE(""ASX:SKK"", ""low52"")"),0.0)</f>
        <v>0</v>
      </c>
      <c r="I1960" s="9">
        <f>IFERROR(__xludf.DUMMYFUNCTION("GOOGLEFINANCE(""ASX:SKK"", ""marketcap"")"),1.08771565E8)</f>
        <v>108771565</v>
      </c>
      <c r="J1960" s="5"/>
      <c r="K1960" s="5"/>
      <c r="L1960" s="5"/>
      <c r="M1960" s="5"/>
      <c r="N1960" s="9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>
      <c r="A1961" s="6" t="s">
        <v>3892</v>
      </c>
      <c r="B1961" s="6" t="s">
        <v>3893</v>
      </c>
      <c r="C1961" s="5" t="s">
        <v>39</v>
      </c>
      <c r="D1961" s="7">
        <f>IFERROR(__xludf.DUMMYFUNCTION("GOOGLEFINANCE(""ASX:SKM"", ""price"")"),0.27)</f>
        <v>0.27</v>
      </c>
      <c r="E1961" s="8">
        <f>IFERROR(__xludf.DUMMYFUNCTION("GOOGLEFINANCE(""ASX:SKM"", ""closeyest"")"),0.26)</f>
        <v>0.26</v>
      </c>
      <c r="F1961" s="5" t="str">
        <f>IFERROR(__xludf.DUMMYFUNCTION("GOOGLEFINANCE(""ASX:SKM"", ""pe"")"),"#N/A")</f>
        <v>#N/A</v>
      </c>
      <c r="G1961" s="9">
        <f>IFERROR(__xludf.DUMMYFUNCTION("GOOGLEFINANCE(""ASX:SKM"", ""high52"")"),0.34)</f>
        <v>0.34</v>
      </c>
      <c r="H1961" s="9">
        <f>IFERROR(__xludf.DUMMYFUNCTION("GOOGLEFINANCE(""ASX:SKM"", ""low52"")"),0.15)</f>
        <v>0.15</v>
      </c>
      <c r="I1961" s="9">
        <f>IFERROR(__xludf.DUMMYFUNCTION("GOOGLEFINANCE(""ASX:SKM"", ""marketcap"")"),2.3352465E7)</f>
        <v>23352465</v>
      </c>
      <c r="J1961" s="5"/>
      <c r="K1961" s="5"/>
      <c r="L1961" s="5"/>
      <c r="M1961" s="5"/>
      <c r="N1961" s="9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>
      <c r="A1962" s="6" t="s">
        <v>3894</v>
      </c>
      <c r="B1962" s="6" t="s">
        <v>3895</v>
      </c>
      <c r="C1962" s="5" t="s">
        <v>2774</v>
      </c>
      <c r="D1962" s="7">
        <f>IFERROR(__xludf.DUMMYFUNCTION("GOOGLEFINANCE(""ASX:SKN"", ""price"")"),0.01)</f>
        <v>0.01</v>
      </c>
      <c r="E1962" s="8">
        <f>IFERROR(__xludf.DUMMYFUNCTION("GOOGLEFINANCE(""ASX:SKN"", ""closeyest"")"),0.01)</f>
        <v>0.01</v>
      </c>
      <c r="F1962" s="5" t="str">
        <f>IFERROR(__xludf.DUMMYFUNCTION("GOOGLEFINANCE(""ASX:SKN"", ""pe"")"),"#N/A")</f>
        <v>#N/A</v>
      </c>
      <c r="G1962" s="9">
        <f>IFERROR(__xludf.DUMMYFUNCTION("GOOGLEFINANCE(""ASX:SKN"", ""high52"")"),0.02)</f>
        <v>0.02</v>
      </c>
      <c r="H1962" s="9">
        <f>IFERROR(__xludf.DUMMYFUNCTION("GOOGLEFINANCE(""ASX:SKN"", ""low52"")"),0.0)</f>
        <v>0</v>
      </c>
      <c r="I1962" s="9">
        <f>IFERROR(__xludf.DUMMYFUNCTION("GOOGLEFINANCE(""ASX:SKN"", ""marketcap"")"),7563034.0)</f>
        <v>7563034</v>
      </c>
      <c r="J1962" s="5"/>
      <c r="K1962" s="5"/>
      <c r="L1962" s="5"/>
      <c r="M1962" s="5"/>
      <c r="N1962" s="9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>
      <c r="A1963" s="6" t="s">
        <v>3896</v>
      </c>
      <c r="B1963" s="6" t="s">
        <v>3897</v>
      </c>
      <c r="C1963" s="5" t="s">
        <v>70</v>
      </c>
      <c r="D1963" s="7">
        <f>IFERROR(__xludf.DUMMYFUNCTION("GOOGLEFINANCE(""ASX:SKO"", ""price"")"),2.69)</f>
        <v>2.69</v>
      </c>
      <c r="E1963" s="8">
        <f>IFERROR(__xludf.DUMMYFUNCTION("GOOGLEFINANCE(""ASX:SKO"", ""closeyest"")"),2.7)</f>
        <v>2.7</v>
      </c>
      <c r="F1963" s="5" t="str">
        <f>IFERROR(__xludf.DUMMYFUNCTION("GOOGLEFINANCE(""ASX:SKO"", ""pe"")"),"#N/A")</f>
        <v>#N/A</v>
      </c>
      <c r="G1963" s="9">
        <f>IFERROR(__xludf.DUMMYFUNCTION("GOOGLEFINANCE(""ASX:SKO"", ""high52"")"),3.6)</f>
        <v>3.6</v>
      </c>
      <c r="H1963" s="9">
        <f>IFERROR(__xludf.DUMMYFUNCTION("GOOGLEFINANCE(""ASX:SKO"", ""low52"")"),2.02)</f>
        <v>2.02</v>
      </c>
      <c r="I1963" s="9">
        <f>IFERROR(__xludf.DUMMYFUNCTION("GOOGLEFINANCE(""ASX:SKO"", ""marketcap"")"),3.797672E8)</f>
        <v>379767200</v>
      </c>
      <c r="J1963" s="5"/>
      <c r="K1963" s="5"/>
      <c r="L1963" s="5"/>
      <c r="M1963" s="5"/>
      <c r="N1963" s="9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>
      <c r="A1964" s="6" t="s">
        <v>3898</v>
      </c>
      <c r="B1964" s="6" t="s">
        <v>3899</v>
      </c>
      <c r="C1964" s="5" t="s">
        <v>184</v>
      </c>
      <c r="D1964" s="7">
        <f>IFERROR(__xludf.DUMMYFUNCTION("GOOGLEFINANCE(""ASX:SKS"", ""price"")"),3.73)</f>
        <v>3.73</v>
      </c>
      <c r="E1964" s="8">
        <f>IFERROR(__xludf.DUMMYFUNCTION("GOOGLEFINANCE(""ASX:SKS"", ""closeyest"")"),3.72)</f>
        <v>3.72</v>
      </c>
      <c r="F1964" s="9">
        <f>IFERROR(__xludf.DUMMYFUNCTION("GOOGLEFINANCE(""ASX:SKS"", ""pe"")"),29.86)</f>
        <v>29.86</v>
      </c>
      <c r="G1964" s="9">
        <f>IFERROR(__xludf.DUMMYFUNCTION("GOOGLEFINANCE(""ASX:SKS"", ""high52"")"),4.48)</f>
        <v>4.48</v>
      </c>
      <c r="H1964" s="9">
        <f>IFERROR(__xludf.DUMMYFUNCTION("GOOGLEFINANCE(""ASX:SKS"", ""low52"")"),1.39)</f>
        <v>1.39</v>
      </c>
      <c r="I1964" s="9">
        <f>IFERROR(__xludf.DUMMYFUNCTION("GOOGLEFINANCE(""ASX:SKS"", ""marketcap"")"),4.27861961E8)</f>
        <v>427861961</v>
      </c>
      <c r="J1964" s="5"/>
      <c r="K1964" s="5"/>
      <c r="L1964" s="5"/>
      <c r="M1964" s="5"/>
      <c r="N1964" s="9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>
      <c r="A1965" s="6" t="s">
        <v>3900</v>
      </c>
      <c r="B1965" s="6" t="s">
        <v>3901</v>
      </c>
      <c r="C1965" s="5" t="s">
        <v>93</v>
      </c>
      <c r="D1965" s="7">
        <f>IFERROR(__xludf.DUMMYFUNCTION("GOOGLEFINANCE(""ASX:SKT"", ""price"")"),2.94)</f>
        <v>2.94</v>
      </c>
      <c r="E1965" s="8">
        <f>IFERROR(__xludf.DUMMYFUNCTION("GOOGLEFINANCE(""ASX:SKT"", ""closeyest"")"),2.86)</f>
        <v>2.86</v>
      </c>
      <c r="F1965" s="5" t="str">
        <f>IFERROR(__xludf.DUMMYFUNCTION("GOOGLEFINANCE(""ASX:SKT"", ""pe"")"),"#N/A")</f>
        <v>#N/A</v>
      </c>
      <c r="G1965" s="9">
        <f>IFERROR(__xludf.DUMMYFUNCTION("GOOGLEFINANCE(""ASX:SKT"", ""high52"")"),3.24)</f>
        <v>3.24</v>
      </c>
      <c r="H1965" s="9">
        <f>IFERROR(__xludf.DUMMYFUNCTION("GOOGLEFINANCE(""ASX:SKT"", ""low52"")"),2.1)</f>
        <v>2.1</v>
      </c>
      <c r="I1965" s="9">
        <f>IFERROR(__xludf.DUMMYFUNCTION("GOOGLEFINANCE(""ASX:SKT"", ""marketcap"")"),4.697971E8)</f>
        <v>469797100</v>
      </c>
      <c r="J1965" s="5"/>
      <c r="K1965" s="5"/>
      <c r="L1965" s="5"/>
      <c r="M1965" s="5"/>
      <c r="N1965" s="9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>
      <c r="A1966" s="6" t="s">
        <v>3902</v>
      </c>
      <c r="B1966" s="6" t="s">
        <v>3903</v>
      </c>
      <c r="C1966" s="5" t="s">
        <v>36</v>
      </c>
      <c r="D1966" s="7" t="str">
        <f>IFERROR(__xludf.DUMMYFUNCTION("GOOGLEFINANCE(""ASX:SKUK"", ""price"")"),"#N/A")</f>
        <v>#N/A</v>
      </c>
      <c r="E1966" s="8" t="str">
        <f>IFERROR(__xludf.DUMMYFUNCTION("GOOGLEFINANCE(""ASX:SKUK"", ""closeyest"")"),"#N/A")</f>
        <v>#N/A</v>
      </c>
      <c r="F1966" s="5" t="str">
        <f>IFERROR(__xludf.DUMMYFUNCTION("GOOGLEFINANCE(""ASX:SKUK"", ""pe"")"),"#N/A")</f>
        <v>#N/A</v>
      </c>
      <c r="G1966" s="5" t="str">
        <f>IFERROR(__xludf.DUMMYFUNCTION("GOOGLEFINANCE(""ASX:SKUK"", ""high52"")"),"#N/A")</f>
        <v>#N/A</v>
      </c>
      <c r="H1966" s="5" t="str">
        <f>IFERROR(__xludf.DUMMYFUNCTION("GOOGLEFINANCE(""ASX:SKUK"", ""low52"")"),"#N/A")</f>
        <v>#N/A</v>
      </c>
      <c r="I1966" s="9" t="str">
        <f>IFERROR(__xludf.DUMMYFUNCTION("GOOGLEFINANCE(""ASX:SKUK"", ""marketcap"")"),"#N/A")</f>
        <v>#N/A</v>
      </c>
      <c r="J1966" s="12">
        <v>1.05</v>
      </c>
      <c r="K1966" s="12">
        <v>1.05</v>
      </c>
      <c r="L1966" s="12">
        <v>1.115</v>
      </c>
      <c r="M1966" s="12">
        <v>1.01</v>
      </c>
      <c r="N1966" s="9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>
      <c r="A1967" s="6" t="s">
        <v>3904</v>
      </c>
      <c r="B1967" s="6" t="s">
        <v>3905</v>
      </c>
      <c r="C1967" s="5" t="s">
        <v>18</v>
      </c>
      <c r="D1967" s="7">
        <f>IFERROR(__xludf.DUMMYFUNCTION("GOOGLEFINANCE(""ASX:SKY"", ""price"")"),0.11)</f>
        <v>0.11</v>
      </c>
      <c r="E1967" s="8">
        <f>IFERROR(__xludf.DUMMYFUNCTION("GOOGLEFINANCE(""ASX:SKY"", ""closeyest"")"),0.09)</f>
        <v>0.09</v>
      </c>
      <c r="F1967" s="5" t="str">
        <f>IFERROR(__xludf.DUMMYFUNCTION("GOOGLEFINANCE(""ASX:SKY"", ""pe"")"),"#N/A")</f>
        <v>#N/A</v>
      </c>
      <c r="G1967" s="9">
        <f>IFERROR(__xludf.DUMMYFUNCTION("GOOGLEFINANCE(""ASX:SKY"", ""high52"")"),0.11)</f>
        <v>0.11</v>
      </c>
      <c r="H1967" s="9">
        <f>IFERROR(__xludf.DUMMYFUNCTION("GOOGLEFINANCE(""ASX:SKY"", ""low52"")"),0.04)</f>
        <v>0.04</v>
      </c>
      <c r="I1967" s="9">
        <f>IFERROR(__xludf.DUMMYFUNCTION("GOOGLEFINANCE(""ASX:SKY"", ""marketcap"")"),8.5722406E7)</f>
        <v>85722406</v>
      </c>
      <c r="J1967" s="5"/>
      <c r="K1967" s="5"/>
      <c r="L1967" s="5"/>
      <c r="M1967" s="5"/>
      <c r="N1967" s="9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>
      <c r="A1968" s="6" t="s">
        <v>3906</v>
      </c>
      <c r="B1968" s="6" t="s">
        <v>3907</v>
      </c>
      <c r="C1968" s="5" t="s">
        <v>18</v>
      </c>
      <c r="D1968" s="7">
        <f>IFERROR(__xludf.DUMMYFUNCTION("GOOGLEFINANCE(""ASX:SLA"", ""price"")"),0.2)</f>
        <v>0.2</v>
      </c>
      <c r="E1968" s="8">
        <f>IFERROR(__xludf.DUMMYFUNCTION("GOOGLEFINANCE(""ASX:SLA"", ""closeyest"")"),0.21)</f>
        <v>0.21</v>
      </c>
      <c r="F1968" s="5" t="str">
        <f>IFERROR(__xludf.DUMMYFUNCTION("GOOGLEFINANCE(""ASX:SLA"", ""pe"")"),"#N/A")</f>
        <v>#N/A</v>
      </c>
      <c r="G1968" s="9">
        <f>IFERROR(__xludf.DUMMYFUNCTION("GOOGLEFINANCE(""ASX:SLA"", ""high52"")"),0.29)</f>
        <v>0.29</v>
      </c>
      <c r="H1968" s="9">
        <f>IFERROR(__xludf.DUMMYFUNCTION("GOOGLEFINANCE(""ASX:SLA"", ""low52"")"),0.09)</f>
        <v>0.09</v>
      </c>
      <c r="I1968" s="9">
        <f>IFERROR(__xludf.DUMMYFUNCTION("GOOGLEFINANCE(""ASX:SLA"", ""marketcap"")"),1.15352E7)</f>
        <v>11535200</v>
      </c>
      <c r="J1968" s="5"/>
      <c r="K1968" s="5"/>
      <c r="L1968" s="5"/>
      <c r="M1968" s="5"/>
      <c r="N1968" s="9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>
      <c r="A1969" s="6" t="s">
        <v>3908</v>
      </c>
      <c r="B1969" s="6" t="s">
        <v>3909</v>
      </c>
      <c r="C1969" s="5" t="s">
        <v>39</v>
      </c>
      <c r="D1969" s="7">
        <f>IFERROR(__xludf.DUMMYFUNCTION("GOOGLEFINANCE(""ASX:SLB"", ""price"")"),0.07)</f>
        <v>0.07</v>
      </c>
      <c r="E1969" s="8">
        <f>IFERROR(__xludf.DUMMYFUNCTION("GOOGLEFINANCE(""ASX:SLB"", ""closeyest"")"),0.07)</f>
        <v>0.07</v>
      </c>
      <c r="F1969" s="5" t="str">
        <f>IFERROR(__xludf.DUMMYFUNCTION("GOOGLEFINANCE(""ASX:SLB"", ""pe"")"),"#N/A")</f>
        <v>#N/A</v>
      </c>
      <c r="G1969" s="9">
        <f>IFERROR(__xludf.DUMMYFUNCTION("GOOGLEFINANCE(""ASX:SLB"", ""high52"")"),0.09)</f>
        <v>0.09</v>
      </c>
      <c r="H1969" s="9">
        <f>IFERROR(__xludf.DUMMYFUNCTION("GOOGLEFINANCE(""ASX:SLB"", ""low52"")"),0.05)</f>
        <v>0.05</v>
      </c>
      <c r="I1969" s="9">
        <f>IFERROR(__xludf.DUMMYFUNCTION("GOOGLEFINANCE(""ASX:SLB"", ""marketcap"")"),4383087.0)</f>
        <v>4383087</v>
      </c>
      <c r="J1969" s="5"/>
      <c r="K1969" s="5"/>
      <c r="L1969" s="5"/>
      <c r="M1969" s="5"/>
      <c r="N1969" s="9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>
      <c r="A1970" s="6" t="s">
        <v>3910</v>
      </c>
      <c r="B1970" s="6" t="s">
        <v>3911</v>
      </c>
      <c r="C1970" s="5" t="s">
        <v>137</v>
      </c>
      <c r="D1970" s="7">
        <f>IFERROR(__xludf.DUMMYFUNCTION("GOOGLEFINANCE(""ASX:SLC"", ""price"")"),2.5)</f>
        <v>2.5</v>
      </c>
      <c r="E1970" s="8">
        <f>IFERROR(__xludf.DUMMYFUNCTION("GOOGLEFINANCE(""ASX:SLC"", ""closeyest"")"),2.48)</f>
        <v>2.48</v>
      </c>
      <c r="F1970" s="9">
        <f>IFERROR(__xludf.DUMMYFUNCTION("GOOGLEFINANCE(""ASX:SLC"", ""pe"")"),1072.96)</f>
        <v>1072.96</v>
      </c>
      <c r="G1970" s="9">
        <f>IFERROR(__xludf.DUMMYFUNCTION("GOOGLEFINANCE(""ASX:SLC"", ""high52"")"),3.57)</f>
        <v>3.57</v>
      </c>
      <c r="H1970" s="9">
        <f>IFERROR(__xludf.DUMMYFUNCTION("GOOGLEFINANCE(""ASX:SLC"", ""low52"")"),1.9)</f>
        <v>1.9</v>
      </c>
      <c r="I1970" s="9">
        <f>IFERROR(__xludf.DUMMYFUNCTION("GOOGLEFINANCE(""ASX:SLC"", ""marketcap"")"),1.2867845E9)</f>
        <v>1286784500</v>
      </c>
      <c r="J1970" s="5"/>
      <c r="K1970" s="5"/>
      <c r="L1970" s="5"/>
      <c r="M1970" s="5"/>
      <c r="N1970" s="9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>
      <c r="A1971" s="6" t="s">
        <v>3912</v>
      </c>
      <c r="B1971" s="6" t="s">
        <v>3913</v>
      </c>
      <c r="C1971" s="5" t="s">
        <v>62</v>
      </c>
      <c r="D1971" s="7">
        <f>IFERROR(__xludf.DUMMYFUNCTION("GOOGLEFINANCE(""ASX:SLD"", ""price"")"),1.26)</f>
        <v>1.26</v>
      </c>
      <c r="E1971" s="8">
        <f>IFERROR(__xludf.DUMMYFUNCTION("GOOGLEFINANCE(""ASX:SLD"", ""closeyest"")"),1.35)</f>
        <v>1.35</v>
      </c>
      <c r="F1971" s="5" t="str">
        <f>IFERROR(__xludf.DUMMYFUNCTION("GOOGLEFINANCE(""ASX:SLD"", ""pe"")"),"#N/A")</f>
        <v>#N/A</v>
      </c>
      <c r="G1971" s="9">
        <f>IFERROR(__xludf.DUMMYFUNCTION("GOOGLEFINANCE(""ASX:SLD"", ""high52"")"),1.9)</f>
        <v>1.9</v>
      </c>
      <c r="H1971" s="9">
        <f>IFERROR(__xludf.DUMMYFUNCTION("GOOGLEFINANCE(""ASX:SLD"", ""low52"")"),1.24)</f>
        <v>1.24</v>
      </c>
      <c r="I1971" s="9" t="str">
        <f>IFERROR(__xludf.DUMMYFUNCTION("GOOGLEFINANCE(""ASX:SLD"", ""marketcap"")"),"#N/A")</f>
        <v>#N/A</v>
      </c>
      <c r="J1971" s="9">
        <v>7.42</v>
      </c>
      <c r="K1971" s="9">
        <v>7.52</v>
      </c>
      <c r="L1971" s="9">
        <v>8.07</v>
      </c>
      <c r="M1971" s="9">
        <v>6.79</v>
      </c>
      <c r="N1971" s="9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>
      <c r="A1972" s="6" t="s">
        <v>3914</v>
      </c>
      <c r="B1972" s="6" t="s">
        <v>3915</v>
      </c>
      <c r="C1972" s="5" t="s">
        <v>3841</v>
      </c>
      <c r="D1972" s="7">
        <f>IFERROR(__xludf.DUMMYFUNCTION("GOOGLEFINANCE(""ASX:SLF"", ""price"")"),13.61)</f>
        <v>13.61</v>
      </c>
      <c r="E1972" s="8">
        <f>IFERROR(__xludf.DUMMYFUNCTION("GOOGLEFINANCE(""ASX:SLF"", ""closeyest"")"),13.52)</f>
        <v>13.52</v>
      </c>
      <c r="F1972" s="5" t="str">
        <f>IFERROR(__xludf.DUMMYFUNCTION("GOOGLEFINANCE(""ASX:SLF"", ""pe"")"),"#N/A")</f>
        <v>#N/A</v>
      </c>
      <c r="G1972" s="9">
        <f>IFERROR(__xludf.DUMMYFUNCTION("GOOGLEFINANCE(""ASX:SLF"", ""high52"")"),14.99)</f>
        <v>14.99</v>
      </c>
      <c r="H1972" s="9">
        <f>IFERROR(__xludf.DUMMYFUNCTION("GOOGLEFINANCE(""ASX:SLF"", ""low52"")"),11.32)</f>
        <v>11.32</v>
      </c>
      <c r="I1972" s="9">
        <f>IFERROR(__xludf.DUMMYFUNCTION("GOOGLEFINANCE(""ASX:SLF"", ""marketcap"")"),6.64167983E8)</f>
        <v>664167983</v>
      </c>
      <c r="J1972" s="5"/>
      <c r="K1972" s="5"/>
      <c r="L1972" s="5"/>
      <c r="M1972" s="5"/>
      <c r="N1972" s="9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>
      <c r="A1973" s="6" t="s">
        <v>3916</v>
      </c>
      <c r="B1973" s="6" t="s">
        <v>3917</v>
      </c>
      <c r="C1973" s="5" t="s">
        <v>39</v>
      </c>
      <c r="D1973" s="7">
        <f>IFERROR(__xludf.DUMMYFUNCTION("GOOGLEFINANCE(""ASX:SLM"", ""price"")"),0.05)</f>
        <v>0.05</v>
      </c>
      <c r="E1973" s="8">
        <f>IFERROR(__xludf.DUMMYFUNCTION("GOOGLEFINANCE(""ASX:SLM"", ""closeyest"")"),0.05)</f>
        <v>0.05</v>
      </c>
      <c r="F1973" s="5" t="str">
        <f>IFERROR(__xludf.DUMMYFUNCTION("GOOGLEFINANCE(""ASX:SLM"", ""pe"")"),"#N/A")</f>
        <v>#N/A</v>
      </c>
      <c r="G1973" s="9">
        <f>IFERROR(__xludf.DUMMYFUNCTION("GOOGLEFINANCE(""ASX:SLM"", ""high52"")"),0.14)</f>
        <v>0.14</v>
      </c>
      <c r="H1973" s="9">
        <f>IFERROR(__xludf.DUMMYFUNCTION("GOOGLEFINANCE(""ASX:SLM"", ""low52"")"),0.04)</f>
        <v>0.04</v>
      </c>
      <c r="I1973" s="9">
        <f>IFERROR(__xludf.DUMMYFUNCTION("GOOGLEFINANCE(""ASX:SLM"", ""marketcap"")"),1.0959093E7)</f>
        <v>10959093</v>
      </c>
      <c r="J1973" s="5"/>
      <c r="K1973" s="5"/>
      <c r="L1973" s="5"/>
      <c r="M1973" s="5"/>
      <c r="N1973" s="9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>
      <c r="A1974" s="6" t="s">
        <v>3918</v>
      </c>
      <c r="B1974" s="6" t="s">
        <v>3919</v>
      </c>
      <c r="C1974" s="5" t="s">
        <v>88</v>
      </c>
      <c r="D1974" s="7">
        <f>IFERROR(__xludf.DUMMYFUNCTION("GOOGLEFINANCE(""ASX:SLS"", ""price"")"),0.41)</f>
        <v>0.41</v>
      </c>
      <c r="E1974" s="8">
        <f>IFERROR(__xludf.DUMMYFUNCTION("GOOGLEFINANCE(""ASX:SLS"", ""closeyest"")"),0.38)</f>
        <v>0.38</v>
      </c>
      <c r="F1974" s="5" t="str">
        <f>IFERROR(__xludf.DUMMYFUNCTION("GOOGLEFINANCE(""ASX:SLS"", ""pe"")"),"#N/A")</f>
        <v>#N/A</v>
      </c>
      <c r="G1974" s="9">
        <f>IFERROR(__xludf.DUMMYFUNCTION("GOOGLEFINANCE(""ASX:SLS"", ""high52"")"),0.45)</f>
        <v>0.45</v>
      </c>
      <c r="H1974" s="9">
        <f>IFERROR(__xludf.DUMMYFUNCTION("GOOGLEFINANCE(""ASX:SLS"", ""low52"")"),0.14)</f>
        <v>0.14</v>
      </c>
      <c r="I1974" s="9">
        <f>IFERROR(__xludf.DUMMYFUNCTION("GOOGLEFINANCE(""ASX:SLS"", ""marketcap"")"),4.6023688E7)</f>
        <v>46023688</v>
      </c>
      <c r="J1974" s="5"/>
      <c r="K1974" s="5"/>
      <c r="L1974" s="5"/>
      <c r="M1974" s="5"/>
      <c r="N1974" s="9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>
      <c r="A1975" s="6" t="s">
        <v>3920</v>
      </c>
      <c r="B1975" s="6" t="s">
        <v>3921</v>
      </c>
      <c r="C1975" s="5" t="s">
        <v>330</v>
      </c>
      <c r="D1975" s="7">
        <f>IFERROR(__xludf.DUMMYFUNCTION("GOOGLEFINANCE(""ASX:SLX"", ""price"")"),7.08)</f>
        <v>7.08</v>
      </c>
      <c r="E1975" s="8">
        <f>IFERROR(__xludf.DUMMYFUNCTION("GOOGLEFINANCE(""ASX:SLX"", ""closeyest"")"),6.5)</f>
        <v>6.5</v>
      </c>
      <c r="F1975" s="5" t="str">
        <f>IFERROR(__xludf.DUMMYFUNCTION("GOOGLEFINANCE(""ASX:SLX"", ""pe"")"),"#N/A")</f>
        <v>#N/A</v>
      </c>
      <c r="G1975" s="9">
        <f>IFERROR(__xludf.DUMMYFUNCTION("GOOGLEFINANCE(""ASX:SLX"", ""high52"")"),10.85)</f>
        <v>10.85</v>
      </c>
      <c r="H1975" s="9">
        <f>IFERROR(__xludf.DUMMYFUNCTION("GOOGLEFINANCE(""ASX:SLX"", ""low52"")"),2.28)</f>
        <v>2.28</v>
      </c>
      <c r="I1975" s="9">
        <f>IFERROR(__xludf.DUMMYFUNCTION("GOOGLEFINANCE(""ASX:SLX"", ""marketcap"")"),1.968078554E9)</f>
        <v>1968078554</v>
      </c>
      <c r="J1975" s="5"/>
      <c r="K1975" s="5"/>
      <c r="L1975" s="5"/>
      <c r="M1975" s="5"/>
      <c r="N1975" s="9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>
      <c r="A1976" s="6" t="s">
        <v>3922</v>
      </c>
      <c r="B1976" s="6" t="s">
        <v>3923</v>
      </c>
      <c r="C1976" s="5" t="s">
        <v>88</v>
      </c>
      <c r="D1976" s="7">
        <f>IFERROR(__xludf.DUMMYFUNCTION("GOOGLEFINANCE(""ASX:SLZ"", ""price"")"),0.01)</f>
        <v>0.01</v>
      </c>
      <c r="E1976" s="8">
        <f>IFERROR(__xludf.DUMMYFUNCTION("GOOGLEFINANCE(""ASX:SLZ"", ""closeyest"")"),0.01)</f>
        <v>0.01</v>
      </c>
      <c r="F1976" s="5" t="str">
        <f>IFERROR(__xludf.DUMMYFUNCTION("GOOGLEFINANCE(""ASX:SLZ"", ""pe"")"),"#N/A")</f>
        <v>#N/A</v>
      </c>
      <c r="G1976" s="9">
        <f>IFERROR(__xludf.DUMMYFUNCTION("GOOGLEFINANCE(""ASX:SLZ"", ""high52"")"),0.02)</f>
        <v>0.02</v>
      </c>
      <c r="H1976" s="9">
        <f>IFERROR(__xludf.DUMMYFUNCTION("GOOGLEFINANCE(""ASX:SLZ"", ""low52"")"),0.0)</f>
        <v>0</v>
      </c>
      <c r="I1976" s="9">
        <f>IFERROR(__xludf.DUMMYFUNCTION("GOOGLEFINANCE(""ASX:SLZ"", ""marketcap"")"),7724136.0)</f>
        <v>7724136</v>
      </c>
      <c r="J1976" s="5"/>
      <c r="K1976" s="5"/>
      <c r="L1976" s="5"/>
      <c r="M1976" s="5"/>
      <c r="N1976" s="9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>
      <c r="A1977" s="6" t="s">
        <v>3924</v>
      </c>
      <c r="B1977" s="6" t="s">
        <v>3925</v>
      </c>
      <c r="C1977" s="5" t="s">
        <v>98</v>
      </c>
      <c r="D1977" s="7">
        <f>IFERROR(__xludf.DUMMYFUNCTION("GOOGLEFINANCE(""ASX:SM1"", ""price"")"),0.54)</f>
        <v>0.54</v>
      </c>
      <c r="E1977" s="8">
        <f>IFERROR(__xludf.DUMMYFUNCTION("GOOGLEFINANCE(""ASX:SM1"", ""closeyest"")"),0.56)</f>
        <v>0.56</v>
      </c>
      <c r="F1977" s="5" t="str">
        <f>IFERROR(__xludf.DUMMYFUNCTION("GOOGLEFINANCE(""ASX:SM1"", ""pe"")"),"#N/A")</f>
        <v>#N/A</v>
      </c>
      <c r="G1977" s="9">
        <f>IFERROR(__xludf.DUMMYFUNCTION("GOOGLEFINANCE(""ASX:SM1"", ""high52"")"),0.95)</f>
        <v>0.95</v>
      </c>
      <c r="H1977" s="9">
        <f>IFERROR(__xludf.DUMMYFUNCTION("GOOGLEFINANCE(""ASX:SM1"", ""low52"")"),0.36)</f>
        <v>0.36</v>
      </c>
      <c r="I1977" s="9">
        <f>IFERROR(__xludf.DUMMYFUNCTION("GOOGLEFINANCE(""ASX:SM1"", ""marketcap"")"),3.874505E8)</f>
        <v>387450500</v>
      </c>
      <c r="J1977" s="5"/>
      <c r="K1977" s="5"/>
      <c r="L1977" s="5"/>
      <c r="M1977" s="5"/>
      <c r="N1977" s="9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>
      <c r="A1978" s="6" t="s">
        <v>3926</v>
      </c>
      <c r="B1978" s="6" t="s">
        <v>3927</v>
      </c>
      <c r="C1978" s="5" t="s">
        <v>88</v>
      </c>
      <c r="D1978" s="7">
        <f>IFERROR(__xludf.DUMMYFUNCTION("GOOGLEFINANCE(""ASX:SMI"", ""price"")"),0.94)</f>
        <v>0.94</v>
      </c>
      <c r="E1978" s="8">
        <f>IFERROR(__xludf.DUMMYFUNCTION("GOOGLEFINANCE(""ASX:SMI"", ""closeyest"")"),0.91)</f>
        <v>0.91</v>
      </c>
      <c r="F1978" s="5" t="str">
        <f>IFERROR(__xludf.DUMMYFUNCTION("GOOGLEFINANCE(""ASX:SMI"", ""pe"")"),"#N/A")</f>
        <v>#N/A</v>
      </c>
      <c r="G1978" s="9">
        <f>IFERROR(__xludf.DUMMYFUNCTION("GOOGLEFINANCE(""ASX:SMI"", ""high52"")"),0.99)</f>
        <v>0.99</v>
      </c>
      <c r="H1978" s="9">
        <f>IFERROR(__xludf.DUMMYFUNCTION("GOOGLEFINANCE(""ASX:SMI"", ""low52"")"),0.4)</f>
        <v>0.4</v>
      </c>
      <c r="I1978" s="9">
        <f>IFERROR(__xludf.DUMMYFUNCTION("GOOGLEFINANCE(""ASX:SMI"", ""marketcap"")"),7.81109166E8)</f>
        <v>781109166</v>
      </c>
      <c r="J1978" s="5"/>
      <c r="K1978" s="5"/>
      <c r="L1978" s="5"/>
      <c r="M1978" s="5"/>
      <c r="N1978" s="9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>
      <c r="A1979" s="6" t="s">
        <v>3928</v>
      </c>
      <c r="B1979" s="6" t="s">
        <v>3929</v>
      </c>
      <c r="C1979" s="5" t="s">
        <v>36</v>
      </c>
      <c r="D1979" s="7" t="str">
        <f>IFERROR(__xludf.DUMMYFUNCTION("GOOGLEFINANCE(""ASX:SMLL"", ""price"")"),"#N/A")</f>
        <v>#N/A</v>
      </c>
      <c r="E1979" s="8" t="str">
        <f>IFERROR(__xludf.DUMMYFUNCTION("GOOGLEFINANCE(""ASX:SMLL"", ""closeyest"")"),"#N/A")</f>
        <v>#N/A</v>
      </c>
      <c r="F1979" s="5" t="str">
        <f>IFERROR(__xludf.DUMMYFUNCTION("GOOGLEFINANCE(""ASX:SMLL"", ""pe"")"),"#N/A")</f>
        <v>#N/A</v>
      </c>
      <c r="G1979" s="5" t="str">
        <f>IFERROR(__xludf.DUMMYFUNCTION("GOOGLEFINANCE(""ASX:SMLL"", ""high52"")"),"#N/A")</f>
        <v>#N/A</v>
      </c>
      <c r="H1979" s="5" t="str">
        <f>IFERROR(__xludf.DUMMYFUNCTION("GOOGLEFINANCE(""ASX:SMLL"", ""low52"")"),"#N/A")</f>
        <v>#N/A</v>
      </c>
      <c r="I1979" s="9" t="str">
        <f>IFERROR(__xludf.DUMMYFUNCTION("GOOGLEFINANCE(""ASX:SMLL"", ""marketcap"")"),"#N/A")</f>
        <v>#N/A</v>
      </c>
      <c r="J1979" s="12">
        <v>4.73</v>
      </c>
      <c r="K1979" s="12">
        <v>4.71</v>
      </c>
      <c r="L1979" s="12">
        <v>4.82</v>
      </c>
      <c r="M1979" s="12">
        <v>3.25</v>
      </c>
      <c r="N1979" s="9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>
      <c r="A1980" s="6" t="s">
        <v>3930</v>
      </c>
      <c r="B1980" s="6" t="s">
        <v>3931</v>
      </c>
      <c r="C1980" s="5" t="s">
        <v>88</v>
      </c>
      <c r="D1980" s="7">
        <f>IFERROR(__xludf.DUMMYFUNCTION("GOOGLEFINANCE(""ASX:SMM"", ""price"")"),0.02)</f>
        <v>0.02</v>
      </c>
      <c r="E1980" s="8">
        <f>IFERROR(__xludf.DUMMYFUNCTION("GOOGLEFINANCE(""ASX:SMM"", ""closeyest"")"),0.02)</f>
        <v>0.02</v>
      </c>
      <c r="F1980" s="5" t="str">
        <f>IFERROR(__xludf.DUMMYFUNCTION("GOOGLEFINANCE(""ASX:SMM"", ""pe"")"),"#N/A")</f>
        <v>#N/A</v>
      </c>
      <c r="G1980" s="9">
        <f>IFERROR(__xludf.DUMMYFUNCTION("GOOGLEFINANCE(""ASX:SMM"", ""high52"")"),0.03)</f>
        <v>0.03</v>
      </c>
      <c r="H1980" s="9">
        <f>IFERROR(__xludf.DUMMYFUNCTION("GOOGLEFINANCE(""ASX:SMM"", ""low52"")"),0.01)</f>
        <v>0.01</v>
      </c>
      <c r="I1980" s="9">
        <f>IFERROR(__xludf.DUMMYFUNCTION("GOOGLEFINANCE(""ASX:SMM"", ""marketcap"")"),1.6260908E7)</f>
        <v>16260908</v>
      </c>
      <c r="J1980" s="5"/>
      <c r="K1980" s="5"/>
      <c r="L1980" s="5"/>
      <c r="M1980" s="5"/>
      <c r="N1980" s="9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>
      <c r="A1981" s="6" t="s">
        <v>3932</v>
      </c>
      <c r="B1981" s="6" t="s">
        <v>3933</v>
      </c>
      <c r="C1981" s="5" t="s">
        <v>504</v>
      </c>
      <c r="D1981" s="7">
        <f>IFERROR(__xludf.DUMMYFUNCTION("GOOGLEFINANCE(""ASX:SMN"", ""price"")"),0.43)</f>
        <v>0.43</v>
      </c>
      <c r="E1981" s="8">
        <f>IFERROR(__xludf.DUMMYFUNCTION("GOOGLEFINANCE(""ASX:SMN"", ""closeyest"")"),0.39)</f>
        <v>0.39</v>
      </c>
      <c r="F1981" s="9">
        <f>IFERROR(__xludf.DUMMYFUNCTION("GOOGLEFINANCE(""ASX:SMN"", ""pe"")"),363.25)</f>
        <v>363.25</v>
      </c>
      <c r="G1981" s="9">
        <f>IFERROR(__xludf.DUMMYFUNCTION("GOOGLEFINANCE(""ASX:SMN"", ""high52"")"),0.57)</f>
        <v>0.57</v>
      </c>
      <c r="H1981" s="9">
        <f>IFERROR(__xludf.DUMMYFUNCTION("GOOGLEFINANCE(""ASX:SMN"", ""low52"")"),0.29)</f>
        <v>0.29</v>
      </c>
      <c r="I1981" s="9">
        <f>IFERROR(__xludf.DUMMYFUNCTION("GOOGLEFINANCE(""ASX:SMN"", ""marketcap"")"),6.5622126E7)</f>
        <v>65622126</v>
      </c>
      <c r="J1981" s="5"/>
      <c r="K1981" s="5"/>
      <c r="L1981" s="5"/>
      <c r="M1981" s="5"/>
      <c r="N1981" s="9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>
      <c r="A1982" s="6" t="s">
        <v>3934</v>
      </c>
      <c r="B1982" s="6" t="s">
        <v>3935</v>
      </c>
      <c r="C1982" s="5" t="s">
        <v>314</v>
      </c>
      <c r="D1982" s="7">
        <f>IFERROR(__xludf.DUMMYFUNCTION("GOOGLEFINANCE(""ASX:SMR"", ""price"")"),2.68)</f>
        <v>2.68</v>
      </c>
      <c r="E1982" s="8">
        <f>IFERROR(__xludf.DUMMYFUNCTION("GOOGLEFINANCE(""ASX:SMR"", ""closeyest"")"),2.67)</f>
        <v>2.67</v>
      </c>
      <c r="F1982" s="9">
        <f>IFERROR(__xludf.DUMMYFUNCTION("GOOGLEFINANCE(""ASX:SMR"", ""pe"")"),343.59)</f>
        <v>343.59</v>
      </c>
      <c r="G1982" s="9">
        <f>IFERROR(__xludf.DUMMYFUNCTION("GOOGLEFINANCE(""ASX:SMR"", ""high52"")"),3.08)</f>
        <v>3.08</v>
      </c>
      <c r="H1982" s="9">
        <f>IFERROR(__xludf.DUMMYFUNCTION("GOOGLEFINANCE(""ASX:SMR"", ""low52"")"),1.58)</f>
        <v>1.58</v>
      </c>
      <c r="I1982" s="9">
        <f>IFERROR(__xludf.DUMMYFUNCTION("GOOGLEFINANCE(""ASX:SMR"", ""marketcap"")"),2.415729548E9)</f>
        <v>2415729548</v>
      </c>
      <c r="J1982" s="5"/>
      <c r="K1982" s="5"/>
      <c r="L1982" s="5"/>
      <c r="M1982" s="5"/>
      <c r="N1982" s="9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>
      <c r="A1983" s="6" t="s">
        <v>3936</v>
      </c>
      <c r="B1983" s="6" t="s">
        <v>3937</v>
      </c>
      <c r="C1983" s="5" t="s">
        <v>18</v>
      </c>
      <c r="D1983" s="7">
        <f>IFERROR(__xludf.DUMMYFUNCTION("GOOGLEFINANCE(""ASX:SMS"", ""price"")"),0.05)</f>
        <v>0.05</v>
      </c>
      <c r="E1983" s="8">
        <f>IFERROR(__xludf.DUMMYFUNCTION("GOOGLEFINANCE(""ASX:SMS"", ""closeyest"")"),0.04)</f>
        <v>0.04</v>
      </c>
      <c r="F1983" s="5" t="str">
        <f>IFERROR(__xludf.DUMMYFUNCTION("GOOGLEFINANCE(""ASX:SMS"", ""pe"")"),"#N/A")</f>
        <v>#N/A</v>
      </c>
      <c r="G1983" s="9">
        <f>IFERROR(__xludf.DUMMYFUNCTION("GOOGLEFINANCE(""ASX:SMS"", ""high52"")"),0.07)</f>
        <v>0.07</v>
      </c>
      <c r="H1983" s="9">
        <f>IFERROR(__xludf.DUMMYFUNCTION("GOOGLEFINANCE(""ASX:SMS"", ""low52"")"),0.02)</f>
        <v>0.02</v>
      </c>
      <c r="I1983" s="9">
        <f>IFERROR(__xludf.DUMMYFUNCTION("GOOGLEFINANCE(""ASX:SMS"", ""marketcap"")"),1.1489913E7)</f>
        <v>11489913</v>
      </c>
      <c r="J1983" s="5"/>
      <c r="K1983" s="5"/>
      <c r="L1983" s="5"/>
      <c r="M1983" s="5"/>
      <c r="N1983" s="9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>
      <c r="A1984" s="6" t="s">
        <v>3938</v>
      </c>
      <c r="B1984" s="6" t="s">
        <v>3939</v>
      </c>
      <c r="C1984" s="5" t="s">
        <v>39</v>
      </c>
      <c r="D1984" s="7">
        <f>IFERROR(__xludf.DUMMYFUNCTION("GOOGLEFINANCE(""ASX:SMX"", ""price"")"),0.02)</f>
        <v>0.02</v>
      </c>
      <c r="E1984" s="8">
        <f>IFERROR(__xludf.DUMMYFUNCTION("GOOGLEFINANCE(""ASX:SMX"", ""closeyest"")"),0.02)</f>
        <v>0.02</v>
      </c>
      <c r="F1984" s="5" t="str">
        <f>IFERROR(__xludf.DUMMYFUNCTION("GOOGLEFINANCE(""ASX:SMX"", ""pe"")"),"#N/A")</f>
        <v>#N/A</v>
      </c>
      <c r="G1984" s="9">
        <f>IFERROR(__xludf.DUMMYFUNCTION("GOOGLEFINANCE(""ASX:SMX"", ""high52"")"),0.06)</f>
        <v>0.06</v>
      </c>
      <c r="H1984" s="9">
        <f>IFERROR(__xludf.DUMMYFUNCTION("GOOGLEFINANCE(""ASX:SMX"", ""low52"")"),0.01)</f>
        <v>0.01</v>
      </c>
      <c r="I1984" s="9">
        <f>IFERROR(__xludf.DUMMYFUNCTION("GOOGLEFINANCE(""ASX:SMX"", ""marketcap"")"),7229774.0)</f>
        <v>7229774</v>
      </c>
      <c r="J1984" s="5"/>
      <c r="K1984" s="5"/>
      <c r="L1984" s="5"/>
      <c r="M1984" s="5"/>
      <c r="N1984" s="9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>
      <c r="A1985" s="6" t="s">
        <v>3940</v>
      </c>
      <c r="B1985" s="6" t="s">
        <v>3941</v>
      </c>
      <c r="C1985" s="5" t="s">
        <v>36</v>
      </c>
      <c r="D1985" s="7" t="str">
        <f>IFERROR(__xludf.DUMMYFUNCTION("GOOGLEFINANCE(""ASX:SNAS"", ""price"")"),"#N/A")</f>
        <v>#N/A</v>
      </c>
      <c r="E1985" s="8" t="str">
        <f>IFERROR(__xludf.DUMMYFUNCTION("GOOGLEFINANCE(""ASX:SNAS"", ""closeyest"")"),"#N/A")</f>
        <v>#N/A</v>
      </c>
      <c r="F1985" s="5" t="str">
        <f>IFERROR(__xludf.DUMMYFUNCTION("GOOGLEFINANCE(""ASX:SNAS"", ""pe"")"),"#N/A")</f>
        <v>#N/A</v>
      </c>
      <c r="G1985" s="5" t="str">
        <f>IFERROR(__xludf.DUMMYFUNCTION("GOOGLEFINANCE(""ASX:SNAS"", ""high52"")"),"#N/A")</f>
        <v>#N/A</v>
      </c>
      <c r="H1985" s="5" t="str">
        <f>IFERROR(__xludf.DUMMYFUNCTION("GOOGLEFINANCE(""ASX:SNAS"", ""low52"")"),"#N/A")</f>
        <v>#N/A</v>
      </c>
      <c r="I1985" s="9" t="str">
        <f>IFERROR(__xludf.DUMMYFUNCTION("GOOGLEFINANCE(""ASX:SNAS"", ""marketcap"")"),"#N/A")</f>
        <v>#N/A</v>
      </c>
      <c r="J1985" s="12">
        <v>15.42</v>
      </c>
      <c r="K1985" s="12">
        <v>15.63</v>
      </c>
      <c r="L1985" s="12">
        <v>40.3</v>
      </c>
      <c r="M1985" s="12">
        <v>14.42</v>
      </c>
      <c r="N1985" s="9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>
      <c r="A1986" s="6" t="s">
        <v>3942</v>
      </c>
      <c r="B1986" s="6" t="s">
        <v>3943</v>
      </c>
      <c r="C1986" s="5" t="s">
        <v>171</v>
      </c>
      <c r="D1986" s="7">
        <f>IFERROR(__xludf.DUMMYFUNCTION("GOOGLEFINANCE(""ASX:SNC"", ""price"")"),0.95)</f>
        <v>0.95</v>
      </c>
      <c r="E1986" s="8">
        <f>IFERROR(__xludf.DUMMYFUNCTION("GOOGLEFINANCE(""ASX:SNC"", ""closeyest"")"),0.95)</f>
        <v>0.95</v>
      </c>
      <c r="F1986" s="9">
        <f>IFERROR(__xludf.DUMMYFUNCTION("GOOGLEFINANCE(""ASX:SNC"", ""pe"")"),5.51)</f>
        <v>5.51</v>
      </c>
      <c r="G1986" s="9">
        <f>IFERROR(__xludf.DUMMYFUNCTION("GOOGLEFINANCE(""ASX:SNC"", ""high52"")"),0.98)</f>
        <v>0.98</v>
      </c>
      <c r="H1986" s="9">
        <f>IFERROR(__xludf.DUMMYFUNCTION("GOOGLEFINANCE(""ASX:SNC"", ""low52"")"),0.71)</f>
        <v>0.71</v>
      </c>
      <c r="I1986" s="9">
        <f>IFERROR(__xludf.DUMMYFUNCTION("GOOGLEFINANCE(""ASX:SNC"", ""marketcap"")"),1.38180072E8)</f>
        <v>138180072</v>
      </c>
      <c r="J1986" s="5"/>
      <c r="K1986" s="5"/>
      <c r="L1986" s="5"/>
      <c r="M1986" s="5"/>
      <c r="N1986" s="9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>
      <c r="A1987" s="6" t="s">
        <v>3944</v>
      </c>
      <c r="B1987" s="6" t="s">
        <v>3945</v>
      </c>
      <c r="C1987" s="5" t="s">
        <v>123</v>
      </c>
      <c r="D1987" s="7">
        <f>IFERROR(__xludf.DUMMYFUNCTION("GOOGLEFINANCE(""ASX:SND"", ""price"")"),0.87)</f>
        <v>0.87</v>
      </c>
      <c r="E1987" s="8">
        <f>IFERROR(__xludf.DUMMYFUNCTION("GOOGLEFINANCE(""ASX:SND"", ""closeyest"")"),0.83)</f>
        <v>0.83</v>
      </c>
      <c r="F1987" s="9">
        <f>IFERROR(__xludf.DUMMYFUNCTION("GOOGLEFINANCE(""ASX:SND"", ""pe"")"),51.45)</f>
        <v>51.45</v>
      </c>
      <c r="G1987" s="9">
        <f>IFERROR(__xludf.DUMMYFUNCTION("GOOGLEFINANCE(""ASX:SND"", ""high52"")"),1.12)</f>
        <v>1.12</v>
      </c>
      <c r="H1987" s="9">
        <f>IFERROR(__xludf.DUMMYFUNCTION("GOOGLEFINANCE(""ASX:SND"", ""low52"")"),0.65)</f>
        <v>0.65</v>
      </c>
      <c r="I1987" s="9">
        <f>IFERROR(__xludf.DUMMYFUNCTION("GOOGLEFINANCE(""ASX:SND"", ""marketcap"")"),1.21445127E8)</f>
        <v>121445127</v>
      </c>
      <c r="J1987" s="5"/>
      <c r="K1987" s="5"/>
      <c r="L1987" s="5"/>
      <c r="M1987" s="5"/>
      <c r="N1987" s="9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>
      <c r="A1988" s="6" t="s">
        <v>3946</v>
      </c>
      <c r="B1988" s="6" t="s">
        <v>3947</v>
      </c>
      <c r="C1988" s="5" t="s">
        <v>88</v>
      </c>
      <c r="D1988" s="7">
        <f>IFERROR(__xludf.DUMMYFUNCTION("GOOGLEFINANCE(""ASX:SNG"", ""price"")"),0.1)</f>
        <v>0.1</v>
      </c>
      <c r="E1988" s="8">
        <f>IFERROR(__xludf.DUMMYFUNCTION("GOOGLEFINANCE(""ASX:SNG"", ""closeyest"")"),0.1)</f>
        <v>0.1</v>
      </c>
      <c r="F1988" s="9">
        <f>IFERROR(__xludf.DUMMYFUNCTION("GOOGLEFINANCE(""ASX:SNG"", ""pe"")"),0.33)</f>
        <v>0.33</v>
      </c>
      <c r="G1988" s="9">
        <f>IFERROR(__xludf.DUMMYFUNCTION("GOOGLEFINANCE(""ASX:SNG"", ""high52"")"),0.14)</f>
        <v>0.14</v>
      </c>
      <c r="H1988" s="9">
        <f>IFERROR(__xludf.DUMMYFUNCTION("GOOGLEFINANCE(""ASX:SNG"", ""low52"")"),0.05)</f>
        <v>0.05</v>
      </c>
      <c r="I1988" s="9">
        <f>IFERROR(__xludf.DUMMYFUNCTION("GOOGLEFINANCE(""ASX:SNG"", ""marketcap"")"),2.7646092E7)</f>
        <v>27646092</v>
      </c>
      <c r="J1988" s="5"/>
      <c r="K1988" s="5"/>
      <c r="L1988" s="5"/>
      <c r="M1988" s="5"/>
      <c r="N1988" s="9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>
      <c r="A1989" s="6" t="s">
        <v>3948</v>
      </c>
      <c r="B1989" s="6" t="s">
        <v>3949</v>
      </c>
      <c r="C1989" s="5" t="s">
        <v>148</v>
      </c>
      <c r="D1989" s="7">
        <f>IFERROR(__xludf.DUMMYFUNCTION("GOOGLEFINANCE(""ASX:SNL"", ""price"")"),33.5)</f>
        <v>33.5</v>
      </c>
      <c r="E1989" s="8">
        <f>IFERROR(__xludf.DUMMYFUNCTION("GOOGLEFINANCE(""ASX:SNL"", ""closeyest"")"),32.05)</f>
        <v>32.05</v>
      </c>
      <c r="F1989" s="9">
        <f>IFERROR(__xludf.DUMMYFUNCTION("GOOGLEFINANCE(""ASX:SNL"", ""pe"")"),36.14)</f>
        <v>36.14</v>
      </c>
      <c r="G1989" s="9">
        <f>IFERROR(__xludf.DUMMYFUNCTION("GOOGLEFINANCE(""ASX:SNL"", ""high52"")"),41.99)</f>
        <v>41.99</v>
      </c>
      <c r="H1989" s="9">
        <f>IFERROR(__xludf.DUMMYFUNCTION("GOOGLEFINANCE(""ASX:SNL"", ""low52"")"),30.11)</f>
        <v>30.11</v>
      </c>
      <c r="I1989" s="9">
        <f>IFERROR(__xludf.DUMMYFUNCTION("GOOGLEFINANCE(""ASX:SNL"", ""marketcap"")"),1.465753975E9)</f>
        <v>1465753975</v>
      </c>
      <c r="J1989" s="5"/>
      <c r="K1989" s="5"/>
      <c r="L1989" s="5"/>
      <c r="M1989" s="5"/>
      <c r="N1989" s="9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>
      <c r="A1990" s="6" t="s">
        <v>3950</v>
      </c>
      <c r="B1990" s="6" t="s">
        <v>3951</v>
      </c>
      <c r="C1990" s="5" t="s">
        <v>3952</v>
      </c>
      <c r="D1990" s="7">
        <f>IFERROR(__xludf.DUMMYFUNCTION("GOOGLEFINANCE(""ASX:SNM"", ""price"")"),0.45)</f>
        <v>0.45</v>
      </c>
      <c r="E1990" s="8">
        <f>IFERROR(__xludf.DUMMYFUNCTION("GOOGLEFINANCE(""ASX:SNM"", ""closeyest"")"),0.47)</f>
        <v>0.47</v>
      </c>
      <c r="F1990" s="5" t="str">
        <f>IFERROR(__xludf.DUMMYFUNCTION("GOOGLEFINANCE(""ASX:SNM"", ""pe"")"),"#N/A")</f>
        <v>#N/A</v>
      </c>
      <c r="G1990" s="9">
        <f>IFERROR(__xludf.DUMMYFUNCTION("GOOGLEFINANCE(""ASX:SNM"", ""high52"")"),0.54)</f>
        <v>0.54</v>
      </c>
      <c r="H1990" s="9">
        <f>IFERROR(__xludf.DUMMYFUNCTION("GOOGLEFINANCE(""ASX:SNM"", ""low52"")"),0.27)</f>
        <v>0.27</v>
      </c>
      <c r="I1990" s="9" t="str">
        <f>IFERROR(__xludf.DUMMYFUNCTION("GOOGLEFINANCE(""ASX:SNM"", ""marketcap"")"),"#N/A")</f>
        <v>#N/A</v>
      </c>
      <c r="J1990" s="5"/>
      <c r="K1990" s="5"/>
      <c r="L1990" s="5"/>
      <c r="M1990" s="5"/>
      <c r="N1990" s="9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>
      <c r="A1991" s="6" t="s">
        <v>3953</v>
      </c>
      <c r="B1991" s="6" t="s">
        <v>3954</v>
      </c>
      <c r="C1991" s="5" t="s">
        <v>15</v>
      </c>
      <c r="D1991" s="7">
        <f>IFERROR(__xludf.DUMMYFUNCTION("GOOGLEFINANCE(""ASX:SNS"", ""price"")"),0.08)</f>
        <v>0.08</v>
      </c>
      <c r="E1991" s="8">
        <f>IFERROR(__xludf.DUMMYFUNCTION("GOOGLEFINANCE(""ASX:SNS"", ""closeyest"")"),0.08)</f>
        <v>0.08</v>
      </c>
      <c r="F1991" s="9">
        <f>IFERROR(__xludf.DUMMYFUNCTION("GOOGLEFINANCE(""ASX:SNS"", ""pe"")"),140.35)</f>
        <v>140.35</v>
      </c>
      <c r="G1991" s="9">
        <f>IFERROR(__xludf.DUMMYFUNCTION("GOOGLEFINANCE(""ASX:SNS"", ""high52"")"),0.13)</f>
        <v>0.13</v>
      </c>
      <c r="H1991" s="9">
        <f>IFERROR(__xludf.DUMMYFUNCTION("GOOGLEFINANCE(""ASX:SNS"", ""low52"")"),0.02)</f>
        <v>0.02</v>
      </c>
      <c r="I1991" s="9">
        <f>IFERROR(__xludf.DUMMYFUNCTION("GOOGLEFINANCE(""ASX:SNS"", ""marketcap"")"),6.8884374E7)</f>
        <v>68884374</v>
      </c>
      <c r="J1991" s="5"/>
      <c r="K1991" s="5"/>
      <c r="L1991" s="5"/>
      <c r="M1991" s="5"/>
      <c r="N1991" s="9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>
      <c r="A1992" s="6" t="s">
        <v>3955</v>
      </c>
      <c r="B1992" s="6" t="s">
        <v>3956</v>
      </c>
      <c r="C1992" s="5" t="s">
        <v>25</v>
      </c>
      <c r="D1992" s="7">
        <f>IFERROR(__xludf.DUMMYFUNCTION("GOOGLEFINANCE(""ASX:SNT"", ""price"")"),0.03)</f>
        <v>0.03</v>
      </c>
      <c r="E1992" s="8">
        <f>IFERROR(__xludf.DUMMYFUNCTION("GOOGLEFINANCE(""ASX:SNT"", ""closeyest"")"),0.03)</f>
        <v>0.03</v>
      </c>
      <c r="F1992" s="5" t="str">
        <f>IFERROR(__xludf.DUMMYFUNCTION("GOOGLEFINANCE(""ASX:SNT"", ""pe"")"),"#N/A")</f>
        <v>#N/A</v>
      </c>
      <c r="G1992" s="9">
        <f>IFERROR(__xludf.DUMMYFUNCTION("GOOGLEFINANCE(""ASX:SNT"", ""high52"")"),0.1)</f>
        <v>0.1</v>
      </c>
      <c r="H1992" s="9">
        <f>IFERROR(__xludf.DUMMYFUNCTION("GOOGLEFINANCE(""ASX:SNT"", ""low52"")"),0.02)</f>
        <v>0.02</v>
      </c>
      <c r="I1992" s="9">
        <f>IFERROR(__xludf.DUMMYFUNCTION("GOOGLEFINANCE(""ASX:SNT"", ""marketcap"")"),5.5664795E7)</f>
        <v>55664795</v>
      </c>
      <c r="J1992" s="5"/>
      <c r="K1992" s="5"/>
      <c r="L1992" s="5"/>
      <c r="M1992" s="5"/>
      <c r="N1992" s="9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>
      <c r="A1993" s="6" t="s">
        <v>3957</v>
      </c>
      <c r="B1993" s="6" t="s">
        <v>3958</v>
      </c>
      <c r="C1993" s="5" t="s">
        <v>88</v>
      </c>
      <c r="D1993" s="7">
        <f>IFERROR(__xludf.DUMMYFUNCTION("GOOGLEFINANCE(""ASX:SNX"", ""price"")"),0.04)</f>
        <v>0.04</v>
      </c>
      <c r="E1993" s="8">
        <f>IFERROR(__xludf.DUMMYFUNCTION("GOOGLEFINANCE(""ASX:SNX"", ""closeyest"")"),0.04)</f>
        <v>0.04</v>
      </c>
      <c r="F1993" s="5" t="str">
        <f>IFERROR(__xludf.DUMMYFUNCTION("GOOGLEFINANCE(""ASX:SNX"", ""pe"")"),"#N/A")</f>
        <v>#N/A</v>
      </c>
      <c r="G1993" s="9">
        <f>IFERROR(__xludf.DUMMYFUNCTION("GOOGLEFINANCE(""ASX:SNX"", ""high52"")"),0.07)</f>
        <v>0.07</v>
      </c>
      <c r="H1993" s="9">
        <f>IFERROR(__xludf.DUMMYFUNCTION("GOOGLEFINANCE(""ASX:SNX"", ""low52"")"),0.02)</f>
        <v>0.02</v>
      </c>
      <c r="I1993" s="9">
        <f>IFERROR(__xludf.DUMMYFUNCTION("GOOGLEFINANCE(""ASX:SNX"", ""marketcap"")"),1.533987E7)</f>
        <v>15339870</v>
      </c>
      <c r="J1993" s="5"/>
      <c r="K1993" s="5"/>
      <c r="L1993" s="5"/>
      <c r="M1993" s="5"/>
      <c r="N1993" s="9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>
      <c r="A1994" s="6" t="s">
        <v>3959</v>
      </c>
      <c r="B1994" s="6" t="s">
        <v>3960</v>
      </c>
      <c r="C1994" s="5" t="s">
        <v>164</v>
      </c>
      <c r="D1994" s="7">
        <f>IFERROR(__xludf.DUMMYFUNCTION("GOOGLEFINANCE(""ASX:SNZ"", ""price"")"),10.5)</f>
        <v>10.5</v>
      </c>
      <c r="E1994" s="8">
        <f>IFERROR(__xludf.DUMMYFUNCTION("GOOGLEFINANCE(""ASX:SNZ"", ""closeyest"")"),10.76)</f>
        <v>10.76</v>
      </c>
      <c r="F1994" s="5" t="str">
        <f>IFERROR(__xludf.DUMMYFUNCTION("GOOGLEFINANCE(""ASX:SNZ"", ""pe"")"),"#N/A")</f>
        <v>#N/A</v>
      </c>
      <c r="G1994" s="9">
        <f>IFERROR(__xludf.DUMMYFUNCTION("GOOGLEFINANCE(""ASX:SNZ"", ""high52"")"),12.44)</f>
        <v>12.44</v>
      </c>
      <c r="H1994" s="9">
        <f>IFERROR(__xludf.DUMMYFUNCTION("GOOGLEFINANCE(""ASX:SNZ"", ""low52"")"),9.0)</f>
        <v>9</v>
      </c>
      <c r="I1994" s="9">
        <f>IFERROR(__xludf.DUMMYFUNCTION("GOOGLEFINANCE(""ASX:SNZ"", ""marketcap"")"),2.971896E9)</f>
        <v>2971896000</v>
      </c>
      <c r="J1994" s="5"/>
      <c r="K1994" s="5"/>
      <c r="L1994" s="5"/>
      <c r="M1994" s="5"/>
      <c r="N1994" s="9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>
      <c r="A1995" s="6" t="s">
        <v>3961</v>
      </c>
      <c r="B1995" s="6" t="s">
        <v>3962</v>
      </c>
      <c r="C1995" s="5" t="s">
        <v>15</v>
      </c>
      <c r="D1995" s="7">
        <f>IFERROR(__xludf.DUMMYFUNCTION("GOOGLEFINANCE(""ASX:SOC"", ""price"")"),0.05)</f>
        <v>0.05</v>
      </c>
      <c r="E1995" s="8">
        <f>IFERROR(__xludf.DUMMYFUNCTION("GOOGLEFINANCE(""ASX:SOC"", ""closeyest"")"),0.05)</f>
        <v>0.05</v>
      </c>
      <c r="F1995" s="9">
        <f>IFERROR(__xludf.DUMMYFUNCTION("GOOGLEFINANCE(""ASX:SOC"", ""pe"")"),100.0)</f>
        <v>100</v>
      </c>
      <c r="G1995" s="9">
        <f>IFERROR(__xludf.DUMMYFUNCTION("GOOGLEFINANCE(""ASX:SOC"", ""high52"")"),0.13)</f>
        <v>0.13</v>
      </c>
      <c r="H1995" s="9">
        <f>IFERROR(__xludf.DUMMYFUNCTION("GOOGLEFINANCE(""ASX:SOC"", ""low52"")"),0.05)</f>
        <v>0.05</v>
      </c>
      <c r="I1995" s="9">
        <f>IFERROR(__xludf.DUMMYFUNCTION("GOOGLEFINANCE(""ASX:SOC"", ""marketcap"")"),6689040.0)</f>
        <v>6689040</v>
      </c>
      <c r="J1995" s="5"/>
      <c r="K1995" s="5"/>
      <c r="L1995" s="5"/>
      <c r="M1995" s="5"/>
      <c r="N1995" s="9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>
      <c r="A1996" s="6" t="s">
        <v>3963</v>
      </c>
      <c r="B1996" s="6" t="s">
        <v>3964</v>
      </c>
      <c r="C1996" s="5" t="s">
        <v>83</v>
      </c>
      <c r="D1996" s="7">
        <f>IFERROR(__xludf.DUMMYFUNCTION("GOOGLEFINANCE(""ASX:SOL"", ""price"")"),38.04)</f>
        <v>38.04</v>
      </c>
      <c r="E1996" s="8">
        <f>IFERROR(__xludf.DUMMYFUNCTION("GOOGLEFINANCE(""ASX:SOL"", ""closeyest"")"),37.7)</f>
        <v>37.7</v>
      </c>
      <c r="F1996" s="9">
        <f>IFERROR(__xludf.DUMMYFUNCTION("GOOGLEFINANCE(""ASX:SOL"", ""pe"")"),34.23)</f>
        <v>34.23</v>
      </c>
      <c r="G1996" s="9">
        <f>IFERROR(__xludf.DUMMYFUNCTION("GOOGLEFINANCE(""ASX:SOL"", ""high52"")"),45.14)</f>
        <v>45.14</v>
      </c>
      <c r="H1996" s="9">
        <f>IFERROR(__xludf.DUMMYFUNCTION("GOOGLEFINANCE(""ASX:SOL"", ""low52"")"),31.7)</f>
        <v>31.7</v>
      </c>
      <c r="I1996" s="9">
        <f>IFERROR(__xludf.DUMMYFUNCTION("GOOGLEFINANCE(""ASX:SOL"", ""marketcap"")"),1.4452141931E10)</f>
        <v>14452141931</v>
      </c>
      <c r="J1996" s="5"/>
      <c r="K1996" s="5"/>
      <c r="L1996" s="5"/>
      <c r="M1996" s="5"/>
      <c r="N1996" s="9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>
      <c r="A1997" s="6" t="s">
        <v>3965</v>
      </c>
      <c r="B1997" s="6" t="s">
        <v>3966</v>
      </c>
      <c r="C1997" s="5" t="s">
        <v>276</v>
      </c>
      <c r="D1997" s="7">
        <f>IFERROR(__xludf.DUMMYFUNCTION("GOOGLEFINANCE(""ASX:SOM"", ""price"")"),0.74)</f>
        <v>0.74</v>
      </c>
      <c r="E1997" s="8">
        <f>IFERROR(__xludf.DUMMYFUNCTION("GOOGLEFINANCE(""ASX:SOM"", ""closeyest"")"),0.77)</f>
        <v>0.77</v>
      </c>
      <c r="F1997" s="5" t="str">
        <f>IFERROR(__xludf.DUMMYFUNCTION("GOOGLEFINANCE(""ASX:SOM"", ""pe"")"),"#N/A")</f>
        <v>#N/A</v>
      </c>
      <c r="G1997" s="9">
        <f>IFERROR(__xludf.DUMMYFUNCTION("GOOGLEFINANCE(""ASX:SOM"", ""high52"")"),0.95)</f>
        <v>0.95</v>
      </c>
      <c r="H1997" s="9">
        <f>IFERROR(__xludf.DUMMYFUNCTION("GOOGLEFINANCE(""ASX:SOM"", ""low52"")"),0.37)</f>
        <v>0.37</v>
      </c>
      <c r="I1997" s="9">
        <f>IFERROR(__xludf.DUMMYFUNCTION("GOOGLEFINANCE(""ASX:SOM"", ""marketcap"")"),1.60393374E8)</f>
        <v>160393374</v>
      </c>
      <c r="J1997" s="5"/>
      <c r="K1997" s="5"/>
      <c r="L1997" s="5"/>
      <c r="M1997" s="5"/>
      <c r="N1997" s="9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>
      <c r="A1998" s="6" t="s">
        <v>3967</v>
      </c>
      <c r="B1998" s="6" t="s">
        <v>3968</v>
      </c>
      <c r="C1998" s="5" t="s">
        <v>123</v>
      </c>
      <c r="D1998" s="7">
        <f>IFERROR(__xludf.DUMMYFUNCTION("GOOGLEFINANCE(""ASX:SOP"", ""price"")"),0.02)</f>
        <v>0.02</v>
      </c>
      <c r="E1998" s="8">
        <f>IFERROR(__xludf.DUMMYFUNCTION("GOOGLEFINANCE(""ASX:SOP"", ""closeyest"")"),0.02)</f>
        <v>0.02</v>
      </c>
      <c r="F1998" s="5" t="str">
        <f>IFERROR(__xludf.DUMMYFUNCTION("GOOGLEFINANCE(""ASX:SOP"", ""pe"")"),"#N/A")</f>
        <v>#N/A</v>
      </c>
      <c r="G1998" s="9">
        <f>IFERROR(__xludf.DUMMYFUNCTION("GOOGLEFINANCE(""ASX:SOP"", ""high52"")"),0.06)</f>
        <v>0.06</v>
      </c>
      <c r="H1998" s="9">
        <f>IFERROR(__xludf.DUMMYFUNCTION("GOOGLEFINANCE(""ASX:SOP"", ""low52"")"),0.02)</f>
        <v>0.02</v>
      </c>
      <c r="I1998" s="9">
        <f>IFERROR(__xludf.DUMMYFUNCTION("GOOGLEFINANCE(""ASX:SOP"", ""marketcap"")"),1.0906019E7)</f>
        <v>10906019</v>
      </c>
      <c r="J1998" s="5"/>
      <c r="K1998" s="5"/>
      <c r="L1998" s="5"/>
      <c r="M1998" s="5"/>
      <c r="N1998" s="9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>
      <c r="A1999" s="6" t="s">
        <v>3969</v>
      </c>
      <c r="B1999" s="6" t="s">
        <v>3970</v>
      </c>
      <c r="C1999" s="5" t="s">
        <v>171</v>
      </c>
      <c r="D1999" s="7">
        <f>IFERROR(__xludf.DUMMYFUNCTION("GOOGLEFINANCE(""ASX:SOR"", ""price"")"),0.06)</f>
        <v>0.06</v>
      </c>
      <c r="E1999" s="8">
        <f>IFERROR(__xludf.DUMMYFUNCTION("GOOGLEFINANCE(""ASX:SOR"", ""closeyest"")"),0.05)</f>
        <v>0.05</v>
      </c>
      <c r="F1999" s="5" t="str">
        <f>IFERROR(__xludf.DUMMYFUNCTION("GOOGLEFINANCE(""ASX:SOR"", ""pe"")"),"#N/A")</f>
        <v>#N/A</v>
      </c>
      <c r="G1999" s="9">
        <f>IFERROR(__xludf.DUMMYFUNCTION("GOOGLEFINANCE(""ASX:SOR"", ""high52"")"),0.08)</f>
        <v>0.08</v>
      </c>
      <c r="H1999" s="9">
        <f>IFERROR(__xludf.DUMMYFUNCTION("GOOGLEFINANCE(""ASX:SOR"", ""low52"")"),0.03)</f>
        <v>0.03</v>
      </c>
      <c r="I1999" s="9">
        <f>IFERROR(__xludf.DUMMYFUNCTION("GOOGLEFINANCE(""ASX:SOR"", ""marketcap"")"),2.7059779E7)</f>
        <v>27059779</v>
      </c>
      <c r="J1999" s="5"/>
      <c r="K1999" s="5"/>
      <c r="L1999" s="5"/>
      <c r="M1999" s="5"/>
      <c r="N1999" s="9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>
      <c r="A2000" s="6" t="s">
        <v>3971</v>
      </c>
      <c r="B2000" s="6" t="s">
        <v>3972</v>
      </c>
      <c r="C2000" s="5" t="s">
        <v>158</v>
      </c>
      <c r="D2000" s="7">
        <f>IFERROR(__xludf.DUMMYFUNCTION("GOOGLEFINANCE(""ASX:SP3"", ""price"")"),0.03)</f>
        <v>0.03</v>
      </c>
      <c r="E2000" s="8">
        <f>IFERROR(__xludf.DUMMYFUNCTION("GOOGLEFINANCE(""ASX:SP3"", ""closeyest"")"),0.03)</f>
        <v>0.03</v>
      </c>
      <c r="F2000" s="5" t="str">
        <f>IFERROR(__xludf.DUMMYFUNCTION("GOOGLEFINANCE(""ASX:SP3"", ""pe"")"),"#N/A")</f>
        <v>#N/A</v>
      </c>
      <c r="G2000" s="9">
        <f>IFERROR(__xludf.DUMMYFUNCTION("GOOGLEFINANCE(""ASX:SP3"", ""high52"")"),0.04)</f>
        <v>0.04</v>
      </c>
      <c r="H2000" s="9">
        <f>IFERROR(__xludf.DUMMYFUNCTION("GOOGLEFINANCE(""ASX:SP3"", ""low52"")"),0.01)</f>
        <v>0.01</v>
      </c>
      <c r="I2000" s="9">
        <f>IFERROR(__xludf.DUMMYFUNCTION("GOOGLEFINANCE(""ASX:SP3"", ""marketcap"")"),1.1704605E7)</f>
        <v>11704605</v>
      </c>
      <c r="J2000" s="5"/>
      <c r="K2000" s="5"/>
      <c r="L2000" s="5"/>
      <c r="M2000" s="5"/>
      <c r="N2000" s="9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>
      <c r="A2001" s="6" t="s">
        <v>3973</v>
      </c>
      <c r="B2001" s="6" t="s">
        <v>3974</v>
      </c>
      <c r="C2001" s="5" t="s">
        <v>15</v>
      </c>
      <c r="D2001" s="7">
        <f>IFERROR(__xludf.DUMMYFUNCTION("GOOGLEFINANCE(""ASX:SP8"", ""price"")"),0.01)</f>
        <v>0.01</v>
      </c>
      <c r="E2001" s="8">
        <f>IFERROR(__xludf.DUMMYFUNCTION("GOOGLEFINANCE(""ASX:SP8"", ""closeyest"")"),0.01)</f>
        <v>0.01</v>
      </c>
      <c r="F2001" s="5" t="str">
        <f>IFERROR(__xludf.DUMMYFUNCTION("GOOGLEFINANCE(""ASX:SP8"", ""pe"")"),"#N/A")</f>
        <v>#N/A</v>
      </c>
      <c r="G2001" s="9">
        <f>IFERROR(__xludf.DUMMYFUNCTION("GOOGLEFINANCE(""ASX:SP8"", ""high52"")"),0.02)</f>
        <v>0.02</v>
      </c>
      <c r="H2001" s="9">
        <f>IFERROR(__xludf.DUMMYFUNCTION("GOOGLEFINANCE(""ASX:SP8"", ""low52"")"),0.01)</f>
        <v>0.01</v>
      </c>
      <c r="I2001" s="9">
        <f>IFERROR(__xludf.DUMMYFUNCTION("GOOGLEFINANCE(""ASX:SP8"", ""marketcap"")"),1.1881898E7)</f>
        <v>11881898</v>
      </c>
      <c r="J2001" s="5"/>
      <c r="K2001" s="5"/>
      <c r="L2001" s="5"/>
      <c r="M2001" s="5"/>
      <c r="N2001" s="9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>
      <c r="A2002" s="6" t="s">
        <v>3975</v>
      </c>
      <c r="B2002" s="6" t="s">
        <v>3976</v>
      </c>
      <c r="C2002" s="5" t="s">
        <v>67</v>
      </c>
      <c r="D2002" s="7">
        <f>IFERROR(__xludf.DUMMYFUNCTION("GOOGLEFINANCE(""ASX:SPA"", ""price"")"),0.1)</f>
        <v>0.1</v>
      </c>
      <c r="E2002" s="8">
        <f>IFERROR(__xludf.DUMMYFUNCTION("GOOGLEFINANCE(""ASX:SPA"", ""closeyest"")"),0.11)</f>
        <v>0.11</v>
      </c>
      <c r="F2002" s="5" t="str">
        <f>IFERROR(__xludf.DUMMYFUNCTION("GOOGLEFINANCE(""ASX:SPA"", ""pe"")"),"#N/A")</f>
        <v>#N/A</v>
      </c>
      <c r="G2002" s="9">
        <f>IFERROR(__xludf.DUMMYFUNCTION("GOOGLEFINANCE(""ASX:SPA"", ""high52"")"),0.32)</f>
        <v>0.32</v>
      </c>
      <c r="H2002" s="9">
        <f>IFERROR(__xludf.DUMMYFUNCTION("GOOGLEFINANCE(""ASX:SPA"", ""low52"")"),0.09)</f>
        <v>0.09</v>
      </c>
      <c r="I2002" s="9">
        <f>IFERROR(__xludf.DUMMYFUNCTION("GOOGLEFINANCE(""ASX:SPA"", ""marketcap"")"),1.003647E7)</f>
        <v>10036470</v>
      </c>
      <c r="J2002" s="5"/>
      <c r="K2002" s="5"/>
      <c r="L2002" s="5"/>
      <c r="M2002" s="5"/>
      <c r="N2002" s="9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>
      <c r="A2003" s="6" t="s">
        <v>3975</v>
      </c>
      <c r="B2003" s="6" t="s">
        <v>3976</v>
      </c>
      <c r="C2003" s="5" t="s">
        <v>67</v>
      </c>
      <c r="D2003" s="7">
        <f>IFERROR(__xludf.DUMMYFUNCTION("GOOGLEFINANCE(""ASX:SPA"", ""price"")"),0.1)</f>
        <v>0.1</v>
      </c>
      <c r="E2003" s="8">
        <f>IFERROR(__xludf.DUMMYFUNCTION("GOOGLEFINANCE(""ASX:SPA"", ""closeyest"")"),0.11)</f>
        <v>0.11</v>
      </c>
      <c r="F2003" s="5" t="str">
        <f>IFERROR(__xludf.DUMMYFUNCTION("GOOGLEFINANCE(""ASX:SPA"", ""pe"")"),"#N/A")</f>
        <v>#N/A</v>
      </c>
      <c r="G2003" s="9">
        <f>IFERROR(__xludf.DUMMYFUNCTION("GOOGLEFINANCE(""ASX:SPA"", ""high52"")"),0.32)</f>
        <v>0.32</v>
      </c>
      <c r="H2003" s="9">
        <f>IFERROR(__xludf.DUMMYFUNCTION("GOOGLEFINANCE(""ASX:SPA"", ""low52"")"),0.09)</f>
        <v>0.09</v>
      </c>
      <c r="I2003" s="9">
        <f>IFERROR(__xludf.DUMMYFUNCTION("GOOGLEFINANCE(""ASX:SPA"", ""marketcap"")"),1.003647E7)</f>
        <v>10036470</v>
      </c>
      <c r="J2003" s="5"/>
      <c r="K2003" s="5"/>
      <c r="L2003" s="5"/>
      <c r="M2003" s="5"/>
      <c r="N2003" s="9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>
      <c r="A2004" s="13" t="s">
        <v>3975</v>
      </c>
      <c r="B2004" s="13" t="s">
        <v>3976</v>
      </c>
      <c r="C2004" s="14" t="s">
        <v>67</v>
      </c>
      <c r="D2004" s="15">
        <f>IFERROR(__xludf.DUMMYFUNCTION("GOOGLEFINANCE(""ASX:SPA"", ""price"")"),0.1)</f>
        <v>0.1</v>
      </c>
      <c r="E2004" s="8">
        <f>IFERROR(__xludf.DUMMYFUNCTION("GOOGLEFINANCE(""ASX:SPA"", ""closeyest"")"),0.11)</f>
        <v>0.11</v>
      </c>
      <c r="F2004" s="5" t="str">
        <f>IFERROR(__xludf.DUMMYFUNCTION("GOOGLEFINANCE(""ASX:SPA"", ""pe"")"),"#N/A")</f>
        <v>#N/A</v>
      </c>
      <c r="G2004" s="9">
        <f>IFERROR(__xludf.DUMMYFUNCTION("GOOGLEFINANCE(""ASX:SPA"", ""high52"")"),0.32)</f>
        <v>0.32</v>
      </c>
      <c r="H2004" s="9">
        <f>IFERROR(__xludf.DUMMYFUNCTION("GOOGLEFINANCE(""ASX:SPA"", ""low52"")"),0.09)</f>
        <v>0.09</v>
      </c>
      <c r="I2004" s="9">
        <f>IFERROR(__xludf.DUMMYFUNCTION("GOOGLEFINANCE(""ASX:SPA"", ""marketcap"")"),1.003647E7)</f>
        <v>10036470</v>
      </c>
      <c r="J2004" s="5"/>
      <c r="K2004" s="5"/>
      <c r="L2004" s="5"/>
      <c r="M2004" s="5"/>
      <c r="N2004" s="9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>
      <c r="A2005" s="6" t="s">
        <v>3977</v>
      </c>
      <c r="B2005" s="6" t="s">
        <v>3978</v>
      </c>
      <c r="C2005" s="5" t="s">
        <v>450</v>
      </c>
      <c r="D2005" s="7">
        <f>IFERROR(__xludf.DUMMYFUNCTION("GOOGLEFINANCE(""ASX:SPD"", ""price"")"),2.48)</f>
        <v>2.48</v>
      </c>
      <c r="E2005" s="8">
        <f>IFERROR(__xludf.DUMMYFUNCTION("GOOGLEFINANCE(""ASX:SPD"", ""closeyest"")"),2.35)</f>
        <v>2.35</v>
      </c>
      <c r="F2005" s="5" t="str">
        <f>IFERROR(__xludf.DUMMYFUNCTION("GOOGLEFINANCE(""ASX:SPD"", ""pe"")"),"#N/A")</f>
        <v>#N/A</v>
      </c>
      <c r="G2005" s="9">
        <f>IFERROR(__xludf.DUMMYFUNCTION("GOOGLEFINANCE(""ASX:SPD"", ""high52"")"),2.91)</f>
        <v>2.91</v>
      </c>
      <c r="H2005" s="9">
        <f>IFERROR(__xludf.DUMMYFUNCTION("GOOGLEFINANCE(""ASX:SPD"", ""low52"")"),0.2)</f>
        <v>0.2</v>
      </c>
      <c r="I2005" s="9">
        <f>IFERROR(__xludf.DUMMYFUNCTION("GOOGLEFINANCE(""ASX:SPD"", ""marketcap"")"),3.10473434E8)</f>
        <v>310473434</v>
      </c>
      <c r="J2005" s="5"/>
      <c r="K2005" s="5"/>
      <c r="L2005" s="5"/>
      <c r="M2005" s="5"/>
      <c r="N2005" s="9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>
      <c r="A2006" s="6" t="s">
        <v>3979</v>
      </c>
      <c r="B2006" s="6" t="s">
        <v>3980</v>
      </c>
      <c r="C2006" s="5" t="s">
        <v>98</v>
      </c>
      <c r="D2006" s="7">
        <f>IFERROR(__xludf.DUMMYFUNCTION("GOOGLEFINANCE(""ASX:SPG"", ""price"")"),0.42)</f>
        <v>0.42</v>
      </c>
      <c r="E2006" s="8">
        <f>IFERROR(__xludf.DUMMYFUNCTION("GOOGLEFINANCE(""ASX:SPG"", ""closeyest"")"),0.42)</f>
        <v>0.42</v>
      </c>
      <c r="F2006" s="5" t="str">
        <f>IFERROR(__xludf.DUMMYFUNCTION("GOOGLEFINANCE(""ASX:SPG"", ""pe"")"),"#N/A")</f>
        <v>#N/A</v>
      </c>
      <c r="G2006" s="9">
        <f>IFERROR(__xludf.DUMMYFUNCTION("GOOGLEFINANCE(""ASX:SPG"", ""high52"")"),1.12)</f>
        <v>1.12</v>
      </c>
      <c r="H2006" s="9">
        <f>IFERROR(__xludf.DUMMYFUNCTION("GOOGLEFINANCE(""ASX:SPG"", ""low52"")"),0.28)</f>
        <v>0.28</v>
      </c>
      <c r="I2006" s="9">
        <f>IFERROR(__xludf.DUMMYFUNCTION("GOOGLEFINANCE(""ASX:SPG"", ""marketcap"")"),8.0151789E7)</f>
        <v>80151789</v>
      </c>
      <c r="J2006" s="5"/>
      <c r="K2006" s="5"/>
      <c r="L2006" s="5"/>
      <c r="M2006" s="5"/>
      <c r="N2006" s="9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>
      <c r="A2007" s="6" t="s">
        <v>3981</v>
      </c>
      <c r="B2007" s="6" t="s">
        <v>3982</v>
      </c>
      <c r="C2007" s="5" t="s">
        <v>137</v>
      </c>
      <c r="D2007" s="7">
        <f>IFERROR(__xludf.DUMMYFUNCTION("GOOGLEFINANCE(""ASX:SPK"", ""price"")"),1.96)</f>
        <v>1.96</v>
      </c>
      <c r="E2007" s="8">
        <f>IFERROR(__xludf.DUMMYFUNCTION("GOOGLEFINANCE(""ASX:SPK"", ""closeyest"")"),1.95)</f>
        <v>1.95</v>
      </c>
      <c r="F2007" s="9">
        <f>IFERROR(__xludf.DUMMYFUNCTION("GOOGLEFINANCE(""ASX:SPK"", ""pe"")"),16.67)</f>
        <v>16.67</v>
      </c>
      <c r="G2007" s="9">
        <f>IFERROR(__xludf.DUMMYFUNCTION("GOOGLEFINANCE(""ASX:SPK"", ""high52"")"),2.77)</f>
        <v>2.77</v>
      </c>
      <c r="H2007" s="9">
        <f>IFERROR(__xludf.DUMMYFUNCTION("GOOGLEFINANCE(""ASX:SPK"", ""low52"")"),1.78)</f>
        <v>1.78</v>
      </c>
      <c r="I2007" s="9">
        <f>IFERROR(__xludf.DUMMYFUNCTION("GOOGLEFINANCE(""ASX:SPK"", ""marketcap"")"),3.717192992E9)</f>
        <v>3717192992</v>
      </c>
      <c r="J2007" s="5"/>
      <c r="K2007" s="5"/>
      <c r="L2007" s="5"/>
      <c r="M2007" s="5"/>
      <c r="N2007" s="9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>
      <c r="A2008" s="6" t="s">
        <v>3983</v>
      </c>
      <c r="B2008" s="6" t="s">
        <v>3984</v>
      </c>
      <c r="C2008" s="5" t="s">
        <v>174</v>
      </c>
      <c r="D2008" s="7">
        <f>IFERROR(__xludf.DUMMYFUNCTION("GOOGLEFINANCE(""ASX:SPL"", ""price"")"),0.34)</f>
        <v>0.34</v>
      </c>
      <c r="E2008" s="8">
        <f>IFERROR(__xludf.DUMMYFUNCTION("GOOGLEFINANCE(""ASX:SPL"", ""closeyest"")"),0.37)</f>
        <v>0.37</v>
      </c>
      <c r="F2008" s="5" t="str">
        <f>IFERROR(__xludf.DUMMYFUNCTION("GOOGLEFINANCE(""ASX:SPL"", ""pe"")"),"#N/A")</f>
        <v>#N/A</v>
      </c>
      <c r="G2008" s="9">
        <f>IFERROR(__xludf.DUMMYFUNCTION("GOOGLEFINANCE(""ASX:SPL"", ""high52"")"),0.45)</f>
        <v>0.45</v>
      </c>
      <c r="H2008" s="9">
        <f>IFERROR(__xludf.DUMMYFUNCTION("GOOGLEFINANCE(""ASX:SPL"", ""low52"")"),0.08)</f>
        <v>0.08</v>
      </c>
      <c r="I2008" s="9">
        <f>IFERROR(__xludf.DUMMYFUNCTION("GOOGLEFINANCE(""ASX:SPL"", ""marketcap"")"),1.42196433E8)</f>
        <v>142196433</v>
      </c>
      <c r="J2008" s="5"/>
      <c r="K2008" s="5"/>
      <c r="L2008" s="5"/>
      <c r="M2008" s="5"/>
      <c r="N2008" s="9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>
      <c r="A2009" s="6" t="s">
        <v>3985</v>
      </c>
      <c r="B2009" s="6" t="s">
        <v>3986</v>
      </c>
      <c r="C2009" s="5" t="s">
        <v>228</v>
      </c>
      <c r="D2009" s="7">
        <f>IFERROR(__xludf.DUMMYFUNCTION("GOOGLEFINANCE(""ASX:SPN"", ""price"")"),0.19)</f>
        <v>0.19</v>
      </c>
      <c r="E2009" s="8">
        <f>IFERROR(__xludf.DUMMYFUNCTION("GOOGLEFINANCE(""ASX:SPN"", ""closeyest"")"),0.2)</f>
        <v>0.2</v>
      </c>
      <c r="F2009" s="5" t="str">
        <f>IFERROR(__xludf.DUMMYFUNCTION("GOOGLEFINANCE(""ASX:SPN"", ""pe"")"),"#N/A")</f>
        <v>#N/A</v>
      </c>
      <c r="G2009" s="9">
        <f>IFERROR(__xludf.DUMMYFUNCTION("GOOGLEFINANCE(""ASX:SPN"", ""high52"")"),0.34)</f>
        <v>0.34</v>
      </c>
      <c r="H2009" s="9">
        <f>IFERROR(__xludf.DUMMYFUNCTION("GOOGLEFINANCE(""ASX:SPN"", ""low52"")"),0.14)</f>
        <v>0.14</v>
      </c>
      <c r="I2009" s="9">
        <f>IFERROR(__xludf.DUMMYFUNCTION("GOOGLEFINANCE(""ASX:SPN"", ""marketcap"")"),2.186256E7)</f>
        <v>21862560</v>
      </c>
      <c r="J2009" s="5"/>
      <c r="K2009" s="5"/>
      <c r="L2009" s="5"/>
      <c r="M2009" s="5"/>
      <c r="N2009" s="9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>
      <c r="A2010" s="6" t="s">
        <v>3987</v>
      </c>
      <c r="B2010" s="6" t="s">
        <v>3988</v>
      </c>
      <c r="C2010" s="5" t="s">
        <v>18</v>
      </c>
      <c r="D2010" s="7">
        <f>IFERROR(__xludf.DUMMYFUNCTION("GOOGLEFINANCE(""ASX:SPQ"", ""price"")"),0.01)</f>
        <v>0.01</v>
      </c>
      <c r="E2010" s="8">
        <f>IFERROR(__xludf.DUMMYFUNCTION("GOOGLEFINANCE(""ASX:SPQ"", ""closeyest"")"),0.01)</f>
        <v>0.01</v>
      </c>
      <c r="F2010" s="5" t="str">
        <f>IFERROR(__xludf.DUMMYFUNCTION("GOOGLEFINANCE(""ASX:SPQ"", ""pe"")"),"#N/A")</f>
        <v>#N/A</v>
      </c>
      <c r="G2010" s="9">
        <f>IFERROR(__xludf.DUMMYFUNCTION("GOOGLEFINANCE(""ASX:SPQ"", ""high52"")"),0.02)</f>
        <v>0.02</v>
      </c>
      <c r="H2010" s="9">
        <f>IFERROR(__xludf.DUMMYFUNCTION("GOOGLEFINANCE(""ASX:SPQ"", ""low52"")"),0.0)</f>
        <v>0</v>
      </c>
      <c r="I2010" s="9">
        <f>IFERROR(__xludf.DUMMYFUNCTION("GOOGLEFINANCE(""ASX:SPQ"", ""marketcap"")"),1.293929E7)</f>
        <v>12939290</v>
      </c>
      <c r="J2010" s="5"/>
      <c r="K2010" s="5"/>
      <c r="L2010" s="5"/>
      <c r="M2010" s="5"/>
      <c r="N2010" s="9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>
      <c r="A2011" s="6" t="s">
        <v>3989</v>
      </c>
      <c r="B2011" s="6" t="s">
        <v>3990</v>
      </c>
      <c r="C2011" s="5" t="s">
        <v>15</v>
      </c>
      <c r="D2011" s="7">
        <f>IFERROR(__xludf.DUMMYFUNCTION("GOOGLEFINANCE(""ASX:SPX"", ""price"")"),0.0)</f>
        <v>0</v>
      </c>
      <c r="E2011" s="8">
        <f>IFERROR(__xludf.DUMMYFUNCTION("GOOGLEFINANCE(""ASX:SPX"", ""closeyest"")"),0.0)</f>
        <v>0</v>
      </c>
      <c r="F2011" s="5" t="str">
        <f>IFERROR(__xludf.DUMMYFUNCTION("GOOGLEFINANCE(""ASX:SPX"", ""pe"")"),"#N/A")</f>
        <v>#N/A</v>
      </c>
      <c r="G2011" s="9">
        <f>IFERROR(__xludf.DUMMYFUNCTION("GOOGLEFINANCE(""ASX:SPX"", ""high52"")"),0.01)</f>
        <v>0.01</v>
      </c>
      <c r="H2011" s="9">
        <f>IFERROR(__xludf.DUMMYFUNCTION("GOOGLEFINANCE(""ASX:SPX"", ""low52"")"),0.0)</f>
        <v>0</v>
      </c>
      <c r="I2011" s="9">
        <f>IFERROR(__xludf.DUMMYFUNCTION("GOOGLEFINANCE(""ASX:SPX"", ""marketcap"")"),4615216.0)</f>
        <v>4615216</v>
      </c>
      <c r="J2011" s="12">
        <v>0.002</v>
      </c>
      <c r="K2011" s="12">
        <v>0.0025</v>
      </c>
      <c r="L2011" s="12">
        <v>0.011</v>
      </c>
      <c r="M2011" s="12">
        <v>0.002</v>
      </c>
      <c r="N2011" s="9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>
      <c r="A2012" s="6" t="s">
        <v>3991</v>
      </c>
      <c r="B2012" s="6" t="s">
        <v>3992</v>
      </c>
      <c r="C2012" s="5" t="s">
        <v>36</v>
      </c>
      <c r="D2012" s="7">
        <f>IFERROR(__xludf.DUMMYFUNCTION("GOOGLEFINANCE(""ASX:SPY"", ""price"")"),1023.5)</f>
        <v>1023.5</v>
      </c>
      <c r="E2012" s="8">
        <f>IFERROR(__xludf.DUMMYFUNCTION("GOOGLEFINANCE(""ASX:SPY"", ""closeyest"")"),1023.97)</f>
        <v>1023.97</v>
      </c>
      <c r="F2012" s="5" t="str">
        <f>IFERROR(__xludf.DUMMYFUNCTION("GOOGLEFINANCE(""ASX:SPY"", ""pe"")"),"#N/A")</f>
        <v>#N/A</v>
      </c>
      <c r="G2012" s="9">
        <f>IFERROR(__xludf.DUMMYFUNCTION("GOOGLEFINANCE(""ASX:SPY"", ""high52"")"),1049.15)</f>
        <v>1049.15</v>
      </c>
      <c r="H2012" s="9">
        <f>IFERROR(__xludf.DUMMYFUNCTION("GOOGLEFINANCE(""ASX:SPY"", ""low52"")"),801.84)</f>
        <v>801.84</v>
      </c>
      <c r="I2012" s="9">
        <f>IFERROR(__xludf.DUMMYFUNCTION("GOOGLEFINANCE(""ASX:SPY"", ""marketcap"")"),6.24428326425E11)</f>
        <v>624428326425</v>
      </c>
      <c r="J2012" s="5"/>
      <c r="K2012" s="5"/>
      <c r="L2012" s="5"/>
      <c r="M2012" s="5"/>
      <c r="N2012" s="9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>
      <c r="A2013" s="6" t="s">
        <v>3993</v>
      </c>
      <c r="B2013" s="6" t="s">
        <v>3994</v>
      </c>
      <c r="C2013" s="5" t="s">
        <v>364</v>
      </c>
      <c r="D2013" s="7">
        <f>IFERROR(__xludf.DUMMYFUNCTION("GOOGLEFINANCE(""ASX:SPZ"", ""price"")"),1.22)</f>
        <v>1.22</v>
      </c>
      <c r="E2013" s="8">
        <f>IFERROR(__xludf.DUMMYFUNCTION("GOOGLEFINANCE(""ASX:SPZ"", ""closeyest"")"),1.22)</f>
        <v>1.22</v>
      </c>
      <c r="F2013" s="9">
        <f>IFERROR(__xludf.DUMMYFUNCTION("GOOGLEFINANCE(""ASX:SPZ"", ""pe"")"),84.72)</f>
        <v>84.72</v>
      </c>
      <c r="G2013" s="9">
        <f>IFERROR(__xludf.DUMMYFUNCTION("GOOGLEFINANCE(""ASX:SPZ"", ""high52"")"),1.44)</f>
        <v>1.44</v>
      </c>
      <c r="H2013" s="9">
        <f>IFERROR(__xludf.DUMMYFUNCTION("GOOGLEFINANCE(""ASX:SPZ"", ""low52"")"),0.64)</f>
        <v>0.64</v>
      </c>
      <c r="I2013" s="9">
        <f>IFERROR(__xludf.DUMMYFUNCTION("GOOGLEFINANCE(""ASX:SPZ"", ""marketcap"")"),4.98368791E8)</f>
        <v>498368791</v>
      </c>
      <c r="J2013" s="5"/>
      <c r="K2013" s="5"/>
      <c r="L2013" s="5"/>
      <c r="M2013" s="5"/>
      <c r="N2013" s="9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>
      <c r="A2014" s="6" t="s">
        <v>3995</v>
      </c>
      <c r="B2014" s="6" t="s">
        <v>3996</v>
      </c>
      <c r="C2014" s="5" t="s">
        <v>18</v>
      </c>
      <c r="D2014" s="7">
        <f>IFERROR(__xludf.DUMMYFUNCTION("GOOGLEFINANCE(""ASX:SQX"", ""price"")"),0.15)</f>
        <v>0.15</v>
      </c>
      <c r="E2014" s="8">
        <f>IFERROR(__xludf.DUMMYFUNCTION("GOOGLEFINANCE(""ASX:SQX"", ""closeyest"")"),0.14)</f>
        <v>0.14</v>
      </c>
      <c r="F2014" s="5" t="str">
        <f>IFERROR(__xludf.DUMMYFUNCTION("GOOGLEFINANCE(""ASX:SQX"", ""pe"")"),"#N/A")</f>
        <v>#N/A</v>
      </c>
      <c r="G2014" s="9">
        <f>IFERROR(__xludf.DUMMYFUNCTION("GOOGLEFINANCE(""ASX:SQX"", ""high52"")"),0.29)</f>
        <v>0.29</v>
      </c>
      <c r="H2014" s="9">
        <f>IFERROR(__xludf.DUMMYFUNCTION("GOOGLEFINANCE(""ASX:SQX"", ""low52"")"),0.08)</f>
        <v>0.08</v>
      </c>
      <c r="I2014" s="9">
        <f>IFERROR(__xludf.DUMMYFUNCTION("GOOGLEFINANCE(""ASX:SQX"", ""marketcap"")"),7687500.0)</f>
        <v>7687500</v>
      </c>
      <c r="J2014" s="5"/>
      <c r="K2014" s="5"/>
      <c r="L2014" s="5"/>
      <c r="M2014" s="5"/>
      <c r="N2014" s="9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>
      <c r="A2015" s="6" t="s">
        <v>3997</v>
      </c>
      <c r="B2015" s="6" t="s">
        <v>3998</v>
      </c>
      <c r="C2015" s="5" t="s">
        <v>123</v>
      </c>
      <c r="D2015" s="7">
        <f>IFERROR(__xludf.DUMMYFUNCTION("GOOGLEFINANCE(""ASX:SRG"", ""price"")"),2.91)</f>
        <v>2.91</v>
      </c>
      <c r="E2015" s="8">
        <f>IFERROR(__xludf.DUMMYFUNCTION("GOOGLEFINANCE(""ASX:SRG"", ""closeyest"")"),3.04)</f>
        <v>3.04</v>
      </c>
      <c r="F2015" s="9">
        <f>IFERROR(__xludf.DUMMYFUNCTION("GOOGLEFINANCE(""ASX:SRG"", ""pe"")"),37.08)</f>
        <v>37.08</v>
      </c>
      <c r="G2015" s="9">
        <f>IFERROR(__xludf.DUMMYFUNCTION("GOOGLEFINANCE(""ASX:SRG"", ""high52"")"),3.08)</f>
        <v>3.08</v>
      </c>
      <c r="H2015" s="9">
        <f>IFERROR(__xludf.DUMMYFUNCTION("GOOGLEFINANCE(""ASX:SRG"", ""low52"")"),1.09)</f>
        <v>1.09</v>
      </c>
      <c r="I2015" s="9">
        <f>IFERROR(__xludf.DUMMYFUNCTION("GOOGLEFINANCE(""ASX:SRG"", ""marketcap"")"),1.823383646E9)</f>
        <v>1823383646</v>
      </c>
      <c r="J2015" s="5"/>
      <c r="K2015" s="5"/>
      <c r="L2015" s="5"/>
      <c r="M2015" s="5"/>
      <c r="N2015" s="9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>
      <c r="A2016" s="6" t="s">
        <v>3999</v>
      </c>
      <c r="B2016" s="6" t="s">
        <v>4000</v>
      </c>
      <c r="C2016" s="5" t="s">
        <v>4001</v>
      </c>
      <c r="D2016" s="7">
        <f>IFERROR(__xludf.DUMMYFUNCTION("GOOGLEFINANCE(""ASX:SRH"", ""price"")"),0.11)</f>
        <v>0.11</v>
      </c>
      <c r="E2016" s="8">
        <f>IFERROR(__xludf.DUMMYFUNCTION("GOOGLEFINANCE(""ASX:SRH"", ""closeyest"")"),0.11)</f>
        <v>0.11</v>
      </c>
      <c r="F2016" s="5" t="str">
        <f>IFERROR(__xludf.DUMMYFUNCTION("GOOGLEFINANCE(""ASX:SRH"", ""pe"")"),"#N/A")</f>
        <v>#N/A</v>
      </c>
      <c r="G2016" s="9">
        <f>IFERROR(__xludf.DUMMYFUNCTION("GOOGLEFINANCE(""ASX:SRH"", ""high52"")"),0.28)</f>
        <v>0.28</v>
      </c>
      <c r="H2016" s="9">
        <f>IFERROR(__xludf.DUMMYFUNCTION("GOOGLEFINANCE(""ASX:SRH"", ""low52"")"),0.08)</f>
        <v>0.08</v>
      </c>
      <c r="I2016" s="9">
        <f>IFERROR(__xludf.DUMMYFUNCTION("GOOGLEFINANCE(""ASX:SRH"", ""marketcap"")"),4589070.0)</f>
        <v>4589070</v>
      </c>
      <c r="J2016" s="5"/>
      <c r="K2016" s="5"/>
      <c r="L2016" s="5"/>
      <c r="M2016" s="5"/>
      <c r="N2016" s="9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>
      <c r="A2017" s="6" t="s">
        <v>4002</v>
      </c>
      <c r="B2017" s="6" t="s">
        <v>4003</v>
      </c>
      <c r="C2017" s="5" t="s">
        <v>1666</v>
      </c>
      <c r="D2017" s="7">
        <f>IFERROR(__xludf.DUMMYFUNCTION("GOOGLEFINANCE(""ASX:SRJ"", ""price"")"),0.02)</f>
        <v>0.02</v>
      </c>
      <c r="E2017" s="8">
        <f>IFERROR(__xludf.DUMMYFUNCTION("GOOGLEFINANCE(""ASX:SRJ"", ""closeyest"")"),0.02)</f>
        <v>0.02</v>
      </c>
      <c r="F2017" s="5" t="str">
        <f>IFERROR(__xludf.DUMMYFUNCTION("GOOGLEFINANCE(""ASX:SRJ"", ""pe"")"),"#N/A")</f>
        <v>#N/A</v>
      </c>
      <c r="G2017" s="9">
        <f>IFERROR(__xludf.DUMMYFUNCTION("GOOGLEFINANCE(""ASX:SRJ"", ""high52"")"),0.06)</f>
        <v>0.06</v>
      </c>
      <c r="H2017" s="9">
        <f>IFERROR(__xludf.DUMMYFUNCTION("GOOGLEFINANCE(""ASX:SRJ"", ""low52"")"),0.0)</f>
        <v>0</v>
      </c>
      <c r="I2017" s="9">
        <f>IFERROR(__xludf.DUMMYFUNCTION("GOOGLEFINANCE(""ASX:SRJ"", ""marketcap"")"),1.5672359E7)</f>
        <v>15672359</v>
      </c>
      <c r="J2017" s="5"/>
      <c r="K2017" s="5"/>
      <c r="L2017" s="5"/>
      <c r="M2017" s="5"/>
      <c r="N2017" s="9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>
      <c r="A2018" s="6" t="s">
        <v>4004</v>
      </c>
      <c r="B2018" s="6" t="s">
        <v>4005</v>
      </c>
      <c r="C2018" s="5" t="s">
        <v>212</v>
      </c>
      <c r="D2018" s="7">
        <f>IFERROR(__xludf.DUMMYFUNCTION("GOOGLEFINANCE(""ASX:SRK"", ""price"")"),0.04)</f>
        <v>0.04</v>
      </c>
      <c r="E2018" s="8">
        <f>IFERROR(__xludf.DUMMYFUNCTION("GOOGLEFINANCE(""ASX:SRK"", ""closeyest"")"),0.04)</f>
        <v>0.04</v>
      </c>
      <c r="F2018" s="5" t="str">
        <f>IFERROR(__xludf.DUMMYFUNCTION("GOOGLEFINANCE(""ASX:SRK"", ""pe"")"),"#N/A")</f>
        <v>#N/A</v>
      </c>
      <c r="G2018" s="9">
        <f>IFERROR(__xludf.DUMMYFUNCTION("GOOGLEFINANCE(""ASX:SRK"", ""high52"")"),0.05)</f>
        <v>0.05</v>
      </c>
      <c r="H2018" s="9">
        <f>IFERROR(__xludf.DUMMYFUNCTION("GOOGLEFINANCE(""ASX:SRK"", ""low52"")"),0.03)</f>
        <v>0.03</v>
      </c>
      <c r="I2018" s="9">
        <f>IFERROR(__xludf.DUMMYFUNCTION("GOOGLEFINANCE(""ASX:SRK"", ""marketcap"")"),9959625.0)</f>
        <v>9959625</v>
      </c>
      <c r="J2018" s="5"/>
      <c r="K2018" s="5"/>
      <c r="L2018" s="5"/>
      <c r="M2018" s="5"/>
      <c r="N2018" s="9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>
      <c r="A2019" s="6" t="s">
        <v>4004</v>
      </c>
      <c r="B2019" s="6" t="s">
        <v>4005</v>
      </c>
      <c r="C2019" s="5" t="s">
        <v>212</v>
      </c>
      <c r="D2019" s="7">
        <f>IFERROR(__xludf.DUMMYFUNCTION("GOOGLEFINANCE(""ASX:SRK"", ""price"")"),0.04)</f>
        <v>0.04</v>
      </c>
      <c r="E2019" s="8">
        <f>IFERROR(__xludf.DUMMYFUNCTION("GOOGLEFINANCE(""ASX:SRK"", ""closeyest"")"),0.04)</f>
        <v>0.04</v>
      </c>
      <c r="F2019" s="5" t="str">
        <f>IFERROR(__xludf.DUMMYFUNCTION("GOOGLEFINANCE(""ASX:SRK"", ""pe"")"),"#N/A")</f>
        <v>#N/A</v>
      </c>
      <c r="G2019" s="9">
        <f>IFERROR(__xludf.DUMMYFUNCTION("GOOGLEFINANCE(""ASX:SRK"", ""high52"")"),0.05)</f>
        <v>0.05</v>
      </c>
      <c r="H2019" s="9">
        <f>IFERROR(__xludf.DUMMYFUNCTION("GOOGLEFINANCE(""ASX:SRK"", ""low52"")"),0.03)</f>
        <v>0.03</v>
      </c>
      <c r="I2019" s="9">
        <f>IFERROR(__xludf.DUMMYFUNCTION("GOOGLEFINANCE(""ASX:SRK"", ""marketcap"")"),9959625.0)</f>
        <v>9959625</v>
      </c>
      <c r="J2019" s="5"/>
      <c r="K2019" s="5"/>
      <c r="L2019" s="5"/>
      <c r="M2019" s="5"/>
      <c r="N2019" s="9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>
      <c r="A2020" s="13" t="s">
        <v>4004</v>
      </c>
      <c r="B2020" s="13" t="s">
        <v>4005</v>
      </c>
      <c r="C2020" s="14" t="s">
        <v>212</v>
      </c>
      <c r="D2020" s="15">
        <f>IFERROR(__xludf.DUMMYFUNCTION("GOOGLEFINANCE(""ASX:SRK"", ""price"")"),0.04)</f>
        <v>0.04</v>
      </c>
      <c r="E2020" s="8">
        <f>IFERROR(__xludf.DUMMYFUNCTION("GOOGLEFINANCE(""ASX:SRK"", ""closeyest"")"),0.04)</f>
        <v>0.04</v>
      </c>
      <c r="F2020" s="5" t="str">
        <f>IFERROR(__xludf.DUMMYFUNCTION("GOOGLEFINANCE(""ASX:SRK"", ""pe"")"),"#N/A")</f>
        <v>#N/A</v>
      </c>
      <c r="G2020" s="9">
        <f>IFERROR(__xludf.DUMMYFUNCTION("GOOGLEFINANCE(""ASX:SRK"", ""high52"")"),0.05)</f>
        <v>0.05</v>
      </c>
      <c r="H2020" s="9">
        <f>IFERROR(__xludf.DUMMYFUNCTION("GOOGLEFINANCE(""ASX:SRK"", ""low52"")"),0.03)</f>
        <v>0.03</v>
      </c>
      <c r="I2020" s="9">
        <f>IFERROR(__xludf.DUMMYFUNCTION("GOOGLEFINANCE(""ASX:SRK"", ""marketcap"")"),9959625.0)</f>
        <v>9959625</v>
      </c>
      <c r="J2020" s="5"/>
      <c r="K2020" s="5"/>
      <c r="L2020" s="5"/>
      <c r="M2020" s="5"/>
      <c r="N2020" s="9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>
      <c r="A2021" s="6" t="s">
        <v>4006</v>
      </c>
      <c r="B2021" s="6" t="s">
        <v>4007</v>
      </c>
      <c r="C2021" s="5" t="s">
        <v>18</v>
      </c>
      <c r="D2021" s="7">
        <f>IFERROR(__xludf.DUMMYFUNCTION("GOOGLEFINANCE(""ASX:SRL"", ""price"")"),7.37)</f>
        <v>7.37</v>
      </c>
      <c r="E2021" s="8">
        <f>IFERROR(__xludf.DUMMYFUNCTION("GOOGLEFINANCE(""ASX:SRL"", ""closeyest"")"),7.1)</f>
        <v>7.1</v>
      </c>
      <c r="F2021" s="5" t="str">
        <f>IFERROR(__xludf.DUMMYFUNCTION("GOOGLEFINANCE(""ASX:SRL"", ""pe"")"),"#N/A")</f>
        <v>#N/A</v>
      </c>
      <c r="G2021" s="9">
        <f>IFERROR(__xludf.DUMMYFUNCTION("GOOGLEFINANCE(""ASX:SRL"", ""high52"")"),8.4)</f>
        <v>8.4</v>
      </c>
      <c r="H2021" s="9">
        <f>IFERROR(__xludf.DUMMYFUNCTION("GOOGLEFINANCE(""ASX:SRL"", ""low52"")"),0.23)</f>
        <v>0.23</v>
      </c>
      <c r="I2021" s="9">
        <f>IFERROR(__xludf.DUMMYFUNCTION("GOOGLEFINANCE(""ASX:SRL"", ""marketcap"")"),9.76712919E8)</f>
        <v>976712919</v>
      </c>
      <c r="J2021" s="5"/>
      <c r="K2021" s="5"/>
      <c r="L2021" s="5"/>
      <c r="M2021" s="5"/>
      <c r="N2021" s="9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>
      <c r="A2022" s="6" t="s">
        <v>4008</v>
      </c>
      <c r="B2022" s="6" t="s">
        <v>4009</v>
      </c>
      <c r="C2022" s="5" t="s">
        <v>18</v>
      </c>
      <c r="D2022" s="7">
        <f>IFERROR(__xludf.DUMMYFUNCTION("GOOGLEFINANCE(""ASX:SRN"", ""price"")"),0.0)</f>
        <v>0</v>
      </c>
      <c r="E2022" s="8">
        <f>IFERROR(__xludf.DUMMYFUNCTION("GOOGLEFINANCE(""ASX:SRN"", ""closeyest"")"),0.0)</f>
        <v>0</v>
      </c>
      <c r="F2022" s="5" t="str">
        <f>IFERROR(__xludf.DUMMYFUNCTION("GOOGLEFINANCE(""ASX:SRN"", ""pe"")"),"#N/A")</f>
        <v>#N/A</v>
      </c>
      <c r="G2022" s="9">
        <f>IFERROR(__xludf.DUMMYFUNCTION("GOOGLEFINANCE(""ASX:SRN"", ""high52"")"),0.0)</f>
        <v>0</v>
      </c>
      <c r="H2022" s="9">
        <f>IFERROR(__xludf.DUMMYFUNCTION("GOOGLEFINANCE(""ASX:SRN"", ""low52"")"),0.0)</f>
        <v>0</v>
      </c>
      <c r="I2022" s="9">
        <f>IFERROR(__xludf.DUMMYFUNCTION("GOOGLEFINANCE(""ASX:SRN"", ""marketcap"")"),1986308.0)</f>
        <v>1986308</v>
      </c>
      <c r="J2022" s="12">
        <v>0.002</v>
      </c>
      <c r="K2022" s="12">
        <v>0.002</v>
      </c>
      <c r="L2022" s="12">
        <v>0.004</v>
      </c>
      <c r="M2022" s="12">
        <v>0.001</v>
      </c>
      <c r="N2022" s="9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>
      <c r="A2023" s="6" t="s">
        <v>4010</v>
      </c>
      <c r="B2023" s="6" t="s">
        <v>4011</v>
      </c>
      <c r="C2023" s="5" t="s">
        <v>88</v>
      </c>
      <c r="D2023" s="7">
        <f>IFERROR(__xludf.DUMMYFUNCTION("GOOGLEFINANCE(""ASX:SRR"", ""price"")"),0.05)</f>
        <v>0.05</v>
      </c>
      <c r="E2023" s="8">
        <f>IFERROR(__xludf.DUMMYFUNCTION("GOOGLEFINANCE(""ASX:SRR"", ""closeyest"")"),0.05)</f>
        <v>0.05</v>
      </c>
      <c r="F2023" s="5" t="str">
        <f>IFERROR(__xludf.DUMMYFUNCTION("GOOGLEFINANCE(""ASX:SRR"", ""pe"")"),"#N/A")</f>
        <v>#N/A</v>
      </c>
      <c r="G2023" s="9">
        <f>IFERROR(__xludf.DUMMYFUNCTION("GOOGLEFINANCE(""ASX:SRR"", ""high52"")"),0.05)</f>
        <v>0.05</v>
      </c>
      <c r="H2023" s="9">
        <f>IFERROR(__xludf.DUMMYFUNCTION("GOOGLEFINANCE(""ASX:SRR"", ""low52"")"),0.03)</f>
        <v>0.03</v>
      </c>
      <c r="I2023" s="9">
        <f>IFERROR(__xludf.DUMMYFUNCTION("GOOGLEFINANCE(""ASX:SRR"", ""marketcap"")"),1.6670535E7)</f>
        <v>16670535</v>
      </c>
      <c r="J2023" s="5"/>
      <c r="K2023" s="5"/>
      <c r="L2023" s="5"/>
      <c r="M2023" s="5"/>
      <c r="N2023" s="9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>
      <c r="A2024" s="6" t="s">
        <v>4012</v>
      </c>
      <c r="B2024" s="6" t="s">
        <v>4013</v>
      </c>
      <c r="C2024" s="5" t="s">
        <v>4014</v>
      </c>
      <c r="D2024" s="7">
        <f>IFERROR(__xludf.DUMMYFUNCTION("GOOGLEFINANCE(""ASX:SRT"", ""price"")"),0.16)</f>
        <v>0.16</v>
      </c>
      <c r="E2024" s="8">
        <f>IFERROR(__xludf.DUMMYFUNCTION("GOOGLEFINANCE(""ASX:SRT"", ""closeyest"")"),0.16)</f>
        <v>0.16</v>
      </c>
      <c r="F2024" s="5" t="str">
        <f>IFERROR(__xludf.DUMMYFUNCTION("GOOGLEFINANCE(""ASX:SRT"", ""pe"")"),"#N/A")</f>
        <v>#N/A</v>
      </c>
      <c r="G2024" s="9">
        <f>IFERROR(__xludf.DUMMYFUNCTION("GOOGLEFINANCE(""ASX:SRT"", ""high52"")"),0.17)</f>
        <v>0.17</v>
      </c>
      <c r="H2024" s="9">
        <f>IFERROR(__xludf.DUMMYFUNCTION("GOOGLEFINANCE(""ASX:SRT"", ""low52"")"),0.16)</f>
        <v>0.16</v>
      </c>
      <c r="I2024" s="9">
        <f>IFERROR(__xludf.DUMMYFUNCTION("GOOGLEFINANCE(""ASX:SRT"", ""marketcap"")"),1.348331E7)</f>
        <v>13483310</v>
      </c>
      <c r="J2024" s="5"/>
      <c r="K2024" s="5"/>
      <c r="L2024" s="5"/>
      <c r="M2024" s="5"/>
      <c r="N2024" s="9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>
      <c r="A2025" s="6" t="s">
        <v>4015</v>
      </c>
      <c r="B2025" s="6" t="s">
        <v>4016</v>
      </c>
      <c r="C2025" s="5" t="s">
        <v>143</v>
      </c>
      <c r="D2025" s="7">
        <f>IFERROR(__xludf.DUMMYFUNCTION("GOOGLEFINANCE(""ASX:SRV"", ""price"")"),6.92)</f>
        <v>6.92</v>
      </c>
      <c r="E2025" s="8">
        <f>IFERROR(__xludf.DUMMYFUNCTION("GOOGLEFINANCE(""ASX:SRV"", ""closeyest"")"),6.75)</f>
        <v>6.75</v>
      </c>
      <c r="F2025" s="9">
        <f>IFERROR(__xludf.DUMMYFUNCTION("GOOGLEFINANCE(""ASX:SRV"", ""pe"")"),13.13)</f>
        <v>13.13</v>
      </c>
      <c r="G2025" s="9">
        <f>IFERROR(__xludf.DUMMYFUNCTION("GOOGLEFINANCE(""ASX:SRV"", ""high52"")"),7.5)</f>
        <v>7.5</v>
      </c>
      <c r="H2025" s="9">
        <f>IFERROR(__xludf.DUMMYFUNCTION("GOOGLEFINANCE(""ASX:SRV"", ""low52"")"),4.8)</f>
        <v>4.8</v>
      </c>
      <c r="I2025" s="9">
        <f>IFERROR(__xludf.DUMMYFUNCTION("GOOGLEFINANCE(""ASX:SRV"", ""marketcap"")"),6.90165377E8)</f>
        <v>690165377</v>
      </c>
      <c r="J2025" s="5"/>
      <c r="K2025" s="5"/>
      <c r="L2025" s="5"/>
      <c r="M2025" s="5"/>
      <c r="N2025" s="9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>
      <c r="A2026" s="6" t="s">
        <v>4017</v>
      </c>
      <c r="B2026" s="6" t="s">
        <v>4018</v>
      </c>
      <c r="C2026" s="5" t="s">
        <v>39</v>
      </c>
      <c r="D2026" s="7">
        <f>IFERROR(__xludf.DUMMYFUNCTION("GOOGLEFINANCE(""ASX:SRZ"", ""price"")"),0.03)</f>
        <v>0.03</v>
      </c>
      <c r="E2026" s="8">
        <f>IFERROR(__xludf.DUMMYFUNCTION("GOOGLEFINANCE(""ASX:SRZ"", ""closeyest"")"),0.03)</f>
        <v>0.03</v>
      </c>
      <c r="F2026" s="5" t="str">
        <f>IFERROR(__xludf.DUMMYFUNCTION("GOOGLEFINANCE(""ASX:SRZ"", ""pe"")"),"#N/A")</f>
        <v>#N/A</v>
      </c>
      <c r="G2026" s="9">
        <f>IFERROR(__xludf.DUMMYFUNCTION("GOOGLEFINANCE(""ASX:SRZ"", ""high52"")"),0.04)</f>
        <v>0.04</v>
      </c>
      <c r="H2026" s="9">
        <f>IFERROR(__xludf.DUMMYFUNCTION("GOOGLEFINANCE(""ASX:SRZ"", ""low52"")"),0.01)</f>
        <v>0.01</v>
      </c>
      <c r="I2026" s="9">
        <f>IFERROR(__xludf.DUMMYFUNCTION("GOOGLEFINANCE(""ASX:SRZ"", ""marketcap"")"),9.2315288E7)</f>
        <v>92315288</v>
      </c>
      <c r="J2026" s="5"/>
      <c r="K2026" s="5"/>
      <c r="L2026" s="5"/>
      <c r="M2026" s="5"/>
      <c r="N2026" s="9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>
      <c r="A2027" s="6" t="s">
        <v>4019</v>
      </c>
      <c r="B2027" s="6" t="s">
        <v>4020</v>
      </c>
      <c r="C2027" s="5" t="s">
        <v>450</v>
      </c>
      <c r="D2027" s="7">
        <f>IFERROR(__xludf.DUMMYFUNCTION("GOOGLEFINANCE(""ASX:SS1"", ""price"")"),1.91)</f>
        <v>1.91</v>
      </c>
      <c r="E2027" s="8">
        <f>IFERROR(__xludf.DUMMYFUNCTION("GOOGLEFINANCE(""ASX:SS1"", ""closeyest"")"),1.94)</f>
        <v>1.94</v>
      </c>
      <c r="F2027" s="5" t="str">
        <f>IFERROR(__xludf.DUMMYFUNCTION("GOOGLEFINANCE(""ASX:SS1"", ""pe"")"),"#N/A")</f>
        <v>#N/A</v>
      </c>
      <c r="G2027" s="9">
        <f>IFERROR(__xludf.DUMMYFUNCTION("GOOGLEFINANCE(""ASX:SS1"", ""high52"")"),2.19)</f>
        <v>2.19</v>
      </c>
      <c r="H2027" s="9">
        <f>IFERROR(__xludf.DUMMYFUNCTION("GOOGLEFINANCE(""ASX:SS1"", ""low52"")"),0.53)</f>
        <v>0.53</v>
      </c>
      <c r="I2027" s="9">
        <f>IFERROR(__xludf.DUMMYFUNCTION("GOOGLEFINANCE(""ASX:SS1"", ""marketcap"")"),2.52442785E8)</f>
        <v>252442785</v>
      </c>
      <c r="J2027" s="5"/>
      <c r="K2027" s="5"/>
      <c r="L2027" s="5"/>
      <c r="M2027" s="5"/>
      <c r="N2027" s="9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>
      <c r="A2028" s="6" t="s">
        <v>4021</v>
      </c>
      <c r="B2028" s="6" t="s">
        <v>4022</v>
      </c>
      <c r="C2028" s="5" t="s">
        <v>399</v>
      </c>
      <c r="D2028" s="7">
        <f>IFERROR(__xludf.DUMMYFUNCTION("GOOGLEFINANCE(""ASX:SSG"", ""price"")"),1.55)</f>
        <v>1.55</v>
      </c>
      <c r="E2028" s="8">
        <f>IFERROR(__xludf.DUMMYFUNCTION("GOOGLEFINANCE(""ASX:SSG"", ""closeyest"")"),1.52)</f>
        <v>1.52</v>
      </c>
      <c r="F2028" s="9">
        <f>IFERROR(__xludf.DUMMYFUNCTION("GOOGLEFINANCE(""ASX:SSG"", ""pe"")"),13.61)</f>
        <v>13.61</v>
      </c>
      <c r="G2028" s="9">
        <f>IFERROR(__xludf.DUMMYFUNCTION("GOOGLEFINANCE(""ASX:SSG"", ""high52"")"),1.62)</f>
        <v>1.62</v>
      </c>
      <c r="H2028" s="9">
        <f>IFERROR(__xludf.DUMMYFUNCTION("GOOGLEFINANCE(""ASX:SSG"", ""low52"")"),1.16)</f>
        <v>1.16</v>
      </c>
      <c r="I2028" s="9">
        <f>IFERROR(__xludf.DUMMYFUNCTION("GOOGLEFINANCE(""ASX:SSG"", ""marketcap"")"),2.02396823E8)</f>
        <v>202396823</v>
      </c>
      <c r="J2028" s="5"/>
      <c r="K2028" s="5"/>
      <c r="L2028" s="5"/>
      <c r="M2028" s="5"/>
      <c r="N2028" s="9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>
      <c r="A2029" s="6" t="s">
        <v>4023</v>
      </c>
      <c r="B2029" s="6" t="s">
        <v>4024</v>
      </c>
      <c r="C2029" s="5" t="s">
        <v>75</v>
      </c>
      <c r="D2029" s="7">
        <f>IFERROR(__xludf.DUMMYFUNCTION("GOOGLEFINANCE(""ASX:SSH"", ""price"")"),0.19)</f>
        <v>0.19</v>
      </c>
      <c r="E2029" s="8">
        <f>IFERROR(__xludf.DUMMYFUNCTION("GOOGLEFINANCE(""ASX:SSH"", ""closeyest"")"),0.18)</f>
        <v>0.18</v>
      </c>
      <c r="F2029" s="9">
        <f>IFERROR(__xludf.DUMMYFUNCTION("GOOGLEFINANCE(""ASX:SSH"", ""pe"")"),23.27)</f>
        <v>23.27</v>
      </c>
      <c r="G2029" s="9">
        <f>IFERROR(__xludf.DUMMYFUNCTION("GOOGLEFINANCE(""ASX:SSH"", ""high52"")"),0.19)</f>
        <v>0.19</v>
      </c>
      <c r="H2029" s="9">
        <f>IFERROR(__xludf.DUMMYFUNCTION("GOOGLEFINANCE(""ASX:SSH"", ""low52"")"),0.08)</f>
        <v>0.08</v>
      </c>
      <c r="I2029" s="9">
        <f>IFERROR(__xludf.DUMMYFUNCTION("GOOGLEFINANCE(""ASX:SSH"", ""marketcap"")"),1.9600953E7)</f>
        <v>19600953</v>
      </c>
      <c r="J2029" s="5"/>
      <c r="K2029" s="5"/>
      <c r="L2029" s="5"/>
      <c r="M2029" s="5"/>
      <c r="N2029" s="9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>
      <c r="A2030" s="6" t="s">
        <v>4025</v>
      </c>
      <c r="B2030" s="6" t="s">
        <v>4026</v>
      </c>
      <c r="C2030" s="5" t="s">
        <v>143</v>
      </c>
      <c r="D2030" s="7">
        <f>IFERROR(__xludf.DUMMYFUNCTION("GOOGLEFINANCE(""ASX:SSL"", ""price"")"),8.65)</f>
        <v>8.65</v>
      </c>
      <c r="E2030" s="8">
        <f>IFERROR(__xludf.DUMMYFUNCTION("GOOGLEFINANCE(""ASX:SSL"", ""closeyest"")"),8.6)</f>
        <v>8.6</v>
      </c>
      <c r="F2030" s="9">
        <f>IFERROR(__xludf.DUMMYFUNCTION("GOOGLEFINANCE(""ASX:SSL"", ""pe"")"),54.44)</f>
        <v>54.44</v>
      </c>
      <c r="G2030" s="9">
        <f>IFERROR(__xludf.DUMMYFUNCTION("GOOGLEFINANCE(""ASX:SSL"", ""high52"")"),9.71)</f>
        <v>9.71</v>
      </c>
      <c r="H2030" s="9">
        <f>IFERROR(__xludf.DUMMYFUNCTION("GOOGLEFINANCE(""ASX:SSL"", ""low52"")"),8.58)</f>
        <v>8.58</v>
      </c>
      <c r="I2030" s="9">
        <f>IFERROR(__xludf.DUMMYFUNCTION("GOOGLEFINANCE(""ASX:SSL"", ""marketcap"")"),6.926469E7)</f>
        <v>69264690</v>
      </c>
      <c r="J2030" s="5"/>
      <c r="K2030" s="5"/>
      <c r="L2030" s="5"/>
      <c r="M2030" s="5"/>
      <c r="N2030" s="9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>
      <c r="A2031" s="6" t="s">
        <v>4027</v>
      </c>
      <c r="B2031" s="6" t="s">
        <v>4028</v>
      </c>
      <c r="C2031" s="5" t="s">
        <v>123</v>
      </c>
      <c r="D2031" s="7">
        <f>IFERROR(__xludf.DUMMYFUNCTION("GOOGLEFINANCE(""ASX:SSM"", ""price"")"),2.22)</f>
        <v>2.22</v>
      </c>
      <c r="E2031" s="8">
        <f>IFERROR(__xludf.DUMMYFUNCTION("GOOGLEFINANCE(""ASX:SSM"", ""closeyest"")"),2.2)</f>
        <v>2.2</v>
      </c>
      <c r="F2031" s="9">
        <f>IFERROR(__xludf.DUMMYFUNCTION("GOOGLEFINANCE(""ASX:SSM"", ""pe"")"),23.52)</f>
        <v>23.52</v>
      </c>
      <c r="G2031" s="9">
        <f>IFERROR(__xludf.DUMMYFUNCTION("GOOGLEFINANCE(""ASX:SSM"", ""high52"")"),2.4)</f>
        <v>2.4</v>
      </c>
      <c r="H2031" s="9">
        <f>IFERROR(__xludf.DUMMYFUNCTION("GOOGLEFINANCE(""ASX:SSM"", ""low52"")"),1.48)</f>
        <v>1.48</v>
      </c>
      <c r="I2031" s="9">
        <f>IFERROR(__xludf.DUMMYFUNCTION("GOOGLEFINANCE(""ASX:SSM"", ""marketcap"")"),1.372859561E9)</f>
        <v>1372859561</v>
      </c>
      <c r="J2031" s="5"/>
      <c r="K2031" s="5"/>
      <c r="L2031" s="5"/>
      <c r="M2031" s="5"/>
      <c r="N2031" s="9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>
      <c r="A2032" s="6" t="s">
        <v>4029</v>
      </c>
      <c r="B2032" s="6" t="s">
        <v>4030</v>
      </c>
      <c r="C2032" s="5" t="s">
        <v>36</v>
      </c>
      <c r="D2032" s="7">
        <f>IFERROR(__xludf.DUMMYFUNCTION("GOOGLEFINANCE(""ASX:SSO"", ""price"")"),17.43)</f>
        <v>17.43</v>
      </c>
      <c r="E2032" s="8">
        <f>IFERROR(__xludf.DUMMYFUNCTION("GOOGLEFINANCE(""ASX:SSO"", ""closeyest"")"),17.29)</f>
        <v>17.29</v>
      </c>
      <c r="F2032" s="5" t="str">
        <f>IFERROR(__xludf.DUMMYFUNCTION("GOOGLEFINANCE(""ASX:SSO"", ""pe"")"),"#N/A")</f>
        <v>#N/A</v>
      </c>
      <c r="G2032" s="9">
        <f>IFERROR(__xludf.DUMMYFUNCTION("GOOGLEFINANCE(""ASX:SSO"", ""high52"")"),17.87)</f>
        <v>17.87</v>
      </c>
      <c r="H2032" s="9">
        <f>IFERROR(__xludf.DUMMYFUNCTION("GOOGLEFINANCE(""ASX:SSO"", ""low52"")"),12.43)</f>
        <v>12.43</v>
      </c>
      <c r="I2032" s="9" t="str">
        <f>IFERROR(__xludf.DUMMYFUNCTION("GOOGLEFINANCE(""ASX:SSO"", ""marketcap"")"),"#N/A")</f>
        <v>#N/A</v>
      </c>
      <c r="J2032" s="5"/>
      <c r="K2032" s="5"/>
      <c r="L2032" s="5"/>
      <c r="M2032" s="5"/>
      <c r="N2032" s="9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>
      <c r="A2033" s="6" t="s">
        <v>4031</v>
      </c>
      <c r="B2033" s="6" t="s">
        <v>4032</v>
      </c>
      <c r="C2033" s="5" t="s">
        <v>4033</v>
      </c>
      <c r="D2033" s="7">
        <f>IFERROR(__xludf.DUMMYFUNCTION("GOOGLEFINANCE(""ASX:SST"", ""price"")"),10.0)</f>
        <v>10</v>
      </c>
      <c r="E2033" s="8">
        <f>IFERROR(__xludf.DUMMYFUNCTION("GOOGLEFINANCE(""ASX:SST"", ""closeyest"")"),10.0)</f>
        <v>10</v>
      </c>
      <c r="F2033" s="9">
        <f>IFERROR(__xludf.DUMMYFUNCTION("GOOGLEFINANCE(""ASX:SST"", ""pe"")"),20.09)</f>
        <v>20.09</v>
      </c>
      <c r="G2033" s="9">
        <f>IFERROR(__xludf.DUMMYFUNCTION("GOOGLEFINANCE(""ASX:SST"", ""high52"")"),15.0)</f>
        <v>15</v>
      </c>
      <c r="H2033" s="9">
        <f>IFERROR(__xludf.DUMMYFUNCTION("GOOGLEFINANCE(""ASX:SST"", ""low52"")"),10.0)</f>
        <v>10</v>
      </c>
      <c r="I2033" s="9">
        <f>IFERROR(__xludf.DUMMYFUNCTION("GOOGLEFINANCE(""ASX:SST"", ""marketcap"")"),3.100824E8)</f>
        <v>310082400</v>
      </c>
      <c r="J2033" s="5"/>
      <c r="K2033" s="5"/>
      <c r="L2033" s="5"/>
      <c r="M2033" s="5"/>
      <c r="N2033" s="9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>
      <c r="A2034" s="6" t="s">
        <v>4034</v>
      </c>
      <c r="B2034" s="6" t="s">
        <v>4035</v>
      </c>
      <c r="C2034" s="5" t="s">
        <v>161</v>
      </c>
      <c r="D2034" s="7">
        <f>IFERROR(__xludf.DUMMYFUNCTION("GOOGLEFINANCE(""ASX:STG"", ""price"")"),0.34)</f>
        <v>0.34</v>
      </c>
      <c r="E2034" s="8">
        <f>IFERROR(__xludf.DUMMYFUNCTION("GOOGLEFINANCE(""ASX:STG"", ""closeyest"")"),0.33)</f>
        <v>0.33</v>
      </c>
      <c r="F2034" s="5" t="str">
        <f>IFERROR(__xludf.DUMMYFUNCTION("GOOGLEFINANCE(""ASX:STG"", ""pe"")"),"#N/A")</f>
        <v>#N/A</v>
      </c>
      <c r="G2034" s="9">
        <f>IFERROR(__xludf.DUMMYFUNCTION("GOOGLEFINANCE(""ASX:STG"", ""high52"")"),0.62)</f>
        <v>0.62</v>
      </c>
      <c r="H2034" s="9">
        <f>IFERROR(__xludf.DUMMYFUNCTION("GOOGLEFINANCE(""ASX:STG"", ""low52"")"),0.28)</f>
        <v>0.28</v>
      </c>
      <c r="I2034" s="9">
        <f>IFERROR(__xludf.DUMMYFUNCTION("GOOGLEFINANCE(""ASX:STG"", ""marketcap"")"),2.1875362E7)</f>
        <v>21875362</v>
      </c>
      <c r="J2034" s="5"/>
      <c r="K2034" s="5"/>
      <c r="L2034" s="5"/>
      <c r="M2034" s="5"/>
      <c r="N2034" s="9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>
      <c r="A2035" s="6" t="s">
        <v>4036</v>
      </c>
      <c r="B2035" s="6" t="s">
        <v>4037</v>
      </c>
      <c r="C2035" s="5" t="s">
        <v>184</v>
      </c>
      <c r="D2035" s="7">
        <f>IFERROR(__xludf.DUMMYFUNCTION("GOOGLEFINANCE(""ASX:STH"", ""price"")"),0.14)</f>
        <v>0.14</v>
      </c>
      <c r="E2035" s="8">
        <f>IFERROR(__xludf.DUMMYFUNCTION("GOOGLEFINANCE(""ASX:STH"", ""closeyest"")"),0.14)</f>
        <v>0.14</v>
      </c>
      <c r="F2035" s="9">
        <f>IFERROR(__xludf.DUMMYFUNCTION("GOOGLEFINANCE(""ASX:STH"", ""pe"")"),7.08)</f>
        <v>7.08</v>
      </c>
      <c r="G2035" s="9">
        <f>IFERROR(__xludf.DUMMYFUNCTION("GOOGLEFINANCE(""ASX:STH"", ""high52"")"),0.2)</f>
        <v>0.2</v>
      </c>
      <c r="H2035" s="9">
        <f>IFERROR(__xludf.DUMMYFUNCTION("GOOGLEFINANCE(""ASX:STH"", ""low52"")"),0.13)</f>
        <v>0.13</v>
      </c>
      <c r="I2035" s="9">
        <f>IFERROR(__xludf.DUMMYFUNCTION("GOOGLEFINANCE(""ASX:STH"", ""marketcap"")"),2.3235553E7)</f>
        <v>23235553</v>
      </c>
      <c r="J2035" s="5"/>
      <c r="K2035" s="5"/>
      <c r="L2035" s="5"/>
      <c r="M2035" s="5"/>
      <c r="N2035" s="9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>
      <c r="A2036" s="6" t="s">
        <v>4038</v>
      </c>
      <c r="B2036" s="6" t="s">
        <v>4039</v>
      </c>
      <c r="C2036" s="5" t="s">
        <v>18</v>
      </c>
      <c r="D2036" s="7">
        <f>IFERROR(__xludf.DUMMYFUNCTION("GOOGLEFINANCE(""ASX:STK"", ""price"")"),0.2)</f>
        <v>0.2</v>
      </c>
      <c r="E2036" s="8">
        <f>IFERROR(__xludf.DUMMYFUNCTION("GOOGLEFINANCE(""ASX:STK"", ""closeyest"")"),0.21)</f>
        <v>0.21</v>
      </c>
      <c r="F2036" s="9">
        <f>IFERROR(__xludf.DUMMYFUNCTION("GOOGLEFINANCE(""ASX:STK"", ""pe"")"),1083.33)</f>
        <v>1083.33</v>
      </c>
      <c r="G2036" s="9">
        <f>IFERROR(__xludf.DUMMYFUNCTION("GOOGLEFINANCE(""ASX:STK"", ""high52"")"),0.25)</f>
        <v>0.25</v>
      </c>
      <c r="H2036" s="9">
        <f>IFERROR(__xludf.DUMMYFUNCTION("GOOGLEFINANCE(""ASX:STK"", ""low52"")"),0.06)</f>
        <v>0.06</v>
      </c>
      <c r="I2036" s="9">
        <f>IFERROR(__xludf.DUMMYFUNCTION("GOOGLEFINANCE(""ASX:STK"", ""marketcap"")"),4.46171683E8)</f>
        <v>446171683</v>
      </c>
      <c r="J2036" s="5"/>
      <c r="K2036" s="5"/>
      <c r="L2036" s="5"/>
      <c r="M2036" s="5"/>
      <c r="N2036" s="9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>
      <c r="A2037" s="6" t="s">
        <v>4040</v>
      </c>
      <c r="B2037" s="6" t="s">
        <v>4041</v>
      </c>
      <c r="C2037" s="5" t="s">
        <v>18</v>
      </c>
      <c r="D2037" s="7">
        <f>IFERROR(__xludf.DUMMYFUNCTION("GOOGLEFINANCE(""ASX:STM"", ""price"")"),0.02)</f>
        <v>0.02</v>
      </c>
      <c r="E2037" s="8">
        <f>IFERROR(__xludf.DUMMYFUNCTION("GOOGLEFINANCE(""ASX:STM"", ""closeyest"")"),0.02)</f>
        <v>0.02</v>
      </c>
      <c r="F2037" s="5" t="str">
        <f>IFERROR(__xludf.DUMMYFUNCTION("GOOGLEFINANCE(""ASX:STM"", ""pe"")"),"#N/A")</f>
        <v>#N/A</v>
      </c>
      <c r="G2037" s="9">
        <f>IFERROR(__xludf.DUMMYFUNCTION("GOOGLEFINANCE(""ASX:STM"", ""high52"")"),0.03)</f>
        <v>0.03</v>
      </c>
      <c r="H2037" s="9">
        <f>IFERROR(__xludf.DUMMYFUNCTION("GOOGLEFINANCE(""ASX:STM"", ""low52"")"),0.01)</f>
        <v>0.01</v>
      </c>
      <c r="I2037" s="9">
        <f>IFERROR(__xludf.DUMMYFUNCTION("GOOGLEFINANCE(""ASX:STM"", ""marketcap"")"),1.35809596E8)</f>
        <v>135809596</v>
      </c>
      <c r="J2037" s="5"/>
      <c r="K2037" s="5"/>
      <c r="L2037" s="5"/>
      <c r="M2037" s="5"/>
      <c r="N2037" s="9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>
      <c r="A2038" s="6" t="s">
        <v>4042</v>
      </c>
      <c r="B2038" s="6" t="s">
        <v>4043</v>
      </c>
      <c r="C2038" s="5" t="s">
        <v>88</v>
      </c>
      <c r="D2038" s="7">
        <f>IFERROR(__xludf.DUMMYFUNCTION("GOOGLEFINANCE(""ASX:STN"", ""price"")"),0.51)</f>
        <v>0.51</v>
      </c>
      <c r="E2038" s="8">
        <f>IFERROR(__xludf.DUMMYFUNCTION("GOOGLEFINANCE(""ASX:STN"", ""closeyest"")"),0.49)</f>
        <v>0.49</v>
      </c>
      <c r="F2038" s="5" t="str">
        <f>IFERROR(__xludf.DUMMYFUNCTION("GOOGLEFINANCE(""ASX:STN"", ""pe"")"),"#N/A")</f>
        <v>#N/A</v>
      </c>
      <c r="G2038" s="9">
        <f>IFERROR(__xludf.DUMMYFUNCTION("GOOGLEFINANCE(""ASX:STN"", ""high52"")"),0.7)</f>
        <v>0.7</v>
      </c>
      <c r="H2038" s="9">
        <f>IFERROR(__xludf.DUMMYFUNCTION("GOOGLEFINANCE(""ASX:STN"", ""low52"")"),0.17)</f>
        <v>0.17</v>
      </c>
      <c r="I2038" s="9">
        <f>IFERROR(__xludf.DUMMYFUNCTION("GOOGLEFINANCE(""ASX:STN"", ""marketcap"")"),2.7312657E8)</f>
        <v>273126570</v>
      </c>
      <c r="J2038" s="5"/>
      <c r="K2038" s="5"/>
      <c r="L2038" s="5"/>
      <c r="M2038" s="5"/>
      <c r="N2038" s="9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>
      <c r="A2039" s="6" t="s">
        <v>4044</v>
      </c>
      <c r="B2039" s="6" t="s">
        <v>4045</v>
      </c>
      <c r="C2039" s="5" t="s">
        <v>3349</v>
      </c>
      <c r="D2039" s="7">
        <f>IFERROR(__xludf.DUMMYFUNCTION("GOOGLEFINANCE(""ASX:STO"", ""price"")"),5.92)</f>
        <v>5.92</v>
      </c>
      <c r="E2039" s="8">
        <f>IFERROR(__xludf.DUMMYFUNCTION("GOOGLEFINANCE(""ASX:STO"", ""closeyest"")"),6.1)</f>
        <v>6.1</v>
      </c>
      <c r="F2039" s="9">
        <f>IFERROR(__xludf.DUMMYFUNCTION("GOOGLEFINANCE(""ASX:STO"", ""pe"")"),12.53)</f>
        <v>12.53</v>
      </c>
      <c r="G2039" s="9">
        <f>IFERROR(__xludf.DUMMYFUNCTION("GOOGLEFINANCE(""ASX:STO"", ""high52"")"),8.06)</f>
        <v>8.06</v>
      </c>
      <c r="H2039" s="9">
        <f>IFERROR(__xludf.DUMMYFUNCTION("GOOGLEFINANCE(""ASX:STO"", ""low52"")"),5.2)</f>
        <v>5.2</v>
      </c>
      <c r="I2039" s="9">
        <f>IFERROR(__xludf.DUMMYFUNCTION("GOOGLEFINANCE(""ASX:STO"", ""marketcap"")"),7228668.0)</f>
        <v>7228668</v>
      </c>
      <c r="J2039" s="5"/>
      <c r="K2039" s="5"/>
      <c r="L2039" s="5"/>
      <c r="M2039" s="5"/>
      <c r="N2039" s="9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>
      <c r="A2040" s="6" t="s">
        <v>4046</v>
      </c>
      <c r="B2040" s="6" t="s">
        <v>4047</v>
      </c>
      <c r="C2040" s="5" t="s">
        <v>620</v>
      </c>
      <c r="D2040" s="7">
        <f>IFERROR(__xludf.DUMMYFUNCTION("GOOGLEFINANCE(""ASX:STP"", ""price"")"),0.34)</f>
        <v>0.34</v>
      </c>
      <c r="E2040" s="8">
        <f>IFERROR(__xludf.DUMMYFUNCTION("GOOGLEFINANCE(""ASX:STP"", ""closeyest"")"),0.34)</f>
        <v>0.34</v>
      </c>
      <c r="F2040" s="9">
        <f>IFERROR(__xludf.DUMMYFUNCTION("GOOGLEFINANCE(""ASX:STP"", ""pe"")"),4.94)</f>
        <v>4.94</v>
      </c>
      <c r="G2040" s="9">
        <f>IFERROR(__xludf.DUMMYFUNCTION("GOOGLEFINANCE(""ASX:STP"", ""high52"")"),1.43)</f>
        <v>1.43</v>
      </c>
      <c r="H2040" s="9">
        <f>IFERROR(__xludf.DUMMYFUNCTION("GOOGLEFINANCE(""ASX:STP"", ""low52"")"),0.26)</f>
        <v>0.26</v>
      </c>
      <c r="I2040" s="9">
        <f>IFERROR(__xludf.DUMMYFUNCTION("GOOGLEFINANCE(""ASX:STP"", ""marketcap"")"),6.1201989E7)</f>
        <v>61201989</v>
      </c>
      <c r="J2040" s="5"/>
      <c r="K2040" s="5"/>
      <c r="L2040" s="5"/>
      <c r="M2040" s="5"/>
      <c r="N2040" s="9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>
      <c r="A2041" s="6" t="s">
        <v>4048</v>
      </c>
      <c r="B2041" s="6" t="s">
        <v>4049</v>
      </c>
      <c r="C2041" s="5" t="s">
        <v>93</v>
      </c>
      <c r="D2041" s="7">
        <f>IFERROR(__xludf.DUMMYFUNCTION("GOOGLEFINANCE(""ASX:STV"", ""price"")"),0.01)</f>
        <v>0.01</v>
      </c>
      <c r="E2041" s="8">
        <f>IFERROR(__xludf.DUMMYFUNCTION("GOOGLEFINANCE(""ASX:STV"", ""closeyest"")"),0.01)</f>
        <v>0.01</v>
      </c>
      <c r="F2041" s="5" t="str">
        <f>IFERROR(__xludf.DUMMYFUNCTION("GOOGLEFINANCE(""ASX:STV"", ""pe"")"),"#N/A")</f>
        <v>#N/A</v>
      </c>
      <c r="G2041" s="9">
        <f>IFERROR(__xludf.DUMMYFUNCTION("GOOGLEFINANCE(""ASX:STV"", ""high52"")"),0.01)</f>
        <v>0.01</v>
      </c>
      <c r="H2041" s="9">
        <f>IFERROR(__xludf.DUMMYFUNCTION("GOOGLEFINANCE(""ASX:STV"", ""low52"")"),0.01)</f>
        <v>0.01</v>
      </c>
      <c r="I2041" s="9">
        <f>IFERROR(__xludf.DUMMYFUNCTION("GOOGLEFINANCE(""ASX:STV"", ""marketcap"")"),8102336.0)</f>
        <v>8102336</v>
      </c>
      <c r="J2041" s="5"/>
      <c r="K2041" s="5"/>
      <c r="L2041" s="5"/>
      <c r="M2041" s="5"/>
      <c r="N2041" s="9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>
      <c r="A2042" s="6" t="s">
        <v>4050</v>
      </c>
      <c r="B2042" s="6" t="s">
        <v>4051</v>
      </c>
      <c r="C2042" s="5" t="s">
        <v>3841</v>
      </c>
      <c r="D2042" s="7">
        <f>IFERROR(__xludf.DUMMYFUNCTION("GOOGLEFINANCE(""ASX:STW"", ""price"")"),77.79)</f>
        <v>77.79</v>
      </c>
      <c r="E2042" s="8">
        <f>IFERROR(__xludf.DUMMYFUNCTION("GOOGLEFINANCE(""ASX:STW"", ""closeyest"")"),77.75)</f>
        <v>77.75</v>
      </c>
      <c r="F2042" s="5" t="str">
        <f>IFERROR(__xludf.DUMMYFUNCTION("GOOGLEFINANCE(""ASX:STW"", ""pe"")"),"#N/A")</f>
        <v>#N/A</v>
      </c>
      <c r="G2042" s="9">
        <f>IFERROR(__xludf.DUMMYFUNCTION("GOOGLEFINANCE(""ASX:STW"", ""high52"")"),81.89)</f>
        <v>81.89</v>
      </c>
      <c r="H2042" s="9">
        <f>IFERROR(__xludf.DUMMYFUNCTION("GOOGLEFINANCE(""ASX:STW"", ""low52"")"),64.59)</f>
        <v>64.59</v>
      </c>
      <c r="I2042" s="9">
        <f>IFERROR(__xludf.DUMMYFUNCTION("GOOGLEFINANCE(""ASX:STW"", ""marketcap"")"),5.092162242E9)</f>
        <v>5092162242</v>
      </c>
      <c r="J2042" s="5"/>
      <c r="K2042" s="5"/>
      <c r="L2042" s="5"/>
      <c r="M2042" s="5"/>
      <c r="N2042" s="9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>
      <c r="A2043" s="6" t="s">
        <v>4052</v>
      </c>
      <c r="B2043" s="6" t="s">
        <v>4053</v>
      </c>
      <c r="C2043" s="5" t="s">
        <v>78</v>
      </c>
      <c r="D2043" s="7">
        <f>IFERROR(__xludf.DUMMYFUNCTION("GOOGLEFINANCE(""ASX:STX"", ""price"")"),0.11)</f>
        <v>0.11</v>
      </c>
      <c r="E2043" s="8">
        <f>IFERROR(__xludf.DUMMYFUNCTION("GOOGLEFINANCE(""ASX:STX"", ""closeyest"")"),0.11)</f>
        <v>0.11</v>
      </c>
      <c r="F2043" s="5" t="str">
        <f>IFERROR(__xludf.DUMMYFUNCTION("GOOGLEFINANCE(""ASX:STX"", ""pe"")"),"#N/A")</f>
        <v>#N/A</v>
      </c>
      <c r="G2043" s="9">
        <f>IFERROR(__xludf.DUMMYFUNCTION("GOOGLEFINANCE(""ASX:STX"", ""high52"")"),0.26)</f>
        <v>0.26</v>
      </c>
      <c r="H2043" s="9">
        <f>IFERROR(__xludf.DUMMYFUNCTION("GOOGLEFINANCE(""ASX:STX"", ""low52"")"),0.1)</f>
        <v>0.1</v>
      </c>
      <c r="I2043" s="9">
        <f>IFERROR(__xludf.DUMMYFUNCTION("GOOGLEFINANCE(""ASX:STX"", ""marketcap"")"),3.95933667E8)</f>
        <v>395933667</v>
      </c>
      <c r="J2043" s="5"/>
      <c r="K2043" s="5"/>
      <c r="L2043" s="5"/>
      <c r="M2043" s="5"/>
      <c r="N2043" s="9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>
      <c r="A2044" s="6" t="s">
        <v>4054</v>
      </c>
      <c r="B2044" s="6" t="s">
        <v>4055</v>
      </c>
      <c r="C2044" s="5" t="s">
        <v>36</v>
      </c>
      <c r="D2044" s="7">
        <f>IFERROR(__xludf.DUMMYFUNCTION("GOOGLEFINANCE(""ASX:SUBD"", ""price"")"),25.32)</f>
        <v>25.32</v>
      </c>
      <c r="E2044" s="8">
        <f>IFERROR(__xludf.DUMMYFUNCTION("GOOGLEFINANCE(""ASX:SUBD"", ""closeyest"")"),25.32)</f>
        <v>25.32</v>
      </c>
      <c r="F2044" s="5" t="str">
        <f>IFERROR(__xludf.DUMMYFUNCTION("GOOGLEFINANCE(""ASX:SUBD"", ""pe"")"),"#N/A")</f>
        <v>#N/A</v>
      </c>
      <c r="G2044" s="9">
        <f>IFERROR(__xludf.DUMMYFUNCTION("GOOGLEFINANCE(""ASX:SUBD"", ""high52"")"),25.35)</f>
        <v>25.35</v>
      </c>
      <c r="H2044" s="9">
        <f>IFERROR(__xludf.DUMMYFUNCTION("GOOGLEFINANCE(""ASX:SUBD"", ""low52"")"),24.79)</f>
        <v>24.79</v>
      </c>
      <c r="I2044" s="9" t="str">
        <f>IFERROR(__xludf.DUMMYFUNCTION("GOOGLEFINANCE(""ASX:SUBD"", ""marketcap"")"),"#N/A")</f>
        <v>#N/A</v>
      </c>
      <c r="J2044" s="5"/>
      <c r="K2044" s="5"/>
      <c r="L2044" s="5"/>
      <c r="M2044" s="5"/>
      <c r="N2044" s="9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>
      <c r="A2045" s="6" t="s">
        <v>4056</v>
      </c>
      <c r="B2045" s="6" t="s">
        <v>4057</v>
      </c>
      <c r="C2045" s="5" t="s">
        <v>39</v>
      </c>
      <c r="D2045" s="7">
        <f>IFERROR(__xludf.DUMMYFUNCTION("GOOGLEFINANCE(""ASX:SUH"", ""price"")"),0.04)</f>
        <v>0.04</v>
      </c>
      <c r="E2045" s="8">
        <f>IFERROR(__xludf.DUMMYFUNCTION("GOOGLEFINANCE(""ASX:SUH"", ""closeyest"")"),0.04)</f>
        <v>0.04</v>
      </c>
      <c r="F2045" s="5" t="str">
        <f>IFERROR(__xludf.DUMMYFUNCTION("GOOGLEFINANCE(""ASX:SUH"", ""pe"")"),"#N/A")</f>
        <v>#N/A</v>
      </c>
      <c r="G2045" s="9">
        <f>IFERROR(__xludf.DUMMYFUNCTION("GOOGLEFINANCE(""ASX:SUH"", ""high52"")"),0.05)</f>
        <v>0.05</v>
      </c>
      <c r="H2045" s="9">
        <f>IFERROR(__xludf.DUMMYFUNCTION("GOOGLEFINANCE(""ASX:SUH"", ""low52"")"),0.02)</f>
        <v>0.02</v>
      </c>
      <c r="I2045" s="9">
        <f>IFERROR(__xludf.DUMMYFUNCTION("GOOGLEFINANCE(""ASX:SUH"", ""marketcap"")"),2.6559858E7)</f>
        <v>26559858</v>
      </c>
      <c r="J2045" s="5"/>
      <c r="K2045" s="5"/>
      <c r="L2045" s="5"/>
      <c r="M2045" s="5"/>
      <c r="N2045" s="9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>
      <c r="A2046" s="6" t="s">
        <v>4058</v>
      </c>
      <c r="B2046" s="6" t="s">
        <v>4059</v>
      </c>
      <c r="C2046" s="5" t="s">
        <v>399</v>
      </c>
      <c r="D2046" s="7">
        <f>IFERROR(__xludf.DUMMYFUNCTION("GOOGLEFINANCE(""ASX:SUL"", ""price"")"),15.43)</f>
        <v>15.43</v>
      </c>
      <c r="E2046" s="8">
        <f>IFERROR(__xludf.DUMMYFUNCTION("GOOGLEFINANCE(""ASX:SUL"", ""closeyest"")"),15.24)</f>
        <v>15.24</v>
      </c>
      <c r="F2046" s="9">
        <f>IFERROR(__xludf.DUMMYFUNCTION("GOOGLEFINANCE(""ASX:SUL"", ""pe"")"),15.83)</f>
        <v>15.83</v>
      </c>
      <c r="G2046" s="9">
        <f>IFERROR(__xludf.DUMMYFUNCTION("GOOGLEFINANCE(""ASX:SUL"", ""high52"")"),20.2)</f>
        <v>20.2</v>
      </c>
      <c r="H2046" s="9">
        <f>IFERROR(__xludf.DUMMYFUNCTION("GOOGLEFINANCE(""ASX:SUL"", ""low52"")"),12.06)</f>
        <v>12.06</v>
      </c>
      <c r="I2046" s="9">
        <f>IFERROR(__xludf.DUMMYFUNCTION("GOOGLEFINANCE(""ASX:SUL"", ""marketcap"")"),3.48450142E9)</f>
        <v>3484501420</v>
      </c>
      <c r="J2046" s="5"/>
      <c r="K2046" s="5"/>
      <c r="L2046" s="5"/>
      <c r="M2046" s="5"/>
      <c r="N2046" s="9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>
      <c r="A2047" s="6" t="s">
        <v>4060</v>
      </c>
      <c r="B2047" s="6" t="s">
        <v>4061</v>
      </c>
      <c r="C2047" s="5" t="s">
        <v>39</v>
      </c>
      <c r="D2047" s="7">
        <f>IFERROR(__xludf.DUMMYFUNCTION("GOOGLEFINANCE(""ASX:SUM"", ""price"")"),0.04)</f>
        <v>0.04</v>
      </c>
      <c r="E2047" s="8">
        <f>IFERROR(__xludf.DUMMYFUNCTION("GOOGLEFINANCE(""ASX:SUM"", ""closeyest"")"),0.04)</f>
        <v>0.04</v>
      </c>
      <c r="F2047" s="5" t="str">
        <f>IFERROR(__xludf.DUMMYFUNCTION("GOOGLEFINANCE(""ASX:SUM"", ""pe"")"),"#N/A")</f>
        <v>#N/A</v>
      </c>
      <c r="G2047" s="9">
        <f>IFERROR(__xludf.DUMMYFUNCTION("GOOGLEFINANCE(""ASX:SUM"", ""high52"")"),0.2)</f>
        <v>0.2</v>
      </c>
      <c r="H2047" s="9">
        <f>IFERROR(__xludf.DUMMYFUNCTION("GOOGLEFINANCE(""ASX:SUM"", ""low52"")"),0.03)</f>
        <v>0.03</v>
      </c>
      <c r="I2047" s="9">
        <f>IFERROR(__xludf.DUMMYFUNCTION("GOOGLEFINANCE(""ASX:SUM"", ""marketcap"")"),5179427.0)</f>
        <v>5179427</v>
      </c>
      <c r="J2047" s="5"/>
      <c r="K2047" s="5"/>
      <c r="L2047" s="5"/>
      <c r="M2047" s="5"/>
      <c r="N2047" s="9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>
      <c r="A2048" s="6" t="s">
        <v>4062</v>
      </c>
      <c r="B2048" s="6" t="s">
        <v>4063</v>
      </c>
      <c r="C2048" s="5" t="s">
        <v>2112</v>
      </c>
      <c r="D2048" s="7">
        <f>IFERROR(__xludf.DUMMYFUNCTION("GOOGLEFINANCE(""ASX:SUN"", ""price"")"),17.45)</f>
        <v>17.45</v>
      </c>
      <c r="E2048" s="8">
        <f>IFERROR(__xludf.DUMMYFUNCTION("GOOGLEFINANCE(""ASX:SUN"", ""closeyest"")"),17.3)</f>
        <v>17.3</v>
      </c>
      <c r="F2048" s="9">
        <f>IFERROR(__xludf.DUMMYFUNCTION("GOOGLEFINANCE(""ASX:SUN"", ""pe"")"),7.14)</f>
        <v>7.14</v>
      </c>
      <c r="G2048" s="9">
        <f>IFERROR(__xludf.DUMMYFUNCTION("GOOGLEFINANCE(""ASX:SUN"", ""high52"")"),25.26)</f>
        <v>25.26</v>
      </c>
      <c r="H2048" s="9">
        <f>IFERROR(__xludf.DUMMYFUNCTION("GOOGLEFINANCE(""ASX:SUN"", ""low52"")"),16.63)</f>
        <v>16.63</v>
      </c>
      <c r="I2048" s="9">
        <f>IFERROR(__xludf.DUMMYFUNCTION("GOOGLEFINANCE(""ASX:SUN"", ""marketcap"")"),1.8897774976E10)</f>
        <v>18897774976</v>
      </c>
      <c r="J2048" s="5"/>
      <c r="K2048" s="5"/>
      <c r="L2048" s="5"/>
      <c r="M2048" s="5"/>
      <c r="N2048" s="9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>
      <c r="A2049" s="6" t="s">
        <v>4064</v>
      </c>
      <c r="B2049" s="6" t="s">
        <v>4065</v>
      </c>
      <c r="C2049" s="5" t="s">
        <v>88</v>
      </c>
      <c r="D2049" s="7">
        <f>IFERROR(__xludf.DUMMYFUNCTION("GOOGLEFINANCE(""ASX:SVG"", ""price"")"),0.02)</f>
        <v>0.02</v>
      </c>
      <c r="E2049" s="8">
        <f>IFERROR(__xludf.DUMMYFUNCTION("GOOGLEFINANCE(""ASX:SVG"", ""closeyest"")"),0.02)</f>
        <v>0.02</v>
      </c>
      <c r="F2049" s="5" t="str">
        <f>IFERROR(__xludf.DUMMYFUNCTION("GOOGLEFINANCE(""ASX:SVG"", ""pe"")"),"#N/A")</f>
        <v>#N/A</v>
      </c>
      <c r="G2049" s="9">
        <f>IFERROR(__xludf.DUMMYFUNCTION("GOOGLEFINANCE(""ASX:SVG"", ""high52"")"),0.03)</f>
        <v>0.03</v>
      </c>
      <c r="H2049" s="9">
        <f>IFERROR(__xludf.DUMMYFUNCTION("GOOGLEFINANCE(""ASX:SVG"", ""low52"")"),0.01)</f>
        <v>0.01</v>
      </c>
      <c r="I2049" s="9">
        <f>IFERROR(__xludf.DUMMYFUNCTION("GOOGLEFINANCE(""ASX:SVG"", ""marketcap"")"),4.4973118E7)</f>
        <v>44973118</v>
      </c>
      <c r="J2049" s="5"/>
      <c r="K2049" s="5"/>
      <c r="L2049" s="5"/>
      <c r="M2049" s="5"/>
      <c r="N2049" s="9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>
      <c r="A2050" s="6" t="s">
        <v>4066</v>
      </c>
      <c r="B2050" s="6" t="s">
        <v>4067</v>
      </c>
      <c r="C2050" s="5" t="s">
        <v>450</v>
      </c>
      <c r="D2050" s="7">
        <f>IFERROR(__xludf.DUMMYFUNCTION("GOOGLEFINANCE(""ASX:SVL"", ""price"")"),0.22)</f>
        <v>0.22</v>
      </c>
      <c r="E2050" s="8">
        <f>IFERROR(__xludf.DUMMYFUNCTION("GOOGLEFINANCE(""ASX:SVL"", ""closeyest"")"),0.22)</f>
        <v>0.22</v>
      </c>
      <c r="F2050" s="5" t="str">
        <f>IFERROR(__xludf.DUMMYFUNCTION("GOOGLEFINANCE(""ASX:SVL"", ""pe"")"),"#N/A")</f>
        <v>#N/A</v>
      </c>
      <c r="G2050" s="9">
        <f>IFERROR(__xludf.DUMMYFUNCTION("GOOGLEFINANCE(""ASX:SVL"", ""high52"")"),0.24)</f>
        <v>0.24</v>
      </c>
      <c r="H2050" s="9">
        <f>IFERROR(__xludf.DUMMYFUNCTION("GOOGLEFINANCE(""ASX:SVL"", ""low52"")"),0.07)</f>
        <v>0.07</v>
      </c>
      <c r="I2050" s="9">
        <f>IFERROR(__xludf.DUMMYFUNCTION("GOOGLEFINANCE(""ASX:SVL"", ""marketcap"")"),4.61089867E8)</f>
        <v>461089867</v>
      </c>
      <c r="J2050" s="5"/>
      <c r="K2050" s="5"/>
      <c r="L2050" s="5"/>
      <c r="M2050" s="5"/>
      <c r="N2050" s="9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>
      <c r="A2051" s="6" t="s">
        <v>4068</v>
      </c>
      <c r="B2051" s="6" t="s">
        <v>4069</v>
      </c>
      <c r="C2051" s="5" t="s">
        <v>18</v>
      </c>
      <c r="D2051" s="7">
        <f>IFERROR(__xludf.DUMMYFUNCTION("GOOGLEFINANCE(""ASX:SVM"", ""price"")"),0.59)</f>
        <v>0.59</v>
      </c>
      <c r="E2051" s="8">
        <f>IFERROR(__xludf.DUMMYFUNCTION("GOOGLEFINANCE(""ASX:SVM"", ""closeyest"")"),0.58)</f>
        <v>0.58</v>
      </c>
      <c r="F2051" s="5" t="str">
        <f>IFERROR(__xludf.DUMMYFUNCTION("GOOGLEFINANCE(""ASX:SVM"", ""pe"")"),"#N/A")</f>
        <v>#N/A</v>
      </c>
      <c r="G2051" s="9">
        <f>IFERROR(__xludf.DUMMYFUNCTION("GOOGLEFINANCE(""ASX:SVM"", ""high52"")"),0.98)</f>
        <v>0.98</v>
      </c>
      <c r="H2051" s="9">
        <f>IFERROR(__xludf.DUMMYFUNCTION("GOOGLEFINANCE(""ASX:SVM"", ""low52"")"),0.47)</f>
        <v>0.47</v>
      </c>
      <c r="I2051" s="9">
        <f>IFERROR(__xludf.DUMMYFUNCTION("GOOGLEFINANCE(""ASX:SVM"", ""marketcap"")"),3.81693816E8)</f>
        <v>381693816</v>
      </c>
      <c r="J2051" s="5"/>
      <c r="K2051" s="5"/>
      <c r="L2051" s="5"/>
      <c r="M2051" s="5"/>
      <c r="N2051" s="9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>
      <c r="A2052" s="6" t="s">
        <v>4070</v>
      </c>
      <c r="B2052" s="6" t="s">
        <v>4071</v>
      </c>
      <c r="C2052" s="5" t="s">
        <v>36</v>
      </c>
      <c r="D2052" s="7" t="str">
        <f>IFERROR(__xludf.DUMMYFUNCTION("GOOGLEFINANCE(""ASX:SVNP"", ""price"")"),"#N/A")</f>
        <v>#N/A</v>
      </c>
      <c r="E2052" s="8" t="str">
        <f>IFERROR(__xludf.DUMMYFUNCTION("GOOGLEFINANCE(""ASX:SVNP"", ""closeyest"")"),"#N/A")</f>
        <v>#N/A</v>
      </c>
      <c r="F2052" s="5" t="str">
        <f>IFERROR(__xludf.DUMMYFUNCTION("GOOGLEFINANCE(""ASX:SVNP"", ""pe"")"),"#N/A")</f>
        <v>#N/A</v>
      </c>
      <c r="G2052" s="5" t="str">
        <f>IFERROR(__xludf.DUMMYFUNCTION("GOOGLEFINANCE(""ASX:SVNP"", ""high52"")"),"#N/A")</f>
        <v>#N/A</v>
      </c>
      <c r="H2052" s="5" t="str">
        <f>IFERROR(__xludf.DUMMYFUNCTION("GOOGLEFINANCE(""ASX:SVNP"", ""low52"")"),"#N/A")</f>
        <v>#N/A</v>
      </c>
      <c r="I2052" s="9" t="str">
        <f>IFERROR(__xludf.DUMMYFUNCTION("GOOGLEFINANCE(""ASX:SVNP"", ""marketcap"")"),"#N/A")</f>
        <v>#N/A</v>
      </c>
      <c r="J2052" s="12">
        <v>1.67</v>
      </c>
      <c r="K2052" s="12">
        <v>1.645</v>
      </c>
      <c r="L2052" s="12">
        <v>1.69</v>
      </c>
      <c r="M2052" s="12">
        <v>1.095</v>
      </c>
      <c r="N2052" s="9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>
      <c r="A2053" s="6" t="s">
        <v>4072</v>
      </c>
      <c r="B2053" s="6" t="s">
        <v>4073</v>
      </c>
      <c r="C2053" s="5" t="s">
        <v>241</v>
      </c>
      <c r="D2053" s="7">
        <f>IFERROR(__xludf.DUMMYFUNCTION("GOOGLEFINANCE(""ASX:SVR"", ""price"")"),1.82)</f>
        <v>1.82</v>
      </c>
      <c r="E2053" s="8">
        <f>IFERROR(__xludf.DUMMYFUNCTION("GOOGLEFINANCE(""ASX:SVR"", ""closeyest"")"),1.78)</f>
        <v>1.78</v>
      </c>
      <c r="F2053" s="9">
        <f>IFERROR(__xludf.DUMMYFUNCTION("GOOGLEFINANCE(""ASX:SVR"", ""pe"")"),11.88)</f>
        <v>11.88</v>
      </c>
      <c r="G2053" s="9">
        <f>IFERROR(__xludf.DUMMYFUNCTION("GOOGLEFINANCE(""ASX:SVR"", ""high52"")"),1.84)</f>
        <v>1.84</v>
      </c>
      <c r="H2053" s="9">
        <f>IFERROR(__xludf.DUMMYFUNCTION("GOOGLEFINANCE(""ASX:SVR"", ""low52"")"),1.23)</f>
        <v>1.23</v>
      </c>
      <c r="I2053" s="9">
        <f>IFERROR(__xludf.DUMMYFUNCTION("GOOGLEFINANCE(""ASX:SVR"", ""marketcap"")"),3.42791982E8)</f>
        <v>342791982</v>
      </c>
      <c r="J2053" s="5"/>
      <c r="K2053" s="5"/>
      <c r="L2053" s="5"/>
      <c r="M2053" s="5"/>
      <c r="N2053" s="9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>
      <c r="A2054" s="6" t="s">
        <v>4074</v>
      </c>
      <c r="B2054" s="6" t="s">
        <v>4075</v>
      </c>
      <c r="C2054" s="5" t="s">
        <v>18</v>
      </c>
      <c r="D2054" s="7">
        <f>IFERROR(__xludf.DUMMYFUNCTION("GOOGLEFINANCE(""ASX:SVY"", ""price"")"),0.02)</f>
        <v>0.02</v>
      </c>
      <c r="E2054" s="8">
        <f>IFERROR(__xludf.DUMMYFUNCTION("GOOGLEFINANCE(""ASX:SVY"", ""closeyest"")"),0.02)</f>
        <v>0.02</v>
      </c>
      <c r="F2054" s="5" t="str">
        <f>IFERROR(__xludf.DUMMYFUNCTION("GOOGLEFINANCE(""ASX:SVY"", ""pe"")"),"#N/A")</f>
        <v>#N/A</v>
      </c>
      <c r="G2054" s="9">
        <f>IFERROR(__xludf.DUMMYFUNCTION("GOOGLEFINANCE(""ASX:SVY"", ""high52"")"),0.03)</f>
        <v>0.03</v>
      </c>
      <c r="H2054" s="9">
        <f>IFERROR(__xludf.DUMMYFUNCTION("GOOGLEFINANCE(""ASX:SVY"", ""low52"")"),0.01)</f>
        <v>0.01</v>
      </c>
      <c r="I2054" s="9">
        <f>IFERROR(__xludf.DUMMYFUNCTION("GOOGLEFINANCE(""ASX:SVY"", ""marketcap"")"),1.0477228E7)</f>
        <v>10477228</v>
      </c>
      <c r="J2054" s="5"/>
      <c r="K2054" s="5"/>
      <c r="L2054" s="5"/>
      <c r="M2054" s="5"/>
      <c r="N2054" s="9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>
      <c r="A2055" s="6" t="s">
        <v>4076</v>
      </c>
      <c r="B2055" s="6" t="s">
        <v>4077</v>
      </c>
      <c r="C2055" s="5" t="s">
        <v>93</v>
      </c>
      <c r="D2055" s="7">
        <f>IFERROR(__xludf.DUMMYFUNCTION("GOOGLEFINANCE(""ASX:SWM"", ""price"")"),0.13)</f>
        <v>0.13</v>
      </c>
      <c r="E2055" s="8">
        <f>IFERROR(__xludf.DUMMYFUNCTION("GOOGLEFINANCE(""ASX:SWM"", ""closeyest"")"),0.13)</f>
        <v>0.13</v>
      </c>
      <c r="F2055" s="9">
        <f>IFERROR(__xludf.DUMMYFUNCTION("GOOGLEFINANCE(""ASX:SWM"", ""pe"")"),11.57)</f>
        <v>11.57</v>
      </c>
      <c r="G2055" s="9">
        <f>IFERROR(__xludf.DUMMYFUNCTION("GOOGLEFINANCE(""ASX:SWM"", ""high52"")"),0.19)</f>
        <v>0.19</v>
      </c>
      <c r="H2055" s="9">
        <f>IFERROR(__xludf.DUMMYFUNCTION("GOOGLEFINANCE(""ASX:SWM"", ""low52"")"),0.12)</f>
        <v>0.12</v>
      </c>
      <c r="I2055" s="9">
        <f>IFERROR(__xludf.DUMMYFUNCTION("GOOGLEFINANCE(""ASX:SWM"", ""marketcap"")"),1.923926E8)</f>
        <v>192392600</v>
      </c>
      <c r="J2055" s="5"/>
      <c r="K2055" s="5"/>
      <c r="L2055" s="5"/>
      <c r="M2055" s="5"/>
      <c r="N2055" s="9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>
      <c r="A2056" s="6" t="s">
        <v>4078</v>
      </c>
      <c r="B2056" s="6" t="s">
        <v>4079</v>
      </c>
      <c r="C2056" s="5" t="s">
        <v>137</v>
      </c>
      <c r="D2056" s="7">
        <f>IFERROR(__xludf.DUMMYFUNCTION("GOOGLEFINANCE(""ASX:SWP"", ""price"")"),0.11)</f>
        <v>0.11</v>
      </c>
      <c r="E2056" s="8">
        <f>IFERROR(__xludf.DUMMYFUNCTION("GOOGLEFINANCE(""ASX:SWP"", ""closeyest"")"),0.11)</f>
        <v>0.11</v>
      </c>
      <c r="F2056" s="5" t="str">
        <f>IFERROR(__xludf.DUMMYFUNCTION("GOOGLEFINANCE(""ASX:SWP"", ""pe"")"),"#N/A")</f>
        <v>#N/A</v>
      </c>
      <c r="G2056" s="9">
        <f>IFERROR(__xludf.DUMMYFUNCTION("GOOGLEFINANCE(""ASX:SWP"", ""high52"")"),0.2)</f>
        <v>0.2</v>
      </c>
      <c r="H2056" s="9">
        <f>IFERROR(__xludf.DUMMYFUNCTION("GOOGLEFINANCE(""ASX:SWP"", ""low52"")"),0.08)</f>
        <v>0.08</v>
      </c>
      <c r="I2056" s="9">
        <f>IFERROR(__xludf.DUMMYFUNCTION("GOOGLEFINANCE(""ASX:SWP"", ""marketcap"")"),3.383172E7)</f>
        <v>33831720</v>
      </c>
      <c r="J2056" s="5"/>
      <c r="K2056" s="5"/>
      <c r="L2056" s="5"/>
      <c r="M2056" s="5"/>
      <c r="N2056" s="9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>
      <c r="A2057" s="6" t="s">
        <v>4080</v>
      </c>
      <c r="B2057" s="6" t="s">
        <v>4081</v>
      </c>
      <c r="C2057" s="5" t="s">
        <v>36</v>
      </c>
      <c r="D2057" s="7" t="str">
        <f>IFERROR(__xludf.DUMMYFUNCTION("GOOGLEFINANCE(""ASX:SWTZ"", ""price"")"),"#N/A")</f>
        <v>#N/A</v>
      </c>
      <c r="E2057" s="8" t="str">
        <f>IFERROR(__xludf.DUMMYFUNCTION("GOOGLEFINANCE(""ASX:SWTZ"", ""closeyest"")"),"#N/A")</f>
        <v>#N/A</v>
      </c>
      <c r="F2057" s="5" t="str">
        <f>IFERROR(__xludf.DUMMYFUNCTION("GOOGLEFINANCE(""ASX:SWTZ"", ""pe"")"),"#N/A")</f>
        <v>#N/A</v>
      </c>
      <c r="G2057" s="5" t="str">
        <f>IFERROR(__xludf.DUMMYFUNCTION("GOOGLEFINANCE(""ASX:SWTZ"", ""high52"")"),"#N/A")</f>
        <v>#N/A</v>
      </c>
      <c r="H2057" s="5" t="str">
        <f>IFERROR(__xludf.DUMMYFUNCTION("GOOGLEFINANCE(""ASX:SWTZ"", ""low52"")"),"#N/A")</f>
        <v>#N/A</v>
      </c>
      <c r="I2057" s="9" t="str">
        <f>IFERROR(__xludf.DUMMYFUNCTION("GOOGLEFINANCE(""ASX:SWTZ"", ""marketcap"")"),"#N/A")</f>
        <v>#N/A</v>
      </c>
      <c r="J2057" s="12">
        <v>2.46</v>
      </c>
      <c r="K2057" s="12">
        <v>2.46</v>
      </c>
      <c r="L2057" s="12">
        <v>2.54</v>
      </c>
      <c r="M2057" s="12">
        <v>2.125</v>
      </c>
      <c r="N2057" s="9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>
      <c r="A2058" s="6" t="s">
        <v>4082</v>
      </c>
      <c r="B2058" s="6" t="s">
        <v>4083</v>
      </c>
      <c r="C2058" s="5" t="s">
        <v>3040</v>
      </c>
      <c r="D2058" s="7">
        <f>IFERROR(__xludf.DUMMYFUNCTION("GOOGLEFINANCE(""ASX:SX2"", ""price"")"),10.46)</f>
        <v>10.46</v>
      </c>
      <c r="E2058" s="8">
        <f>IFERROR(__xludf.DUMMYFUNCTION("GOOGLEFINANCE(""ASX:SX2"", ""closeyest"")"),11.12)</f>
        <v>11.12</v>
      </c>
      <c r="F2058" s="5" t="str">
        <f>IFERROR(__xludf.DUMMYFUNCTION("GOOGLEFINANCE(""ASX:SX2"", ""pe"")"),"#N/A")</f>
        <v>#N/A</v>
      </c>
      <c r="G2058" s="9">
        <f>IFERROR(__xludf.DUMMYFUNCTION("GOOGLEFINANCE(""ASX:SX2"", ""high52"")"),11.73)</f>
        <v>11.73</v>
      </c>
      <c r="H2058" s="9">
        <f>IFERROR(__xludf.DUMMYFUNCTION("GOOGLEFINANCE(""ASX:SX2"", ""low52"")"),3.29)</f>
        <v>3.29</v>
      </c>
      <c r="I2058" s="9">
        <f>IFERROR(__xludf.DUMMYFUNCTION("GOOGLEFINANCE(""ASX:SX2"", ""marketcap"")"),2.615436508E9)</f>
        <v>2615436508</v>
      </c>
      <c r="J2058" s="5"/>
      <c r="K2058" s="5"/>
      <c r="L2058" s="5"/>
      <c r="M2058" s="5"/>
      <c r="N2058" s="9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>
      <c r="A2059" s="6" t="s">
        <v>4084</v>
      </c>
      <c r="B2059" s="6" t="s">
        <v>4085</v>
      </c>
      <c r="C2059" s="5" t="s">
        <v>123</v>
      </c>
      <c r="D2059" s="7">
        <f>IFERROR(__xludf.DUMMYFUNCTION("GOOGLEFINANCE(""ASX:SXE"", ""price"")"),2.41)</f>
        <v>2.41</v>
      </c>
      <c r="E2059" s="8">
        <f>IFERROR(__xludf.DUMMYFUNCTION("GOOGLEFINANCE(""ASX:SXE"", ""closeyest"")"),2.45)</f>
        <v>2.45</v>
      </c>
      <c r="F2059" s="9">
        <f>IFERROR(__xludf.DUMMYFUNCTION("GOOGLEFINANCE(""ASX:SXE"", ""pe"")"),20.25)</f>
        <v>20.25</v>
      </c>
      <c r="G2059" s="9">
        <f>IFERROR(__xludf.DUMMYFUNCTION("GOOGLEFINANCE(""ASX:SXE"", ""high52"")"),2.59)</f>
        <v>2.59</v>
      </c>
      <c r="H2059" s="9">
        <f>IFERROR(__xludf.DUMMYFUNCTION("GOOGLEFINANCE(""ASX:SXE"", ""low52"")"),1.37)</f>
        <v>1.37</v>
      </c>
      <c r="I2059" s="9">
        <f>IFERROR(__xludf.DUMMYFUNCTION("GOOGLEFINANCE(""ASX:SXE"", ""marketcap"")"),6.4099688E8)</f>
        <v>640996880</v>
      </c>
      <c r="J2059" s="5"/>
      <c r="K2059" s="5"/>
      <c r="L2059" s="5"/>
      <c r="M2059" s="5"/>
      <c r="N2059" s="9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>
      <c r="A2060" s="6" t="s">
        <v>4086</v>
      </c>
      <c r="B2060" s="6" t="s">
        <v>4087</v>
      </c>
      <c r="C2060" s="5" t="s">
        <v>93</v>
      </c>
      <c r="D2060" s="7">
        <f>IFERROR(__xludf.DUMMYFUNCTION("GOOGLEFINANCE(""ASX:SXL"", ""price"")"),0.78)</f>
        <v>0.78</v>
      </c>
      <c r="E2060" s="8">
        <f>IFERROR(__xludf.DUMMYFUNCTION("GOOGLEFINANCE(""ASX:SXL"", ""closeyest"")"),0.79)</f>
        <v>0.79</v>
      </c>
      <c r="F2060" s="9">
        <f>IFERROR(__xludf.DUMMYFUNCTION("GOOGLEFINANCE(""ASX:SXL"", ""pe"")"),29.71)</f>
        <v>29.71</v>
      </c>
      <c r="G2060" s="9">
        <f>IFERROR(__xludf.DUMMYFUNCTION("GOOGLEFINANCE(""ASX:SXL"", ""high52"")"),0.94)</f>
        <v>0.94</v>
      </c>
      <c r="H2060" s="9">
        <f>IFERROR(__xludf.DUMMYFUNCTION("GOOGLEFINANCE(""ASX:SXL"", ""low52"")"),0.53)</f>
        <v>0.53</v>
      </c>
      <c r="I2060" s="9">
        <f>IFERROR(__xludf.DUMMYFUNCTION("GOOGLEFINANCE(""ASX:SXL"", ""marketcap"")"),1.85936939E8)</f>
        <v>185936939</v>
      </c>
      <c r="J2060" s="5"/>
      <c r="K2060" s="5"/>
      <c r="L2060" s="5"/>
      <c r="M2060" s="5"/>
      <c r="N2060" s="9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>
      <c r="A2061" s="6" t="s">
        <v>4088</v>
      </c>
      <c r="B2061" s="6" t="s">
        <v>4089</v>
      </c>
      <c r="C2061" s="5" t="s">
        <v>36</v>
      </c>
      <c r="D2061" s="7">
        <f>IFERROR(__xludf.DUMMYFUNCTION("GOOGLEFINANCE(""ASX:SYI"", ""price"")"),28.85)</f>
        <v>28.85</v>
      </c>
      <c r="E2061" s="8">
        <f>IFERROR(__xludf.DUMMYFUNCTION("GOOGLEFINANCE(""ASX:SYI"", ""closeyest"")"),29.05)</f>
        <v>29.05</v>
      </c>
      <c r="F2061" s="5" t="str">
        <f>IFERROR(__xludf.DUMMYFUNCTION("GOOGLEFINANCE(""ASX:SYI"", ""pe"")"),"#N/A")</f>
        <v>#N/A</v>
      </c>
      <c r="G2061" s="9">
        <f>IFERROR(__xludf.DUMMYFUNCTION("GOOGLEFINANCE(""ASX:SYI"", ""high52"")"),31.43)</f>
        <v>31.43</v>
      </c>
      <c r="H2061" s="9">
        <f>IFERROR(__xludf.DUMMYFUNCTION("GOOGLEFINANCE(""ASX:SYI"", ""low52"")"),25.99)</f>
        <v>25.99</v>
      </c>
      <c r="I2061" s="9" t="str">
        <f>IFERROR(__xludf.DUMMYFUNCTION("GOOGLEFINANCE(""ASX:SYI"", ""marketcap"")"),"#N/A")</f>
        <v>#N/A</v>
      </c>
      <c r="J2061" s="5"/>
      <c r="K2061" s="5"/>
      <c r="L2061" s="5"/>
      <c r="M2061" s="5"/>
      <c r="N2061" s="9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>
      <c r="A2062" s="6" t="s">
        <v>4090</v>
      </c>
      <c r="B2062" s="6" t="s">
        <v>4091</v>
      </c>
      <c r="C2062" s="5" t="s">
        <v>123</v>
      </c>
      <c r="D2062" s="7">
        <f>IFERROR(__xludf.DUMMYFUNCTION("GOOGLEFINANCE(""ASX:SYL"", ""price"")"),3.26)</f>
        <v>3.26</v>
      </c>
      <c r="E2062" s="8">
        <f>IFERROR(__xludf.DUMMYFUNCTION("GOOGLEFINANCE(""ASX:SYL"", ""closeyest"")"),3.48)</f>
        <v>3.48</v>
      </c>
      <c r="F2062" s="9">
        <f>IFERROR(__xludf.DUMMYFUNCTION("GOOGLEFINANCE(""ASX:SYL"", ""pe"")"),16.27)</f>
        <v>16.27</v>
      </c>
      <c r="G2062" s="9">
        <f>IFERROR(__xludf.DUMMYFUNCTION("GOOGLEFINANCE(""ASX:SYL"", ""high52"")"),3.56)</f>
        <v>3.56</v>
      </c>
      <c r="H2062" s="9">
        <f>IFERROR(__xludf.DUMMYFUNCTION("GOOGLEFINANCE(""ASX:SYL"", ""low52"")"),1.36)</f>
        <v>1.36</v>
      </c>
      <c r="I2062" s="9">
        <f>IFERROR(__xludf.DUMMYFUNCTION("GOOGLEFINANCE(""ASX:SYL"", ""marketcap"")"),7.79610089E8)</f>
        <v>779610089</v>
      </c>
      <c r="J2062" s="5"/>
      <c r="K2062" s="5"/>
      <c r="L2062" s="5"/>
      <c r="M2062" s="5"/>
      <c r="N2062" s="9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>
      <c r="A2063" s="6" t="s">
        <v>4092</v>
      </c>
      <c r="B2063" s="6" t="s">
        <v>4093</v>
      </c>
      <c r="C2063" s="5" t="s">
        <v>39</v>
      </c>
      <c r="D2063" s="7">
        <f>IFERROR(__xludf.DUMMYFUNCTION("GOOGLEFINANCE(""ASX:SYR"", ""price"")"),0.35)</f>
        <v>0.35</v>
      </c>
      <c r="E2063" s="8">
        <f>IFERROR(__xludf.DUMMYFUNCTION("GOOGLEFINANCE(""ASX:SYR"", ""closeyest"")"),0.36)</f>
        <v>0.36</v>
      </c>
      <c r="F2063" s="5" t="str">
        <f>IFERROR(__xludf.DUMMYFUNCTION("GOOGLEFINANCE(""ASX:SYR"", ""pe"")"),"#N/A")</f>
        <v>#N/A</v>
      </c>
      <c r="G2063" s="9">
        <f>IFERROR(__xludf.DUMMYFUNCTION("GOOGLEFINANCE(""ASX:SYR"", ""high52"")"),0.53)</f>
        <v>0.53</v>
      </c>
      <c r="H2063" s="9">
        <f>IFERROR(__xludf.DUMMYFUNCTION("GOOGLEFINANCE(""ASX:SYR"", ""low52"")"),0.19)</f>
        <v>0.19</v>
      </c>
      <c r="I2063" s="9">
        <f>IFERROR(__xludf.DUMMYFUNCTION("GOOGLEFINANCE(""ASX:SYR"", ""marketcap"")"),4.59038292E8)</f>
        <v>459038292</v>
      </c>
      <c r="J2063" s="5"/>
      <c r="K2063" s="5"/>
      <c r="L2063" s="5"/>
      <c r="M2063" s="5"/>
      <c r="N2063" s="9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>
      <c r="A2064" s="6" t="s">
        <v>4094</v>
      </c>
      <c r="B2064" s="6" t="s">
        <v>4095</v>
      </c>
      <c r="C2064" s="5" t="s">
        <v>59</v>
      </c>
      <c r="D2064" s="7">
        <f>IFERROR(__xludf.DUMMYFUNCTION("GOOGLEFINANCE(""ASX:T3D"", ""price"")"),0.05)</f>
        <v>0.05</v>
      </c>
      <c r="E2064" s="8">
        <f>IFERROR(__xludf.DUMMYFUNCTION("GOOGLEFINANCE(""ASX:T3D"", ""closeyest"")"),0.05)</f>
        <v>0.05</v>
      </c>
      <c r="F2064" s="9">
        <f>IFERROR(__xludf.DUMMYFUNCTION("GOOGLEFINANCE(""ASX:T3D"", ""pe"")"),51.61)</f>
        <v>51.61</v>
      </c>
      <c r="G2064" s="9">
        <f>IFERROR(__xludf.DUMMYFUNCTION("GOOGLEFINANCE(""ASX:T3D"", ""high52"")"),0.29)</f>
        <v>0.29</v>
      </c>
      <c r="H2064" s="9">
        <f>IFERROR(__xludf.DUMMYFUNCTION("GOOGLEFINANCE(""ASX:T3D"", ""low52"")"),0.01)</f>
        <v>0.01</v>
      </c>
      <c r="I2064" s="9">
        <f>IFERROR(__xludf.DUMMYFUNCTION("GOOGLEFINANCE(""ASX:T3D"", ""marketcap"")"),1.0253366E7)</f>
        <v>10253366</v>
      </c>
      <c r="J2064" s="5"/>
      <c r="K2064" s="5"/>
      <c r="L2064" s="5"/>
      <c r="M2064" s="5"/>
      <c r="N2064" s="9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>
      <c r="A2065" s="6" t="s">
        <v>4096</v>
      </c>
      <c r="B2065" s="6" t="s">
        <v>4097</v>
      </c>
      <c r="C2065" s="5" t="s">
        <v>36</v>
      </c>
      <c r="D2065" s="7" t="str">
        <f>IFERROR(__xludf.DUMMYFUNCTION("GOOGLEFINANCE(""ASX:T3MP"", ""price"")"),"#N/A")</f>
        <v>#N/A</v>
      </c>
      <c r="E2065" s="8" t="str">
        <f>IFERROR(__xludf.DUMMYFUNCTION("GOOGLEFINANCE(""ASX:T3MP"", ""closeyest"")"),"#N/A")</f>
        <v>#N/A</v>
      </c>
      <c r="F2065" s="5" t="str">
        <f>IFERROR(__xludf.DUMMYFUNCTION("GOOGLEFINANCE(""ASX:T3MP"", ""pe"")"),"#N/A")</f>
        <v>#N/A</v>
      </c>
      <c r="G2065" s="5" t="str">
        <f>IFERROR(__xludf.DUMMYFUNCTION("GOOGLEFINANCE(""ASX:T3MP"", ""high52"")"),"#N/A")</f>
        <v>#N/A</v>
      </c>
      <c r="H2065" s="5" t="str">
        <f>IFERROR(__xludf.DUMMYFUNCTION("GOOGLEFINANCE(""ASX:T3MP"", ""low52"")"),"#N/A")</f>
        <v>#N/A</v>
      </c>
      <c r="I2065" s="9" t="str">
        <f>IFERROR(__xludf.DUMMYFUNCTION("GOOGLEFINANCE(""ASX:T3MP"", ""marketcap"")"),"#N/A")</f>
        <v>#N/A</v>
      </c>
      <c r="J2065" s="12">
        <v>68.81</v>
      </c>
      <c r="K2065" s="12">
        <v>67.57</v>
      </c>
      <c r="L2065" s="12">
        <v>70.0</v>
      </c>
      <c r="M2065" s="12">
        <v>55.41</v>
      </c>
      <c r="N2065" s="9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>
      <c r="A2066" s="6" t="s">
        <v>4098</v>
      </c>
      <c r="B2066" s="6" t="s">
        <v>4099</v>
      </c>
      <c r="C2066" s="5" t="s">
        <v>18</v>
      </c>
      <c r="D2066" s="7">
        <f>IFERROR(__xludf.DUMMYFUNCTION("GOOGLEFINANCE(""ASX:T88"", ""price"")"),0.12)</f>
        <v>0.12</v>
      </c>
      <c r="E2066" s="8">
        <f>IFERROR(__xludf.DUMMYFUNCTION("GOOGLEFINANCE(""ASX:T88"", ""closeyest"")"),0.12)</f>
        <v>0.12</v>
      </c>
      <c r="F2066" s="5" t="str">
        <f>IFERROR(__xludf.DUMMYFUNCTION("GOOGLEFINANCE(""ASX:T88"", ""pe"")"),"#N/A")</f>
        <v>#N/A</v>
      </c>
      <c r="G2066" s="9">
        <f>IFERROR(__xludf.DUMMYFUNCTION("GOOGLEFINANCE(""ASX:T88"", ""high52"")"),0.14)</f>
        <v>0.14</v>
      </c>
      <c r="H2066" s="9">
        <f>IFERROR(__xludf.DUMMYFUNCTION("GOOGLEFINANCE(""ASX:T88"", ""low52"")"),0.06)</f>
        <v>0.06</v>
      </c>
      <c r="I2066" s="9">
        <f>IFERROR(__xludf.DUMMYFUNCTION("GOOGLEFINANCE(""ASX:T88"", ""marketcap"")"),1.107512E7)</f>
        <v>11075120</v>
      </c>
      <c r="J2066" s="5"/>
      <c r="K2066" s="5"/>
      <c r="L2066" s="5"/>
      <c r="M2066" s="5"/>
      <c r="N2066" s="9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>
      <c r="A2067" s="6" t="s">
        <v>4100</v>
      </c>
      <c r="B2067" s="6" t="s">
        <v>4101</v>
      </c>
      <c r="C2067" s="5" t="s">
        <v>28</v>
      </c>
      <c r="D2067" s="7">
        <f>IFERROR(__xludf.DUMMYFUNCTION("GOOGLEFINANCE(""ASX:T92"", ""price"")"),0.06)</f>
        <v>0.06</v>
      </c>
      <c r="E2067" s="8">
        <f>IFERROR(__xludf.DUMMYFUNCTION("GOOGLEFINANCE(""ASX:T92"", ""closeyest"")"),0.06)</f>
        <v>0.06</v>
      </c>
      <c r="F2067" s="5" t="str">
        <f>IFERROR(__xludf.DUMMYFUNCTION("GOOGLEFINANCE(""ASX:T92"", ""pe"")"),"#N/A")</f>
        <v>#N/A</v>
      </c>
      <c r="G2067" s="9">
        <f>IFERROR(__xludf.DUMMYFUNCTION("GOOGLEFINANCE(""ASX:T92"", ""high52"")"),0.12)</f>
        <v>0.12</v>
      </c>
      <c r="H2067" s="9">
        <f>IFERROR(__xludf.DUMMYFUNCTION("GOOGLEFINANCE(""ASX:T92"", ""low52"")"),0.03)</f>
        <v>0.03</v>
      </c>
      <c r="I2067" s="9">
        <f>IFERROR(__xludf.DUMMYFUNCTION("GOOGLEFINANCE(""ASX:T92"", ""marketcap"")"),8238473.0)</f>
        <v>8238473</v>
      </c>
      <c r="J2067" s="5"/>
      <c r="K2067" s="5"/>
      <c r="L2067" s="5"/>
      <c r="M2067" s="5"/>
      <c r="N2067" s="9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>
      <c r="A2068" s="6" t="s">
        <v>4100</v>
      </c>
      <c r="B2068" s="6" t="s">
        <v>4101</v>
      </c>
      <c r="C2068" s="5" t="s">
        <v>28</v>
      </c>
      <c r="D2068" s="7">
        <f>IFERROR(__xludf.DUMMYFUNCTION("GOOGLEFINANCE(""ASX:T92"", ""price"")"),0.06)</f>
        <v>0.06</v>
      </c>
      <c r="E2068" s="8">
        <f>IFERROR(__xludf.DUMMYFUNCTION("GOOGLEFINANCE(""ASX:T92"", ""closeyest"")"),0.06)</f>
        <v>0.06</v>
      </c>
      <c r="F2068" s="5" t="str">
        <f>IFERROR(__xludf.DUMMYFUNCTION("GOOGLEFINANCE(""ASX:T92"", ""pe"")"),"#N/A")</f>
        <v>#N/A</v>
      </c>
      <c r="G2068" s="9">
        <f>IFERROR(__xludf.DUMMYFUNCTION("GOOGLEFINANCE(""ASX:T92"", ""high52"")"),0.12)</f>
        <v>0.12</v>
      </c>
      <c r="H2068" s="9">
        <f>IFERROR(__xludf.DUMMYFUNCTION("GOOGLEFINANCE(""ASX:T92"", ""low52"")"),0.03)</f>
        <v>0.03</v>
      </c>
      <c r="I2068" s="9">
        <f>IFERROR(__xludf.DUMMYFUNCTION("GOOGLEFINANCE(""ASX:T92"", ""marketcap"")"),8238473.0)</f>
        <v>8238473</v>
      </c>
      <c r="J2068" s="5"/>
      <c r="K2068" s="5"/>
      <c r="L2068" s="5"/>
      <c r="M2068" s="5"/>
      <c r="N2068" s="9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>
      <c r="A2069" s="13" t="s">
        <v>4100</v>
      </c>
      <c r="B2069" s="13" t="s">
        <v>4101</v>
      </c>
      <c r="C2069" s="14" t="s">
        <v>28</v>
      </c>
      <c r="D2069" s="15">
        <f>IFERROR(__xludf.DUMMYFUNCTION("GOOGLEFINANCE(""ASX:T92"", ""price"")"),0.06)</f>
        <v>0.06</v>
      </c>
      <c r="E2069" s="8">
        <f>IFERROR(__xludf.DUMMYFUNCTION("GOOGLEFINANCE(""ASX:T92"", ""closeyest"")"),0.06)</f>
        <v>0.06</v>
      </c>
      <c r="F2069" s="5" t="str">
        <f>IFERROR(__xludf.DUMMYFUNCTION("GOOGLEFINANCE(""ASX:T92"", ""pe"")"),"#N/A")</f>
        <v>#N/A</v>
      </c>
      <c r="G2069" s="9">
        <f>IFERROR(__xludf.DUMMYFUNCTION("GOOGLEFINANCE(""ASX:T92"", ""high52"")"),0.12)</f>
        <v>0.12</v>
      </c>
      <c r="H2069" s="9">
        <f>IFERROR(__xludf.DUMMYFUNCTION("GOOGLEFINANCE(""ASX:T92"", ""low52"")"),0.03)</f>
        <v>0.03</v>
      </c>
      <c r="I2069" s="9">
        <f>IFERROR(__xludf.DUMMYFUNCTION("GOOGLEFINANCE(""ASX:T92"", ""marketcap"")"),8238473.0)</f>
        <v>8238473</v>
      </c>
      <c r="J2069" s="5"/>
      <c r="K2069" s="5"/>
      <c r="L2069" s="5"/>
      <c r="M2069" s="5"/>
      <c r="N2069" s="9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>
      <c r="A2070" s="6" t="s">
        <v>4102</v>
      </c>
      <c r="B2070" s="6" t="s">
        <v>4103</v>
      </c>
      <c r="C2070" s="5" t="s">
        <v>259</v>
      </c>
      <c r="D2070" s="7">
        <f>IFERROR(__xludf.DUMMYFUNCTION("GOOGLEFINANCE(""ASX:TAH"", ""price"")"),0.93)</f>
        <v>0.93</v>
      </c>
      <c r="E2070" s="8">
        <f>IFERROR(__xludf.DUMMYFUNCTION("GOOGLEFINANCE(""ASX:TAH"", ""closeyest"")"),0.95)</f>
        <v>0.95</v>
      </c>
      <c r="F2070" s="9">
        <f>IFERROR(__xludf.DUMMYFUNCTION("GOOGLEFINANCE(""ASX:TAH"", ""pe"")"),58.31)</f>
        <v>58.31</v>
      </c>
      <c r="G2070" s="9">
        <f>IFERROR(__xludf.DUMMYFUNCTION("GOOGLEFINANCE(""ASX:TAH"", ""high52"")"),1.1)</f>
        <v>1.1</v>
      </c>
      <c r="H2070" s="9">
        <f>IFERROR(__xludf.DUMMYFUNCTION("GOOGLEFINANCE(""ASX:TAH"", ""low52"")"),0.52)</f>
        <v>0.52</v>
      </c>
      <c r="I2070" s="9">
        <f>IFERROR(__xludf.DUMMYFUNCTION("GOOGLEFINANCE(""ASX:TAH"", ""marketcap"")"),2.117999686E9)</f>
        <v>2117999686</v>
      </c>
      <c r="J2070" s="5"/>
      <c r="K2070" s="5"/>
      <c r="L2070" s="5"/>
      <c r="M2070" s="5"/>
      <c r="N2070" s="9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>
      <c r="A2071" s="6" t="s">
        <v>4104</v>
      </c>
      <c r="B2071" s="6" t="s">
        <v>4105</v>
      </c>
      <c r="C2071" s="5" t="s">
        <v>15</v>
      </c>
      <c r="D2071" s="7">
        <f>IFERROR(__xludf.DUMMYFUNCTION("GOOGLEFINANCE(""ASX:TAL"", ""price"")"),0.08)</f>
        <v>0.08</v>
      </c>
      <c r="E2071" s="8">
        <f>IFERROR(__xludf.DUMMYFUNCTION("GOOGLEFINANCE(""ASX:TAL"", ""closeyest"")"),0.08)</f>
        <v>0.08</v>
      </c>
      <c r="F2071" s="5" t="str">
        <f>IFERROR(__xludf.DUMMYFUNCTION("GOOGLEFINANCE(""ASX:TAL"", ""pe"")"),"#N/A")</f>
        <v>#N/A</v>
      </c>
      <c r="G2071" s="9">
        <f>IFERROR(__xludf.DUMMYFUNCTION("GOOGLEFINANCE(""ASX:TAL"", ""high52"")"),0.1)</f>
        <v>0.1</v>
      </c>
      <c r="H2071" s="9">
        <f>IFERROR(__xludf.DUMMYFUNCTION("GOOGLEFINANCE(""ASX:TAL"", ""low52"")"),0.06)</f>
        <v>0.06</v>
      </c>
      <c r="I2071" s="9">
        <f>IFERROR(__xludf.DUMMYFUNCTION("GOOGLEFINANCE(""ASX:TAL"", ""marketcap"")"),2.7556898E7)</f>
        <v>27556898</v>
      </c>
      <c r="J2071" s="5"/>
      <c r="K2071" s="5"/>
      <c r="L2071" s="5"/>
      <c r="M2071" s="5"/>
      <c r="N2071" s="9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>
      <c r="A2072" s="6" t="s">
        <v>4106</v>
      </c>
      <c r="B2072" s="6" t="s">
        <v>4107</v>
      </c>
      <c r="C2072" s="5" t="s">
        <v>88</v>
      </c>
      <c r="D2072" s="7">
        <f>IFERROR(__xludf.DUMMYFUNCTION("GOOGLEFINANCE(""ASX:TAM"", ""price"")"),0.08)</f>
        <v>0.08</v>
      </c>
      <c r="E2072" s="8">
        <f>IFERROR(__xludf.DUMMYFUNCTION("GOOGLEFINANCE(""ASX:TAM"", ""closeyest"")"),0.08)</f>
        <v>0.08</v>
      </c>
      <c r="F2072" s="5" t="str">
        <f>IFERROR(__xludf.DUMMYFUNCTION("GOOGLEFINANCE(""ASX:TAM"", ""pe"")"),"#N/A")</f>
        <v>#N/A</v>
      </c>
      <c r="G2072" s="9">
        <f>IFERROR(__xludf.DUMMYFUNCTION("GOOGLEFINANCE(""ASX:TAM"", ""high52"")"),0.09)</f>
        <v>0.09</v>
      </c>
      <c r="H2072" s="9">
        <f>IFERROR(__xludf.DUMMYFUNCTION("GOOGLEFINANCE(""ASX:TAM"", ""low52"")"),0.03)</f>
        <v>0.03</v>
      </c>
      <c r="I2072" s="9">
        <f>IFERROR(__xludf.DUMMYFUNCTION("GOOGLEFINANCE(""ASX:TAM"", ""marketcap"")"),9.8708077E7)</f>
        <v>98708077</v>
      </c>
      <c r="J2072" s="5"/>
      <c r="K2072" s="5"/>
      <c r="L2072" s="5"/>
      <c r="M2072" s="5"/>
      <c r="N2072" s="9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>
      <c r="A2073" s="6" t="s">
        <v>4108</v>
      </c>
      <c r="B2073" s="6" t="s">
        <v>4109</v>
      </c>
      <c r="C2073" s="5" t="s">
        <v>18</v>
      </c>
      <c r="D2073" s="7">
        <f>IFERROR(__xludf.DUMMYFUNCTION("GOOGLEFINANCE(""ASX:TAR"", ""price"")"),0.02)</f>
        <v>0.02</v>
      </c>
      <c r="E2073" s="8">
        <f>IFERROR(__xludf.DUMMYFUNCTION("GOOGLEFINANCE(""ASX:TAR"", ""closeyest"")"),0.02)</f>
        <v>0.02</v>
      </c>
      <c r="F2073" s="5" t="str">
        <f>IFERROR(__xludf.DUMMYFUNCTION("GOOGLEFINANCE(""ASX:TAR"", ""pe"")"),"#N/A")</f>
        <v>#N/A</v>
      </c>
      <c r="G2073" s="9">
        <f>IFERROR(__xludf.DUMMYFUNCTION("GOOGLEFINANCE(""ASX:TAR"", ""high52"")"),0.03)</f>
        <v>0.03</v>
      </c>
      <c r="H2073" s="9">
        <f>IFERROR(__xludf.DUMMYFUNCTION("GOOGLEFINANCE(""ASX:TAR"", ""low52"")"),0.01)</f>
        <v>0.01</v>
      </c>
      <c r="I2073" s="9">
        <f>IFERROR(__xludf.DUMMYFUNCTION("GOOGLEFINANCE(""ASX:TAR"", ""marketcap"")"),1.3845572E7)</f>
        <v>13845572</v>
      </c>
      <c r="J2073" s="5"/>
      <c r="K2073" s="5"/>
      <c r="L2073" s="5"/>
      <c r="M2073" s="5"/>
      <c r="N2073" s="9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>
      <c r="A2074" s="6" t="s">
        <v>4110</v>
      </c>
      <c r="B2074" s="6" t="s">
        <v>4111</v>
      </c>
      <c r="C2074" s="5" t="s">
        <v>18</v>
      </c>
      <c r="D2074" s="7">
        <f>IFERROR(__xludf.DUMMYFUNCTION("GOOGLEFINANCE(""ASX:TAS"", ""price"")"),0.03)</f>
        <v>0.03</v>
      </c>
      <c r="E2074" s="8">
        <f>IFERROR(__xludf.DUMMYFUNCTION("GOOGLEFINANCE(""ASX:TAS"", ""closeyest"")"),0.03)</f>
        <v>0.03</v>
      </c>
      <c r="F2074" s="5" t="str">
        <f>IFERROR(__xludf.DUMMYFUNCTION("GOOGLEFINANCE(""ASX:TAS"", ""pe"")"),"#N/A")</f>
        <v>#N/A</v>
      </c>
      <c r="G2074" s="9">
        <f>IFERROR(__xludf.DUMMYFUNCTION("GOOGLEFINANCE(""ASX:TAS"", ""high52"")"),0.05)</f>
        <v>0.05</v>
      </c>
      <c r="H2074" s="9">
        <f>IFERROR(__xludf.DUMMYFUNCTION("GOOGLEFINANCE(""ASX:TAS"", ""low52"")"),0.01)</f>
        <v>0.01</v>
      </c>
      <c r="I2074" s="9">
        <f>IFERROR(__xludf.DUMMYFUNCTION("GOOGLEFINANCE(""ASX:TAS"", ""marketcap"")"),1.2417145E7)</f>
        <v>12417145</v>
      </c>
      <c r="J2074" s="5"/>
      <c r="K2074" s="5"/>
      <c r="L2074" s="5"/>
      <c r="M2074" s="5"/>
      <c r="N2074" s="9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>
      <c r="A2075" s="6" t="s">
        <v>4112</v>
      </c>
      <c r="B2075" s="6" t="s">
        <v>4113</v>
      </c>
      <c r="C2075" s="5" t="s">
        <v>18</v>
      </c>
      <c r="D2075" s="7">
        <f>IFERROR(__xludf.DUMMYFUNCTION("GOOGLEFINANCE(""ASX:TAT"", ""price"")"),0.05)</f>
        <v>0.05</v>
      </c>
      <c r="E2075" s="8">
        <f>IFERROR(__xludf.DUMMYFUNCTION("GOOGLEFINANCE(""ASX:TAT"", ""closeyest"")"),0.05)</f>
        <v>0.05</v>
      </c>
      <c r="F2075" s="5" t="str">
        <f>IFERROR(__xludf.DUMMYFUNCTION("GOOGLEFINANCE(""ASX:TAT"", ""pe"")"),"#N/A")</f>
        <v>#N/A</v>
      </c>
      <c r="G2075" s="9">
        <f>IFERROR(__xludf.DUMMYFUNCTION("GOOGLEFINANCE(""ASX:TAT"", ""high52"")"),0.06)</f>
        <v>0.06</v>
      </c>
      <c r="H2075" s="9">
        <f>IFERROR(__xludf.DUMMYFUNCTION("GOOGLEFINANCE(""ASX:TAT"", ""low52"")"),0.03)</f>
        <v>0.03</v>
      </c>
      <c r="I2075" s="9">
        <f>IFERROR(__xludf.DUMMYFUNCTION("GOOGLEFINANCE(""ASX:TAT"", ""marketcap"")"),9755744.0)</f>
        <v>9755744</v>
      </c>
      <c r="J2075" s="5"/>
      <c r="K2075" s="5"/>
      <c r="L2075" s="5"/>
      <c r="M2075" s="5"/>
      <c r="N2075" s="9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>
      <c r="A2076" s="6" t="s">
        <v>4114</v>
      </c>
      <c r="B2076" s="6" t="s">
        <v>4115</v>
      </c>
      <c r="C2076" s="5" t="s">
        <v>78</v>
      </c>
      <c r="D2076" s="7">
        <f>IFERROR(__xludf.DUMMYFUNCTION("GOOGLEFINANCE(""ASX:TBN"", ""price"")"),0.19)</f>
        <v>0.19</v>
      </c>
      <c r="E2076" s="8">
        <f>IFERROR(__xludf.DUMMYFUNCTION("GOOGLEFINANCE(""ASX:TBN"", ""closeyest"")"),0.2)</f>
        <v>0.2</v>
      </c>
      <c r="F2076" s="5" t="str">
        <f>IFERROR(__xludf.DUMMYFUNCTION("GOOGLEFINANCE(""ASX:TBN"", ""pe"")"),"#N/A")</f>
        <v>#N/A</v>
      </c>
      <c r="G2076" s="9">
        <f>IFERROR(__xludf.DUMMYFUNCTION("GOOGLEFINANCE(""ASX:TBN"", ""high52"")"),0.24)</f>
        <v>0.24</v>
      </c>
      <c r="H2076" s="9">
        <f>IFERROR(__xludf.DUMMYFUNCTION("GOOGLEFINANCE(""ASX:TBN"", ""low52"")"),0.14)</f>
        <v>0.14</v>
      </c>
      <c r="I2076" s="9">
        <f>IFERROR(__xludf.DUMMYFUNCTION("GOOGLEFINANCE(""ASX:TBN"", ""marketcap"")"),4.37249464E8)</f>
        <v>437249464</v>
      </c>
      <c r="J2076" s="5"/>
      <c r="K2076" s="5"/>
      <c r="L2076" s="5"/>
      <c r="M2076" s="5"/>
      <c r="N2076" s="9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>
      <c r="A2077" s="6" t="s">
        <v>4116</v>
      </c>
      <c r="B2077" s="6" t="s">
        <v>4117</v>
      </c>
      <c r="C2077" s="5" t="s">
        <v>88</v>
      </c>
      <c r="D2077" s="7">
        <f>IFERROR(__xludf.DUMMYFUNCTION("GOOGLEFINANCE(""ASX:TBR"", ""price"")"),6.02)</f>
        <v>6.02</v>
      </c>
      <c r="E2077" s="8">
        <f>IFERROR(__xludf.DUMMYFUNCTION("GOOGLEFINANCE(""ASX:TBR"", ""closeyest"")"),6.06)</f>
        <v>6.06</v>
      </c>
      <c r="F2077" s="9">
        <f>IFERROR(__xludf.DUMMYFUNCTION("GOOGLEFINANCE(""ASX:TBR"", ""pe"")"),9.5)</f>
        <v>9.5</v>
      </c>
      <c r="G2077" s="9">
        <f>IFERROR(__xludf.DUMMYFUNCTION("GOOGLEFINANCE(""ASX:TBR"", ""high52"")"),7.59)</f>
        <v>7.59</v>
      </c>
      <c r="H2077" s="9">
        <f>IFERROR(__xludf.DUMMYFUNCTION("GOOGLEFINANCE(""ASX:TBR"", ""low52"")"),4.15)</f>
        <v>4.15</v>
      </c>
      <c r="I2077" s="9">
        <f>IFERROR(__xludf.DUMMYFUNCTION("GOOGLEFINANCE(""ASX:TBR"", ""marketcap"")"),3.1585778E8)</f>
        <v>315857780</v>
      </c>
      <c r="J2077" s="5"/>
      <c r="K2077" s="5"/>
      <c r="L2077" s="5"/>
      <c r="M2077" s="5"/>
      <c r="N2077" s="9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>
      <c r="A2078" s="6" t="s">
        <v>4118</v>
      </c>
      <c r="B2078" s="6" t="s">
        <v>4119</v>
      </c>
      <c r="C2078" s="5" t="s">
        <v>36</v>
      </c>
      <c r="D2078" s="7">
        <f>IFERROR(__xludf.DUMMYFUNCTION("GOOGLEFINANCE(""ASX:TCAP"", ""price"")"),10.03)</f>
        <v>10.03</v>
      </c>
      <c r="E2078" s="8">
        <f>IFERROR(__xludf.DUMMYFUNCTION("GOOGLEFINANCE(""ASX:TCAP"", ""closeyest"")"),10.0)</f>
        <v>10</v>
      </c>
      <c r="F2078" s="5" t="str">
        <f>IFERROR(__xludf.DUMMYFUNCTION("GOOGLEFINANCE(""ASX:TCAP"", ""pe"")"),"#N/A")</f>
        <v>#N/A</v>
      </c>
      <c r="G2078" s="9">
        <f>IFERROR(__xludf.DUMMYFUNCTION("GOOGLEFINANCE(""ASX:TCAP"", ""high52"")"),10.33)</f>
        <v>10.33</v>
      </c>
      <c r="H2078" s="9">
        <f>IFERROR(__xludf.DUMMYFUNCTION("GOOGLEFINANCE(""ASX:TCAP"", ""low52"")"),9.99)</f>
        <v>9.99</v>
      </c>
      <c r="I2078" s="9" t="str">
        <f>IFERROR(__xludf.DUMMYFUNCTION("GOOGLEFINANCE(""ASX:TCAP"", ""marketcap"")"),"#N/A")</f>
        <v>#N/A</v>
      </c>
      <c r="J2078" s="5"/>
      <c r="K2078" s="5"/>
      <c r="L2078" s="5"/>
      <c r="M2078" s="5"/>
      <c r="N2078" s="9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>
      <c r="A2079" s="6" t="s">
        <v>4120</v>
      </c>
      <c r="B2079" s="6" t="s">
        <v>4121</v>
      </c>
      <c r="C2079" s="5" t="s">
        <v>171</v>
      </c>
      <c r="D2079" s="7">
        <f>IFERROR(__xludf.DUMMYFUNCTION("GOOGLEFINANCE(""ASX:TCF"", ""price"")"),5.7)</f>
        <v>5.7</v>
      </c>
      <c r="E2079" s="8">
        <f>IFERROR(__xludf.DUMMYFUNCTION("GOOGLEFINANCE(""ASX:TCF"", ""closeyest"")"),5.73)</f>
        <v>5.73</v>
      </c>
      <c r="F2079" s="9">
        <f>IFERROR(__xludf.DUMMYFUNCTION("GOOGLEFINANCE(""ASX:TCF"", ""pe"")"),8.8)</f>
        <v>8.8</v>
      </c>
      <c r="G2079" s="9">
        <f>IFERROR(__xludf.DUMMYFUNCTION("GOOGLEFINANCE(""ASX:TCF"", ""high52"")"),6.51)</f>
        <v>6.51</v>
      </c>
      <c r="H2079" s="9">
        <f>IFERROR(__xludf.DUMMYFUNCTION("GOOGLEFINANCE(""ASX:TCF"", ""low52"")"),5.56)</f>
        <v>5.56</v>
      </c>
      <c r="I2079" s="9">
        <f>IFERROR(__xludf.DUMMYFUNCTION("GOOGLEFINANCE(""ASX:TCF"", ""marketcap"")"),5.129501E7)</f>
        <v>51295010</v>
      </c>
      <c r="J2079" s="5"/>
      <c r="K2079" s="5"/>
      <c r="L2079" s="5"/>
      <c r="M2079" s="5"/>
      <c r="N2079" s="9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>
      <c r="A2080" s="6" t="s">
        <v>4122</v>
      </c>
      <c r="B2080" s="6" t="s">
        <v>4123</v>
      </c>
      <c r="C2080" s="5" t="s">
        <v>88</v>
      </c>
      <c r="D2080" s="7">
        <f>IFERROR(__xludf.DUMMYFUNCTION("GOOGLEFINANCE(""ASX:TCG"", ""price"")"),0.8)</f>
        <v>0.8</v>
      </c>
      <c r="E2080" s="8">
        <f>IFERROR(__xludf.DUMMYFUNCTION("GOOGLEFINANCE(""ASX:TCG"", ""closeyest"")"),0.81)</f>
        <v>0.81</v>
      </c>
      <c r="F2080" s="5" t="str">
        <f>IFERROR(__xludf.DUMMYFUNCTION("GOOGLEFINANCE(""ASX:TCG"", ""pe"")"),"#N/A")</f>
        <v>#N/A</v>
      </c>
      <c r="G2080" s="9">
        <f>IFERROR(__xludf.DUMMYFUNCTION("GOOGLEFINANCE(""ASX:TCG"", ""high52"")"),0.89)</f>
        <v>0.89</v>
      </c>
      <c r="H2080" s="9">
        <f>IFERROR(__xludf.DUMMYFUNCTION("GOOGLEFINANCE(""ASX:TCG"", ""low52"")"),0.27)</f>
        <v>0.27</v>
      </c>
      <c r="I2080" s="9">
        <f>IFERROR(__xludf.DUMMYFUNCTION("GOOGLEFINANCE(""ASX:TCG"", ""marketcap"")"),8.42215212E8)</f>
        <v>842215212</v>
      </c>
      <c r="J2080" s="5"/>
      <c r="K2080" s="5"/>
      <c r="L2080" s="5"/>
      <c r="M2080" s="5"/>
      <c r="N2080" s="9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>
      <c r="A2081" s="6" t="s">
        <v>4124</v>
      </c>
      <c r="B2081" s="6" t="s">
        <v>4125</v>
      </c>
      <c r="C2081" s="5" t="s">
        <v>364</v>
      </c>
      <c r="D2081" s="7">
        <f>IFERROR(__xludf.DUMMYFUNCTION("GOOGLEFINANCE(""ASX:TCL"", ""price"")"),13.84)</f>
        <v>13.84</v>
      </c>
      <c r="E2081" s="8">
        <f>IFERROR(__xludf.DUMMYFUNCTION("GOOGLEFINANCE(""ASX:TCL"", ""closeyest"")"),13.7)</f>
        <v>13.7</v>
      </c>
      <c r="F2081" s="9">
        <f>IFERROR(__xludf.DUMMYFUNCTION("GOOGLEFINANCE(""ASX:TCL"", ""pe"")"),322.99)</f>
        <v>322.99</v>
      </c>
      <c r="G2081" s="9">
        <f>IFERROR(__xludf.DUMMYFUNCTION("GOOGLEFINANCE(""ASX:TCL"", ""high52"")"),15.25)</f>
        <v>15.25</v>
      </c>
      <c r="H2081" s="9">
        <f>IFERROR(__xludf.DUMMYFUNCTION("GOOGLEFINANCE(""ASX:TCL"", ""low52"")"),12.46)</f>
        <v>12.46</v>
      </c>
      <c r="I2081" s="9">
        <f>IFERROR(__xludf.DUMMYFUNCTION("GOOGLEFINANCE(""ASX:TCL"", ""marketcap"")"),4.3108721755E10)</f>
        <v>43108721755</v>
      </c>
      <c r="J2081" s="5"/>
      <c r="K2081" s="5"/>
      <c r="L2081" s="5"/>
      <c r="M2081" s="5"/>
      <c r="N2081" s="9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>
      <c r="A2082" s="6" t="s">
        <v>4126</v>
      </c>
      <c r="B2082" s="6" t="s">
        <v>4127</v>
      </c>
      <c r="C2082" s="5" t="s">
        <v>1535</v>
      </c>
      <c r="D2082" s="7">
        <f>IFERROR(__xludf.DUMMYFUNCTION("GOOGLEFINANCE(""ASX:TCO"", ""price"")"),2.35)</f>
        <v>2.35</v>
      </c>
      <c r="E2082" s="8">
        <f>IFERROR(__xludf.DUMMYFUNCTION("GOOGLEFINANCE(""ASX:TCO"", ""closeyest"")"),2.35)</f>
        <v>2.35</v>
      </c>
      <c r="F2082" s="9">
        <f>IFERROR(__xludf.DUMMYFUNCTION("GOOGLEFINANCE(""ASX:TCO"", ""pe"")"),10.5)</f>
        <v>10.5</v>
      </c>
      <c r="G2082" s="9">
        <f>IFERROR(__xludf.DUMMYFUNCTION("GOOGLEFINANCE(""ASX:TCO"", ""high52"")"),2.35)</f>
        <v>2.35</v>
      </c>
      <c r="H2082" s="9">
        <f>IFERROR(__xludf.DUMMYFUNCTION("GOOGLEFINANCE(""ASX:TCO"", ""low52"")"),1.86)</f>
        <v>1.86</v>
      </c>
      <c r="I2082" s="9">
        <f>IFERROR(__xludf.DUMMYFUNCTION("GOOGLEFINANCE(""ASX:TCO"", ""marketcap"")"),3.144953E7)</f>
        <v>31449530</v>
      </c>
      <c r="J2082" s="5"/>
      <c r="K2082" s="5"/>
      <c r="L2082" s="5"/>
      <c r="M2082" s="5"/>
      <c r="N2082" s="9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>
      <c r="A2083" s="6" t="s">
        <v>4128</v>
      </c>
      <c r="B2083" s="6" t="s">
        <v>4129</v>
      </c>
      <c r="C2083" s="5" t="s">
        <v>62</v>
      </c>
      <c r="D2083" s="7">
        <f>IFERROR(__xludf.DUMMYFUNCTION("GOOGLEFINANCE(""ASX:TD1"", ""price"")"),0.05)</f>
        <v>0.05</v>
      </c>
      <c r="E2083" s="8">
        <f>IFERROR(__xludf.DUMMYFUNCTION("GOOGLEFINANCE(""ASX:TD1"", ""closeyest"")"),0.05)</f>
        <v>0.05</v>
      </c>
      <c r="F2083" s="5" t="str">
        <f>IFERROR(__xludf.DUMMYFUNCTION("GOOGLEFINANCE(""ASX:TD1"", ""pe"")"),"#N/A")</f>
        <v>#N/A</v>
      </c>
      <c r="G2083" s="9">
        <f>IFERROR(__xludf.DUMMYFUNCTION("GOOGLEFINANCE(""ASX:TD1"", ""high52"")"),0.2)</f>
        <v>0.2</v>
      </c>
      <c r="H2083" s="9">
        <f>IFERROR(__xludf.DUMMYFUNCTION("GOOGLEFINANCE(""ASX:TD1"", ""low52"")"),0.05)</f>
        <v>0.05</v>
      </c>
      <c r="I2083" s="9">
        <f>IFERROR(__xludf.DUMMYFUNCTION("GOOGLEFINANCE(""ASX:TD1"", ""marketcap"")"),2476560.0)</f>
        <v>2476560</v>
      </c>
      <c r="J2083" s="5"/>
      <c r="K2083" s="5"/>
      <c r="L2083" s="5"/>
      <c r="M2083" s="5"/>
      <c r="N2083" s="9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>
      <c r="A2084" s="6" t="s">
        <v>4130</v>
      </c>
      <c r="B2084" s="6" t="s">
        <v>4131</v>
      </c>
      <c r="C2084" s="5" t="s">
        <v>78</v>
      </c>
      <c r="D2084" s="7">
        <f>IFERROR(__xludf.DUMMYFUNCTION("GOOGLEFINANCE(""ASX:TDO"", ""price"")"),0.18)</f>
        <v>0.18</v>
      </c>
      <c r="E2084" s="8">
        <f>IFERROR(__xludf.DUMMYFUNCTION("GOOGLEFINANCE(""ASX:TDO"", ""closeyest"")"),0.16)</f>
        <v>0.16</v>
      </c>
      <c r="F2084" s="5" t="str">
        <f>IFERROR(__xludf.DUMMYFUNCTION("GOOGLEFINANCE(""ASX:TDO"", ""pe"")"),"#N/A")</f>
        <v>#N/A</v>
      </c>
      <c r="G2084" s="9">
        <f>IFERROR(__xludf.DUMMYFUNCTION("GOOGLEFINANCE(""ASX:TDO"", ""high52"")"),0.21)</f>
        <v>0.21</v>
      </c>
      <c r="H2084" s="9">
        <f>IFERROR(__xludf.DUMMYFUNCTION("GOOGLEFINANCE(""ASX:TDO"", ""low52"")"),0.08)</f>
        <v>0.08</v>
      </c>
      <c r="I2084" s="9">
        <f>IFERROR(__xludf.DUMMYFUNCTION("GOOGLEFINANCE(""ASX:TDO"", ""marketcap"")"),8.904145E7)</f>
        <v>89041450</v>
      </c>
      <c r="J2084" s="5"/>
      <c r="K2084" s="5"/>
      <c r="L2084" s="5"/>
      <c r="M2084" s="5"/>
      <c r="N2084" s="9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>
      <c r="A2085" s="6" t="s">
        <v>4132</v>
      </c>
      <c r="B2085" s="6" t="s">
        <v>4133</v>
      </c>
      <c r="C2085" s="5" t="s">
        <v>123</v>
      </c>
      <c r="D2085" s="7">
        <f>IFERROR(__xludf.DUMMYFUNCTION("GOOGLEFINANCE(""ASX:TEA"", ""price"")"),4.13)</f>
        <v>4.13</v>
      </c>
      <c r="E2085" s="8">
        <f>IFERROR(__xludf.DUMMYFUNCTION("GOOGLEFINANCE(""ASX:TEA"", ""closeyest"")"),4.16)</f>
        <v>4.16</v>
      </c>
      <c r="F2085" s="9">
        <f>IFERROR(__xludf.DUMMYFUNCTION("GOOGLEFINANCE(""ASX:TEA"", ""pe"")"),18.02)</f>
        <v>18.02</v>
      </c>
      <c r="G2085" s="9">
        <f>IFERROR(__xludf.DUMMYFUNCTION("GOOGLEFINANCE(""ASX:TEA"", ""high52"")"),5.42)</f>
        <v>5.42</v>
      </c>
      <c r="H2085" s="9">
        <f>IFERROR(__xludf.DUMMYFUNCTION("GOOGLEFINANCE(""ASX:TEA"", ""low52"")"),2.15)</f>
        <v>2.15</v>
      </c>
      <c r="I2085" s="9">
        <f>IFERROR(__xludf.DUMMYFUNCTION("GOOGLEFINANCE(""ASX:TEA"", ""marketcap"")"),1.074789164E9)</f>
        <v>1074789164</v>
      </c>
      <c r="J2085" s="5"/>
      <c r="K2085" s="5"/>
      <c r="L2085" s="5"/>
      <c r="M2085" s="5"/>
      <c r="N2085" s="9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>
      <c r="A2086" s="6" t="s">
        <v>4134</v>
      </c>
      <c r="B2086" s="6" t="s">
        <v>4135</v>
      </c>
      <c r="C2086" s="5" t="s">
        <v>36</v>
      </c>
      <c r="D2086" s="7">
        <f>IFERROR(__xludf.DUMMYFUNCTION("GOOGLEFINANCE(""ASX:TECH"", ""price"")"),103.6)</f>
        <v>103.6</v>
      </c>
      <c r="E2086" s="8">
        <f>IFERROR(__xludf.DUMMYFUNCTION("GOOGLEFINANCE(""ASX:TECH"", ""closeyest"")"),102.95)</f>
        <v>102.95</v>
      </c>
      <c r="F2086" s="5" t="str">
        <f>IFERROR(__xludf.DUMMYFUNCTION("GOOGLEFINANCE(""ASX:TECH"", ""pe"")"),"#N/A")</f>
        <v>#N/A</v>
      </c>
      <c r="G2086" s="9">
        <f>IFERROR(__xludf.DUMMYFUNCTION("GOOGLEFINANCE(""ASX:TECH"", ""high52"")"),122.76)</f>
        <v>122.76</v>
      </c>
      <c r="H2086" s="9">
        <f>IFERROR(__xludf.DUMMYFUNCTION("GOOGLEFINANCE(""ASX:TECH"", ""low52"")"),89.0)</f>
        <v>89</v>
      </c>
      <c r="I2086" s="9" t="str">
        <f>IFERROR(__xludf.DUMMYFUNCTION("GOOGLEFINANCE(""ASX:TECH"", ""marketcap"")"),"#N/A")</f>
        <v>#N/A</v>
      </c>
      <c r="J2086" s="5"/>
      <c r="K2086" s="5"/>
      <c r="L2086" s="5"/>
      <c r="M2086" s="5"/>
      <c r="N2086" s="9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>
      <c r="A2087" s="6" t="s">
        <v>4136</v>
      </c>
      <c r="B2087" s="6" t="s">
        <v>4137</v>
      </c>
      <c r="C2087" s="5" t="s">
        <v>78</v>
      </c>
      <c r="D2087" s="7">
        <f>IFERROR(__xludf.DUMMYFUNCTION("GOOGLEFINANCE(""ASX:TEE"", ""price"")"),0.03)</f>
        <v>0.03</v>
      </c>
      <c r="E2087" s="8">
        <f>IFERROR(__xludf.DUMMYFUNCTION("GOOGLEFINANCE(""ASX:TEE"", ""closeyest"")"),0.03)</f>
        <v>0.03</v>
      </c>
      <c r="F2087" s="5" t="str">
        <f>IFERROR(__xludf.DUMMYFUNCTION("GOOGLEFINANCE(""ASX:TEE"", ""pe"")"),"#N/A")</f>
        <v>#N/A</v>
      </c>
      <c r="G2087" s="9">
        <f>IFERROR(__xludf.DUMMYFUNCTION("GOOGLEFINANCE(""ASX:TEE"", ""high52"")"),0.14)</f>
        <v>0.14</v>
      </c>
      <c r="H2087" s="9">
        <f>IFERROR(__xludf.DUMMYFUNCTION("GOOGLEFINANCE(""ASX:TEE"", ""low52"")"),0.03)</f>
        <v>0.03</v>
      </c>
      <c r="I2087" s="9">
        <f>IFERROR(__xludf.DUMMYFUNCTION("GOOGLEFINANCE(""ASX:TEE"", ""marketcap"")"),9229880.0)</f>
        <v>9229880</v>
      </c>
      <c r="J2087" s="5"/>
      <c r="K2087" s="5"/>
      <c r="L2087" s="5"/>
      <c r="M2087" s="5"/>
      <c r="N2087" s="9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>
      <c r="A2088" s="6" t="s">
        <v>4138</v>
      </c>
      <c r="B2088" s="6" t="s">
        <v>4139</v>
      </c>
      <c r="C2088" s="5" t="s">
        <v>78</v>
      </c>
      <c r="D2088" s="7">
        <f>IFERROR(__xludf.DUMMYFUNCTION("GOOGLEFINANCE(""ASX:TEG"", ""price"")"),0.0)</f>
        <v>0</v>
      </c>
      <c r="E2088" s="8">
        <f>IFERROR(__xludf.DUMMYFUNCTION("GOOGLEFINANCE(""ASX:TEG"", ""closeyest"")"),0.0)</f>
        <v>0</v>
      </c>
      <c r="F2088" s="5" t="str">
        <f>IFERROR(__xludf.DUMMYFUNCTION("GOOGLEFINANCE(""ASX:TEG"", ""pe"")"),"#N/A")</f>
        <v>#N/A</v>
      </c>
      <c r="G2088" s="9">
        <f>IFERROR(__xludf.DUMMYFUNCTION("GOOGLEFINANCE(""ASX:TEG"", ""high52"")"),0.01)</f>
        <v>0.01</v>
      </c>
      <c r="H2088" s="9">
        <f>IFERROR(__xludf.DUMMYFUNCTION("GOOGLEFINANCE(""ASX:TEG"", ""low52"")"),0.0)</f>
        <v>0</v>
      </c>
      <c r="I2088" s="9">
        <f>IFERROR(__xludf.DUMMYFUNCTION("GOOGLEFINANCE(""ASX:TEG"", ""marketcap"")"),3133851.0)</f>
        <v>3133851</v>
      </c>
      <c r="J2088" s="12">
        <v>0.003</v>
      </c>
      <c r="K2088" s="12">
        <v>0.003</v>
      </c>
      <c r="L2088" s="12">
        <v>0.006</v>
      </c>
      <c r="M2088" s="12">
        <v>0.002</v>
      </c>
      <c r="N2088" s="9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>
      <c r="A2089" s="6" t="s">
        <v>4140</v>
      </c>
      <c r="B2089" s="6" t="s">
        <v>4141</v>
      </c>
      <c r="C2089" s="5" t="s">
        <v>171</v>
      </c>
      <c r="D2089" s="7">
        <f>IFERROR(__xludf.DUMMYFUNCTION("GOOGLEFINANCE(""ASX:TEK"", ""price"")"),0.13)</f>
        <v>0.13</v>
      </c>
      <c r="E2089" s="8">
        <f>IFERROR(__xludf.DUMMYFUNCTION("GOOGLEFINANCE(""ASX:TEK"", ""closeyest"")"),0.13)</f>
        <v>0.13</v>
      </c>
      <c r="F2089" s="5" t="str">
        <f>IFERROR(__xludf.DUMMYFUNCTION("GOOGLEFINANCE(""ASX:TEK"", ""pe"")"),"#N/A")</f>
        <v>#N/A</v>
      </c>
      <c r="G2089" s="9">
        <f>IFERROR(__xludf.DUMMYFUNCTION("GOOGLEFINANCE(""ASX:TEK"", ""high52"")"),0.14)</f>
        <v>0.14</v>
      </c>
      <c r="H2089" s="9">
        <f>IFERROR(__xludf.DUMMYFUNCTION("GOOGLEFINANCE(""ASX:TEK"", ""low52"")"),0.08)</f>
        <v>0.08</v>
      </c>
      <c r="I2089" s="9">
        <f>IFERROR(__xludf.DUMMYFUNCTION("GOOGLEFINANCE(""ASX:TEK"", ""marketcap"")"),4.7229125E7)</f>
        <v>47229125</v>
      </c>
      <c r="J2089" s="5"/>
      <c r="K2089" s="5"/>
      <c r="L2089" s="5"/>
      <c r="M2089" s="5"/>
      <c r="N2089" s="9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>
      <c r="A2090" s="6" t="s">
        <v>4142</v>
      </c>
      <c r="B2090" s="6" t="s">
        <v>4143</v>
      </c>
      <c r="C2090" s="5" t="s">
        <v>450</v>
      </c>
      <c r="D2090" s="7">
        <f>IFERROR(__xludf.DUMMYFUNCTION("GOOGLEFINANCE(""ASX:TEM"", ""price"")"),0.01)</f>
        <v>0.01</v>
      </c>
      <c r="E2090" s="8">
        <f>IFERROR(__xludf.DUMMYFUNCTION("GOOGLEFINANCE(""ASX:TEM"", ""closeyest"")"),0.01)</f>
        <v>0.01</v>
      </c>
      <c r="F2090" s="5" t="str">
        <f>IFERROR(__xludf.DUMMYFUNCTION("GOOGLEFINANCE(""ASX:TEM"", ""pe"")"),"#N/A")</f>
        <v>#N/A</v>
      </c>
      <c r="G2090" s="9">
        <f>IFERROR(__xludf.DUMMYFUNCTION("GOOGLEFINANCE(""ASX:TEM"", ""high52"")"),0.01)</f>
        <v>0.01</v>
      </c>
      <c r="H2090" s="9">
        <f>IFERROR(__xludf.DUMMYFUNCTION("GOOGLEFINANCE(""ASX:TEM"", ""low52"")"),0.0)</f>
        <v>0</v>
      </c>
      <c r="I2090" s="9">
        <f>IFERROR(__xludf.DUMMYFUNCTION("GOOGLEFINANCE(""ASX:TEM"", ""marketcap"")"),5399191.0)</f>
        <v>5399191</v>
      </c>
      <c r="J2090" s="5"/>
      <c r="K2090" s="5"/>
      <c r="L2090" s="5"/>
      <c r="M2090" s="5"/>
      <c r="N2090" s="9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>
      <c r="A2091" s="6" t="s">
        <v>4144</v>
      </c>
      <c r="B2091" s="6" t="s">
        <v>4145</v>
      </c>
      <c r="C2091" s="5" t="s">
        <v>314</v>
      </c>
      <c r="D2091" s="7">
        <f>IFERROR(__xludf.DUMMYFUNCTION("GOOGLEFINANCE(""ASX:TER"", ""price"")"),0.06)</f>
        <v>0.06</v>
      </c>
      <c r="E2091" s="8">
        <f>IFERROR(__xludf.DUMMYFUNCTION("GOOGLEFINANCE(""ASX:TER"", ""closeyest"")"),0.06)</f>
        <v>0.06</v>
      </c>
      <c r="F2091" s="5" t="str">
        <f>IFERROR(__xludf.DUMMYFUNCTION("GOOGLEFINANCE(""ASX:TER"", ""pe"")"),"#N/A")</f>
        <v>#N/A</v>
      </c>
      <c r="G2091" s="9">
        <f>IFERROR(__xludf.DUMMYFUNCTION("GOOGLEFINANCE(""ASX:TER"", ""high52"")"),0.18)</f>
        <v>0.18</v>
      </c>
      <c r="H2091" s="9">
        <f>IFERROR(__xludf.DUMMYFUNCTION("GOOGLEFINANCE(""ASX:TER"", ""low52"")"),0.05)</f>
        <v>0.05</v>
      </c>
      <c r="I2091" s="9">
        <f>IFERROR(__xludf.DUMMYFUNCTION("GOOGLEFINANCE(""ASX:TER"", ""marketcap"")"),1.23028357E8)</f>
        <v>123028357</v>
      </c>
      <c r="J2091" s="5"/>
      <c r="K2091" s="5"/>
      <c r="L2091" s="5"/>
      <c r="M2091" s="5"/>
      <c r="N2091" s="9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>
      <c r="A2092" s="6" t="s">
        <v>4146</v>
      </c>
      <c r="B2092" s="6" t="s">
        <v>4147</v>
      </c>
      <c r="C2092" s="5" t="s">
        <v>98</v>
      </c>
      <c r="D2092" s="7">
        <f>IFERROR(__xludf.DUMMYFUNCTION("GOOGLEFINANCE(""ASX:TFL"", ""price"")"),0.01)</f>
        <v>0.01</v>
      </c>
      <c r="E2092" s="8">
        <f>IFERROR(__xludf.DUMMYFUNCTION("GOOGLEFINANCE(""ASX:TFL"", ""closeyest"")"),0.01)</f>
        <v>0.01</v>
      </c>
      <c r="F2092" s="5" t="str">
        <f>IFERROR(__xludf.DUMMYFUNCTION("GOOGLEFINANCE(""ASX:TFL"", ""pe"")"),"#N/A")</f>
        <v>#N/A</v>
      </c>
      <c r="G2092" s="9">
        <f>IFERROR(__xludf.DUMMYFUNCTION("GOOGLEFINANCE(""ASX:TFL"", ""high52"")"),0.02)</f>
        <v>0.02</v>
      </c>
      <c r="H2092" s="9">
        <f>IFERROR(__xludf.DUMMYFUNCTION("GOOGLEFINANCE(""ASX:TFL"", ""low52"")"),0.0)</f>
        <v>0</v>
      </c>
      <c r="I2092" s="9">
        <f>IFERROR(__xludf.DUMMYFUNCTION("GOOGLEFINANCE(""ASX:TFL"", ""marketcap"")"),968974.0)</f>
        <v>968974</v>
      </c>
      <c r="J2092" s="5"/>
      <c r="K2092" s="5"/>
      <c r="L2092" s="5"/>
      <c r="M2092" s="5"/>
      <c r="N2092" s="9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>
      <c r="A2093" s="6" t="s">
        <v>4148</v>
      </c>
      <c r="B2093" s="6" t="s">
        <v>4149</v>
      </c>
      <c r="C2093" s="5" t="s">
        <v>39</v>
      </c>
      <c r="D2093" s="7">
        <f>IFERROR(__xludf.DUMMYFUNCTION("GOOGLEFINANCE(""ASX:TG1"", ""price"")"),0.04)</f>
        <v>0.04</v>
      </c>
      <c r="E2093" s="8">
        <f>IFERROR(__xludf.DUMMYFUNCTION("GOOGLEFINANCE(""ASX:TG1"", ""closeyest"")"),0.04)</f>
        <v>0.04</v>
      </c>
      <c r="F2093" s="5" t="str">
        <f>IFERROR(__xludf.DUMMYFUNCTION("GOOGLEFINANCE(""ASX:TG1"", ""pe"")"),"#N/A")</f>
        <v>#N/A</v>
      </c>
      <c r="G2093" s="9">
        <f>IFERROR(__xludf.DUMMYFUNCTION("GOOGLEFINANCE(""ASX:TG1"", ""high52"")"),0.05)</f>
        <v>0.05</v>
      </c>
      <c r="H2093" s="9">
        <f>IFERROR(__xludf.DUMMYFUNCTION("GOOGLEFINANCE(""ASX:TG1"", ""low52"")"),0.02)</f>
        <v>0.02</v>
      </c>
      <c r="I2093" s="9">
        <f>IFERROR(__xludf.DUMMYFUNCTION("GOOGLEFINANCE(""ASX:TG1"", ""marketcap"")"),1.6650103E7)</f>
        <v>16650103</v>
      </c>
      <c r="J2093" s="5"/>
      <c r="K2093" s="5"/>
      <c r="L2093" s="5"/>
      <c r="M2093" s="5"/>
      <c r="N2093" s="9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>
      <c r="A2094" s="6" t="s">
        <v>4150</v>
      </c>
      <c r="B2094" s="6" t="s">
        <v>4151</v>
      </c>
      <c r="C2094" s="5" t="s">
        <v>39</v>
      </c>
      <c r="D2094" s="7">
        <f>IFERROR(__xludf.DUMMYFUNCTION("GOOGLEFINANCE(""ASX:TG6"", ""price"")"),0.21)</f>
        <v>0.21</v>
      </c>
      <c r="E2094" s="8">
        <f>IFERROR(__xludf.DUMMYFUNCTION("GOOGLEFINANCE(""ASX:TG6"", ""closeyest"")"),0.22)</f>
        <v>0.22</v>
      </c>
      <c r="F2094" s="5" t="str">
        <f>IFERROR(__xludf.DUMMYFUNCTION("GOOGLEFINANCE(""ASX:TG6"", ""pe"")"),"#N/A")</f>
        <v>#N/A</v>
      </c>
      <c r="G2094" s="9">
        <f>IFERROR(__xludf.DUMMYFUNCTION("GOOGLEFINANCE(""ASX:TG6"", ""high52"")"),0.37)</f>
        <v>0.37</v>
      </c>
      <c r="H2094" s="9">
        <f>IFERROR(__xludf.DUMMYFUNCTION("GOOGLEFINANCE(""ASX:TG6"", ""low52"")"),0.09)</f>
        <v>0.09</v>
      </c>
      <c r="I2094" s="9">
        <f>IFERROR(__xludf.DUMMYFUNCTION("GOOGLEFINANCE(""ASX:TG6"", ""marketcap"")"),2.5311362E7)</f>
        <v>25311362</v>
      </c>
      <c r="J2094" s="5"/>
      <c r="K2094" s="5"/>
      <c r="L2094" s="5"/>
      <c r="M2094" s="5"/>
      <c r="N2094" s="9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>
      <c r="A2095" s="6" t="s">
        <v>4152</v>
      </c>
      <c r="B2095" s="6" t="s">
        <v>4153</v>
      </c>
      <c r="C2095" s="5" t="s">
        <v>171</v>
      </c>
      <c r="D2095" s="7">
        <f>IFERROR(__xludf.DUMMYFUNCTION("GOOGLEFINANCE(""ASX:TGF"", ""price"")"),2.58)</f>
        <v>2.58</v>
      </c>
      <c r="E2095" s="8">
        <f>IFERROR(__xludf.DUMMYFUNCTION("GOOGLEFINANCE(""ASX:TGF"", ""closeyest"")"),2.55)</f>
        <v>2.55</v>
      </c>
      <c r="F2095" s="9">
        <f>IFERROR(__xludf.DUMMYFUNCTION("GOOGLEFINANCE(""ASX:TGF"", ""pe"")"),40.53)</f>
        <v>40.53</v>
      </c>
      <c r="G2095" s="9">
        <f>IFERROR(__xludf.DUMMYFUNCTION("GOOGLEFINANCE(""ASX:TGF"", ""high52"")"),2.59)</f>
        <v>2.59</v>
      </c>
      <c r="H2095" s="9">
        <f>IFERROR(__xludf.DUMMYFUNCTION("GOOGLEFINANCE(""ASX:TGF"", ""low52"")"),1.17)</f>
        <v>1.17</v>
      </c>
      <c r="I2095" s="9">
        <f>IFERROR(__xludf.DUMMYFUNCTION("GOOGLEFINANCE(""ASX:TGF"", ""marketcap"")"),1.90310391E8)</f>
        <v>190310391</v>
      </c>
      <c r="J2095" s="5"/>
      <c r="K2095" s="5"/>
      <c r="L2095" s="5"/>
      <c r="M2095" s="5"/>
      <c r="N2095" s="9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>
      <c r="A2096" s="6" t="s">
        <v>4154</v>
      </c>
      <c r="B2096" s="6" t="s">
        <v>4155</v>
      </c>
      <c r="C2096" s="5" t="s">
        <v>128</v>
      </c>
      <c r="D2096" s="7">
        <f>IFERROR(__xludf.DUMMYFUNCTION("GOOGLEFINANCE(""ASX:TGH"", ""price"")"),0.02)</f>
        <v>0.02</v>
      </c>
      <c r="E2096" s="8">
        <f>IFERROR(__xludf.DUMMYFUNCTION("GOOGLEFINANCE(""ASX:TGH"", ""closeyest"")"),0.02)</f>
        <v>0.02</v>
      </c>
      <c r="F2096" s="5" t="str">
        <f>IFERROR(__xludf.DUMMYFUNCTION("GOOGLEFINANCE(""ASX:TGH"", ""pe"")"),"#N/A")</f>
        <v>#N/A</v>
      </c>
      <c r="G2096" s="9">
        <f>IFERROR(__xludf.DUMMYFUNCTION("GOOGLEFINANCE(""ASX:TGH"", ""high52"")"),0.04)</f>
        <v>0.04</v>
      </c>
      <c r="H2096" s="9">
        <f>IFERROR(__xludf.DUMMYFUNCTION("GOOGLEFINANCE(""ASX:TGH"", ""low52"")"),0.02)</f>
        <v>0.02</v>
      </c>
      <c r="I2096" s="9">
        <f>IFERROR(__xludf.DUMMYFUNCTION("GOOGLEFINANCE(""ASX:TGH"", ""marketcap"")"),1.16154E7)</f>
        <v>11615400</v>
      </c>
      <c r="J2096" s="5"/>
      <c r="K2096" s="5"/>
      <c r="L2096" s="5"/>
      <c r="M2096" s="5"/>
      <c r="N2096" s="9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>
      <c r="A2097" s="6" t="s">
        <v>4156</v>
      </c>
      <c r="B2097" s="6" t="s">
        <v>4157</v>
      </c>
      <c r="C2097" s="5" t="s">
        <v>88</v>
      </c>
      <c r="D2097" s="7">
        <f>IFERROR(__xludf.DUMMYFUNCTION("GOOGLEFINANCE(""ASX:TGM"", ""price"")"),0.21)</f>
        <v>0.21</v>
      </c>
      <c r="E2097" s="8">
        <f>IFERROR(__xludf.DUMMYFUNCTION("GOOGLEFINANCE(""ASX:TGM"", ""closeyest"")"),0.21)</f>
        <v>0.21</v>
      </c>
      <c r="F2097" s="5" t="str">
        <f>IFERROR(__xludf.DUMMYFUNCTION("GOOGLEFINANCE(""ASX:TGM"", ""pe"")"),"#N/A")</f>
        <v>#N/A</v>
      </c>
      <c r="G2097" s="9">
        <f>IFERROR(__xludf.DUMMYFUNCTION("GOOGLEFINANCE(""ASX:TGM"", ""high52"")"),0.28)</f>
        <v>0.28</v>
      </c>
      <c r="H2097" s="9">
        <f>IFERROR(__xludf.DUMMYFUNCTION("GOOGLEFINANCE(""ASX:TGM"", ""low52"")"),0.12)</f>
        <v>0.12</v>
      </c>
      <c r="I2097" s="9">
        <f>IFERROR(__xludf.DUMMYFUNCTION("GOOGLEFINANCE(""ASX:TGM"", ""marketcap"")"),2.14543158E8)</f>
        <v>214543158</v>
      </c>
      <c r="J2097" s="5"/>
      <c r="K2097" s="5"/>
      <c r="L2097" s="5"/>
      <c r="M2097" s="5"/>
      <c r="N2097" s="9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>
      <c r="A2098" s="6" t="s">
        <v>4158</v>
      </c>
      <c r="B2098" s="6" t="s">
        <v>4159</v>
      </c>
      <c r="C2098" s="5" t="s">
        <v>39</v>
      </c>
      <c r="D2098" s="7">
        <f>IFERROR(__xludf.DUMMYFUNCTION("GOOGLEFINANCE(""ASX:TGN"", ""price"")"),0.18)</f>
        <v>0.18</v>
      </c>
      <c r="E2098" s="8">
        <f>IFERROR(__xludf.DUMMYFUNCTION("GOOGLEFINANCE(""ASX:TGN"", ""closeyest"")"),0.2)</f>
        <v>0.2</v>
      </c>
      <c r="F2098" s="5" t="str">
        <f>IFERROR(__xludf.DUMMYFUNCTION("GOOGLEFINANCE(""ASX:TGN"", ""pe"")"),"#N/A")</f>
        <v>#N/A</v>
      </c>
      <c r="G2098" s="9">
        <f>IFERROR(__xludf.DUMMYFUNCTION("GOOGLEFINANCE(""ASX:TGN"", ""high52"")"),0.32)</f>
        <v>0.32</v>
      </c>
      <c r="H2098" s="9">
        <f>IFERROR(__xludf.DUMMYFUNCTION("GOOGLEFINANCE(""ASX:TGN"", ""low52"")"),0.06)</f>
        <v>0.06</v>
      </c>
      <c r="I2098" s="9">
        <f>IFERROR(__xludf.DUMMYFUNCTION("GOOGLEFINANCE(""ASX:TGN"", ""marketcap"")"),1.96559467E8)</f>
        <v>196559467</v>
      </c>
      <c r="J2098" s="5"/>
      <c r="K2098" s="5"/>
      <c r="L2098" s="5"/>
      <c r="M2098" s="5"/>
      <c r="N2098" s="9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>
      <c r="A2099" s="6" t="s">
        <v>4160</v>
      </c>
      <c r="B2099" s="6" t="s">
        <v>4161</v>
      </c>
      <c r="C2099" s="5" t="s">
        <v>171</v>
      </c>
      <c r="D2099" s="7">
        <f>IFERROR(__xludf.DUMMYFUNCTION("GOOGLEFINANCE(""ASX:TGP"", ""price"")"),0.31)</f>
        <v>0.31</v>
      </c>
      <c r="E2099" s="8">
        <f>IFERROR(__xludf.DUMMYFUNCTION("GOOGLEFINANCE(""ASX:TGP"", ""closeyest"")"),0.31)</f>
        <v>0.31</v>
      </c>
      <c r="F2099" s="9">
        <f>IFERROR(__xludf.DUMMYFUNCTION("GOOGLEFINANCE(""ASX:TGP"", ""pe"")"),14.03)</f>
        <v>14.03</v>
      </c>
      <c r="G2099" s="9">
        <f>IFERROR(__xludf.DUMMYFUNCTION("GOOGLEFINANCE(""ASX:TGP"", ""high52"")"),0.74)</f>
        <v>0.74</v>
      </c>
      <c r="H2099" s="9">
        <f>IFERROR(__xludf.DUMMYFUNCTION("GOOGLEFINANCE(""ASX:TGP"", ""low52"")"),0.24)</f>
        <v>0.24</v>
      </c>
      <c r="I2099" s="9">
        <f>IFERROR(__xludf.DUMMYFUNCTION("GOOGLEFINANCE(""ASX:TGP"", ""marketcap"")"),6.1029948E7)</f>
        <v>61029948</v>
      </c>
      <c r="J2099" s="5"/>
      <c r="K2099" s="5"/>
      <c r="L2099" s="5"/>
      <c r="M2099" s="5"/>
      <c r="N2099" s="9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>
      <c r="A2100" s="6" t="s">
        <v>4162</v>
      </c>
      <c r="B2100" s="6" t="s">
        <v>4163</v>
      </c>
      <c r="C2100" s="5" t="s">
        <v>1052</v>
      </c>
      <c r="D2100" s="7">
        <f>IFERROR(__xludf.DUMMYFUNCTION("GOOGLEFINANCE(""ASX:THL"", ""price"")"),2.15)</f>
        <v>2.15</v>
      </c>
      <c r="E2100" s="8">
        <f>IFERROR(__xludf.DUMMYFUNCTION("GOOGLEFINANCE(""ASX:THL"", ""closeyest"")"),2.15)</f>
        <v>2.15</v>
      </c>
      <c r="F2100" s="5" t="str">
        <f>IFERROR(__xludf.DUMMYFUNCTION("GOOGLEFINANCE(""ASX:THL"", ""pe"")"),"#N/A")</f>
        <v>#N/A</v>
      </c>
      <c r="G2100" s="9">
        <f>IFERROR(__xludf.DUMMYFUNCTION("GOOGLEFINANCE(""ASX:THL"", ""high52"")"),2.43)</f>
        <v>2.43</v>
      </c>
      <c r="H2100" s="9">
        <f>IFERROR(__xludf.DUMMYFUNCTION("GOOGLEFINANCE(""ASX:THL"", ""low52"")"),1.2)</f>
        <v>1.2</v>
      </c>
      <c r="I2100" s="9">
        <f>IFERROR(__xludf.DUMMYFUNCTION("GOOGLEFINANCE(""ASX:THL"", ""marketcap"")"),5.725071E8)</f>
        <v>572507100</v>
      </c>
      <c r="J2100" s="5"/>
      <c r="K2100" s="5"/>
      <c r="L2100" s="5"/>
      <c r="M2100" s="5"/>
      <c r="N2100" s="9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>
      <c r="A2101" s="6" t="s">
        <v>4164</v>
      </c>
      <c r="B2101" s="6" t="s">
        <v>4165</v>
      </c>
      <c r="C2101" s="5" t="s">
        <v>39</v>
      </c>
      <c r="D2101" s="7">
        <f>IFERROR(__xludf.DUMMYFUNCTION("GOOGLEFINANCE(""ASX:THR"", ""price"")"),0.01)</f>
        <v>0.01</v>
      </c>
      <c r="E2101" s="8">
        <f>IFERROR(__xludf.DUMMYFUNCTION("GOOGLEFINANCE(""ASX:THR"", ""closeyest"")"),0.01)</f>
        <v>0.01</v>
      </c>
      <c r="F2101" s="5" t="str">
        <f>IFERROR(__xludf.DUMMYFUNCTION("GOOGLEFINANCE(""ASX:THR"", ""pe"")"),"#N/A")</f>
        <v>#N/A</v>
      </c>
      <c r="G2101" s="9">
        <f>IFERROR(__xludf.DUMMYFUNCTION("GOOGLEFINANCE(""ASX:THR"", ""high52"")"),0.03)</f>
        <v>0.03</v>
      </c>
      <c r="H2101" s="9">
        <f>IFERROR(__xludf.DUMMYFUNCTION("GOOGLEFINANCE(""ASX:THR"", ""low52"")"),0.01)</f>
        <v>0.01</v>
      </c>
      <c r="I2101" s="9">
        <f>IFERROR(__xludf.DUMMYFUNCTION("GOOGLEFINANCE(""ASX:THR"", ""marketcap"")"),8212016.0)</f>
        <v>8212016</v>
      </c>
      <c r="J2101" s="5"/>
      <c r="K2101" s="5"/>
      <c r="L2101" s="5"/>
      <c r="M2101" s="5"/>
      <c r="N2101" s="9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>
      <c r="A2102" s="6" t="s">
        <v>4166</v>
      </c>
      <c r="B2102" s="6" t="s">
        <v>4167</v>
      </c>
      <c r="C2102" s="5" t="s">
        <v>143</v>
      </c>
      <c r="D2102" s="7">
        <f>IFERROR(__xludf.DUMMYFUNCTION("GOOGLEFINANCE(""ASX:TIA"", ""price"")"),0.35)</f>
        <v>0.35</v>
      </c>
      <c r="E2102" s="8">
        <f>IFERROR(__xludf.DUMMYFUNCTION("GOOGLEFINANCE(""ASX:TIA"", ""closeyest"")"),0.35)</f>
        <v>0.35</v>
      </c>
      <c r="F2102" s="9">
        <f>IFERROR(__xludf.DUMMYFUNCTION("GOOGLEFINANCE(""ASX:TIA"", ""pe"")"),1.78)</f>
        <v>1.78</v>
      </c>
      <c r="G2102" s="9">
        <f>IFERROR(__xludf.DUMMYFUNCTION("GOOGLEFINANCE(""ASX:TIA"", ""high52"")"),0.35)</f>
        <v>0.35</v>
      </c>
      <c r="H2102" s="9">
        <f>IFERROR(__xludf.DUMMYFUNCTION("GOOGLEFINANCE(""ASX:TIA"", ""low52"")"),0.15)</f>
        <v>0.15</v>
      </c>
      <c r="I2102" s="9">
        <f>IFERROR(__xludf.DUMMYFUNCTION("GOOGLEFINANCE(""ASX:TIA"", ""marketcap"")"),3.031309E7)</f>
        <v>30313090</v>
      </c>
      <c r="J2102" s="5"/>
      <c r="K2102" s="5"/>
      <c r="L2102" s="5"/>
      <c r="M2102" s="5"/>
      <c r="N2102" s="9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>
      <c r="A2103" s="6" t="s">
        <v>4168</v>
      </c>
      <c r="B2103" s="6" t="s">
        <v>4169</v>
      </c>
      <c r="C2103" s="5" t="s">
        <v>314</v>
      </c>
      <c r="D2103" s="7">
        <f>IFERROR(__xludf.DUMMYFUNCTION("GOOGLEFINANCE(""ASX:TIG"", ""price"")"),0.0)</f>
        <v>0</v>
      </c>
      <c r="E2103" s="8">
        <f>IFERROR(__xludf.DUMMYFUNCTION("GOOGLEFINANCE(""ASX:TIG"", ""closeyest"")"),0.0)</f>
        <v>0</v>
      </c>
      <c r="F2103" s="5" t="str">
        <f>IFERROR(__xludf.DUMMYFUNCTION("GOOGLEFINANCE(""ASX:TIG"", ""pe"")"),"#N/A")</f>
        <v>#N/A</v>
      </c>
      <c r="G2103" s="9">
        <f>IFERROR(__xludf.DUMMYFUNCTION("GOOGLEFINANCE(""ASX:TIG"", ""high52"")"),0.0)</f>
        <v>0</v>
      </c>
      <c r="H2103" s="9">
        <f>IFERROR(__xludf.DUMMYFUNCTION("GOOGLEFINANCE(""ASX:TIG"", ""low52"")"),0.0)</f>
        <v>0</v>
      </c>
      <c r="I2103" s="9">
        <f>IFERROR(__xludf.DUMMYFUNCTION("GOOGLEFINANCE(""ASX:TIG"", ""marketcap"")"),3.920011E7)</f>
        <v>39200110</v>
      </c>
      <c r="J2103" s="12">
        <v>0.003</v>
      </c>
      <c r="K2103" s="12">
        <v>0.003</v>
      </c>
      <c r="L2103" s="12">
        <v>0.004</v>
      </c>
      <c r="M2103" s="12">
        <v>0.002</v>
      </c>
      <c r="N2103" s="9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>
      <c r="A2104" s="6" t="s">
        <v>4170</v>
      </c>
      <c r="B2104" s="6" t="s">
        <v>4171</v>
      </c>
      <c r="C2104" s="5" t="s">
        <v>4172</v>
      </c>
      <c r="D2104" s="7">
        <f>IFERROR(__xludf.DUMMYFUNCTION("GOOGLEFINANCE(""ASX:TIO"", ""price"")"),0.21)</f>
        <v>0.21</v>
      </c>
      <c r="E2104" s="8">
        <f>IFERROR(__xludf.DUMMYFUNCTION("GOOGLEFINANCE(""ASX:TIO"", ""closeyest"")"),0.2)</f>
        <v>0.2</v>
      </c>
      <c r="F2104" s="5" t="str">
        <f>IFERROR(__xludf.DUMMYFUNCTION("GOOGLEFINANCE(""ASX:TIO"", ""pe"")"),"#N/A")</f>
        <v>#N/A</v>
      </c>
      <c r="G2104" s="9">
        <f>IFERROR(__xludf.DUMMYFUNCTION("GOOGLEFINANCE(""ASX:TIO"", ""high52"")"),0.36)</f>
        <v>0.36</v>
      </c>
      <c r="H2104" s="9">
        <f>IFERROR(__xludf.DUMMYFUNCTION("GOOGLEFINANCE(""ASX:TIO"", ""low52"")"),0.15)</f>
        <v>0.15</v>
      </c>
      <c r="I2104" s="9">
        <f>IFERROR(__xludf.DUMMYFUNCTION("GOOGLEFINANCE(""ASX:TIO"", ""marketcap"")"),7905850.0)</f>
        <v>7905850</v>
      </c>
      <c r="J2104" s="5"/>
      <c r="K2104" s="5"/>
      <c r="L2104" s="5"/>
      <c r="M2104" s="5"/>
      <c r="N2104" s="9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>
      <c r="A2105" s="6" t="s">
        <v>4173</v>
      </c>
      <c r="B2105" s="6" t="s">
        <v>4174</v>
      </c>
      <c r="C2105" s="5" t="s">
        <v>171</v>
      </c>
      <c r="D2105" s="7">
        <f>IFERROR(__xludf.DUMMYFUNCTION("GOOGLEFINANCE(""ASX:TIP"", ""price"")"),1.58)</f>
        <v>1.58</v>
      </c>
      <c r="E2105" s="8">
        <f>IFERROR(__xludf.DUMMYFUNCTION("GOOGLEFINANCE(""ASX:TIP"", ""closeyest"")"),1.58)</f>
        <v>1.58</v>
      </c>
      <c r="F2105" s="9">
        <f>IFERROR(__xludf.DUMMYFUNCTION("GOOGLEFINANCE(""ASX:TIP"", ""pe"")"),21.02)</f>
        <v>21.02</v>
      </c>
      <c r="G2105" s="9">
        <f>IFERROR(__xludf.DUMMYFUNCTION("GOOGLEFINANCE(""ASX:TIP"", ""high52"")"),2.1)</f>
        <v>2.1</v>
      </c>
      <c r="H2105" s="9">
        <f>IFERROR(__xludf.DUMMYFUNCTION("GOOGLEFINANCE(""ASX:TIP"", ""low52"")"),1.58)</f>
        <v>1.58</v>
      </c>
      <c r="I2105" s="9">
        <f>IFERROR(__xludf.DUMMYFUNCTION("GOOGLEFINANCE(""ASX:TIP"", ""marketcap"")"),4.2772655E7)</f>
        <v>42772655</v>
      </c>
      <c r="J2105" s="5"/>
      <c r="K2105" s="5"/>
      <c r="L2105" s="5"/>
      <c r="M2105" s="5"/>
      <c r="N2105" s="9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>
      <c r="A2106" s="6" t="s">
        <v>4175</v>
      </c>
      <c r="B2106" s="6" t="s">
        <v>4176</v>
      </c>
      <c r="C2106" s="5" t="s">
        <v>18</v>
      </c>
      <c r="D2106" s="7">
        <f>IFERROR(__xludf.DUMMYFUNCTION("GOOGLEFINANCE(""ASX:TKM"", ""price"")"),0.07)</f>
        <v>0.07</v>
      </c>
      <c r="E2106" s="8">
        <f>IFERROR(__xludf.DUMMYFUNCTION("GOOGLEFINANCE(""ASX:TKM"", ""closeyest"")"),0.07)</f>
        <v>0.07</v>
      </c>
      <c r="F2106" s="5" t="str">
        <f>IFERROR(__xludf.DUMMYFUNCTION("GOOGLEFINANCE(""ASX:TKM"", ""pe"")"),"#N/A")</f>
        <v>#N/A</v>
      </c>
      <c r="G2106" s="9">
        <f>IFERROR(__xludf.DUMMYFUNCTION("GOOGLEFINANCE(""ASX:TKM"", ""high52"")"),0.12)</f>
        <v>0.12</v>
      </c>
      <c r="H2106" s="9">
        <f>IFERROR(__xludf.DUMMYFUNCTION("GOOGLEFINANCE(""ASX:TKM"", ""low52"")"),0.02)</f>
        <v>0.02</v>
      </c>
      <c r="I2106" s="9">
        <f>IFERROR(__xludf.DUMMYFUNCTION("GOOGLEFINANCE(""ASX:TKM"", ""marketcap"")"),4.2895489E7)</f>
        <v>42895489</v>
      </c>
      <c r="J2106" s="5"/>
      <c r="K2106" s="5"/>
      <c r="L2106" s="5"/>
      <c r="M2106" s="5"/>
      <c r="N2106" s="9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>
      <c r="A2107" s="6" t="s">
        <v>4177</v>
      </c>
      <c r="B2107" s="6" t="s">
        <v>4178</v>
      </c>
      <c r="C2107" s="5" t="s">
        <v>259</v>
      </c>
      <c r="D2107" s="7">
        <f>IFERROR(__xludf.DUMMYFUNCTION("GOOGLEFINANCE(""ASX:TLC"", ""price"")"),5.02)</f>
        <v>5.02</v>
      </c>
      <c r="E2107" s="8">
        <f>IFERROR(__xludf.DUMMYFUNCTION("GOOGLEFINANCE(""ASX:TLC"", ""closeyest"")"),5.01)</f>
        <v>5.01</v>
      </c>
      <c r="F2107" s="9">
        <f>IFERROR(__xludf.DUMMYFUNCTION("GOOGLEFINANCE(""ASX:TLC"", ""pe"")"),30.63)</f>
        <v>30.63</v>
      </c>
      <c r="G2107" s="9">
        <f>IFERROR(__xludf.DUMMYFUNCTION("GOOGLEFINANCE(""ASX:TLC"", ""high52"")"),6.0)</f>
        <v>6</v>
      </c>
      <c r="H2107" s="9">
        <f>IFERROR(__xludf.DUMMYFUNCTION("GOOGLEFINANCE(""ASX:TLC"", ""low52"")"),4.69)</f>
        <v>4.69</v>
      </c>
      <c r="I2107" s="9">
        <f>IFERROR(__xludf.DUMMYFUNCTION("GOOGLEFINANCE(""ASX:TLC"", ""marketcap"")"),1.1173370377E10)</f>
        <v>11173370377</v>
      </c>
      <c r="J2107" s="5"/>
      <c r="K2107" s="5"/>
      <c r="L2107" s="5"/>
      <c r="M2107" s="5"/>
      <c r="N2107" s="9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>
      <c r="A2108" s="6" t="s">
        <v>4179</v>
      </c>
      <c r="B2108" s="6" t="s">
        <v>4180</v>
      </c>
      <c r="C2108" s="5" t="s">
        <v>39</v>
      </c>
      <c r="D2108" s="7">
        <f>IFERROR(__xludf.DUMMYFUNCTION("GOOGLEFINANCE(""ASX:TLG"", ""price"")"),0.39)</f>
        <v>0.39</v>
      </c>
      <c r="E2108" s="8">
        <f>IFERROR(__xludf.DUMMYFUNCTION("GOOGLEFINANCE(""ASX:TLG"", ""closeyest"")"),0.39)</f>
        <v>0.39</v>
      </c>
      <c r="F2108" s="5" t="str">
        <f>IFERROR(__xludf.DUMMYFUNCTION("GOOGLEFINANCE(""ASX:TLG"", ""pe"")"),"#N/A")</f>
        <v>#N/A</v>
      </c>
      <c r="G2108" s="9">
        <f>IFERROR(__xludf.DUMMYFUNCTION("GOOGLEFINANCE(""ASX:TLG"", ""high52"")"),0.56)</f>
        <v>0.56</v>
      </c>
      <c r="H2108" s="9">
        <f>IFERROR(__xludf.DUMMYFUNCTION("GOOGLEFINANCE(""ASX:TLG"", ""low52"")"),0.34)</f>
        <v>0.34</v>
      </c>
      <c r="I2108" s="9">
        <f>IFERROR(__xludf.DUMMYFUNCTION("GOOGLEFINANCE(""ASX:TLG"", ""marketcap"")"),1.89682873E8)</f>
        <v>189682873</v>
      </c>
      <c r="J2108" s="5"/>
      <c r="K2108" s="5"/>
      <c r="L2108" s="5"/>
      <c r="M2108" s="5"/>
      <c r="N2108" s="9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>
      <c r="A2109" s="6" t="s">
        <v>4181</v>
      </c>
      <c r="B2109" s="6" t="s">
        <v>4182</v>
      </c>
      <c r="C2109" s="5" t="s">
        <v>18</v>
      </c>
      <c r="D2109" s="7">
        <f>IFERROR(__xludf.DUMMYFUNCTION("GOOGLEFINANCE(""ASX:TLM"", ""price"")"),0.13)</f>
        <v>0.13</v>
      </c>
      <c r="E2109" s="8">
        <f>IFERROR(__xludf.DUMMYFUNCTION("GOOGLEFINANCE(""ASX:TLM"", ""closeyest"")"),0.12)</f>
        <v>0.12</v>
      </c>
      <c r="F2109" s="5" t="str">
        <f>IFERROR(__xludf.DUMMYFUNCTION("GOOGLEFINANCE(""ASX:TLM"", ""pe"")"),"#N/A")</f>
        <v>#N/A</v>
      </c>
      <c r="G2109" s="9">
        <f>IFERROR(__xludf.DUMMYFUNCTION("GOOGLEFINANCE(""ASX:TLM"", ""high52"")"),0.22)</f>
        <v>0.22</v>
      </c>
      <c r="H2109" s="9">
        <f>IFERROR(__xludf.DUMMYFUNCTION("GOOGLEFINANCE(""ASX:TLM"", ""low52"")"),0.1)</f>
        <v>0.1</v>
      </c>
      <c r="I2109" s="9">
        <f>IFERROR(__xludf.DUMMYFUNCTION("GOOGLEFINANCE(""ASX:TLM"", ""marketcap"")"),2.3540037E7)</f>
        <v>23540037</v>
      </c>
      <c r="J2109" s="5"/>
      <c r="K2109" s="5"/>
      <c r="L2109" s="5"/>
      <c r="M2109" s="5"/>
      <c r="N2109" s="9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>
      <c r="A2110" s="6" t="s">
        <v>4183</v>
      </c>
      <c r="B2110" s="6" t="s">
        <v>4184</v>
      </c>
      <c r="C2110" s="5" t="s">
        <v>137</v>
      </c>
      <c r="D2110" s="7">
        <f>IFERROR(__xludf.DUMMYFUNCTION("GOOGLEFINANCE(""ASX:TLS"", ""price"")"),4.81)</f>
        <v>4.81</v>
      </c>
      <c r="E2110" s="8">
        <f>IFERROR(__xludf.DUMMYFUNCTION("GOOGLEFINANCE(""ASX:TLS"", ""closeyest"")"),4.82)</f>
        <v>4.82</v>
      </c>
      <c r="F2110" s="9">
        <f>IFERROR(__xludf.DUMMYFUNCTION("GOOGLEFINANCE(""ASX:TLS"", ""pe"")"),25.52)</f>
        <v>25.52</v>
      </c>
      <c r="G2110" s="9">
        <f>IFERROR(__xludf.DUMMYFUNCTION("GOOGLEFINANCE(""ASX:TLS"", ""high52"")"),5.14)</f>
        <v>5.14</v>
      </c>
      <c r="H2110" s="9">
        <f>IFERROR(__xludf.DUMMYFUNCTION("GOOGLEFINANCE(""ASX:TLS"", ""low52"")"),3.84)</f>
        <v>3.84</v>
      </c>
      <c r="I2110" s="9">
        <f>IFERROR(__xludf.DUMMYFUNCTION("GOOGLEFINANCE(""ASX:TLS"", ""marketcap"")"),5.4136212655E10)</f>
        <v>54136212655</v>
      </c>
      <c r="J2110" s="5"/>
      <c r="K2110" s="5"/>
      <c r="L2110" s="5"/>
      <c r="M2110" s="5"/>
      <c r="N2110" s="9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>
      <c r="A2111" s="6" t="s">
        <v>4185</v>
      </c>
      <c r="B2111" s="6" t="s">
        <v>4186</v>
      </c>
      <c r="C2111" s="5" t="s">
        <v>25</v>
      </c>
      <c r="D2111" s="7">
        <f>IFERROR(__xludf.DUMMYFUNCTION("GOOGLEFINANCE(""ASX:TLX"", ""price"")"),11.01)</f>
        <v>11.01</v>
      </c>
      <c r="E2111" s="8">
        <f>IFERROR(__xludf.DUMMYFUNCTION("GOOGLEFINANCE(""ASX:TLX"", ""closeyest"")"),10.97)</f>
        <v>10.97</v>
      </c>
      <c r="F2111" s="9">
        <f>IFERROR(__xludf.DUMMYFUNCTION("GOOGLEFINANCE(""ASX:TLX"", ""pe"")"),244.78)</f>
        <v>244.78</v>
      </c>
      <c r="G2111" s="9">
        <f>IFERROR(__xludf.DUMMYFUNCTION("GOOGLEFINANCE(""ASX:TLX"", ""high52"")"),31.97)</f>
        <v>31.97</v>
      </c>
      <c r="H2111" s="9">
        <f>IFERROR(__xludf.DUMMYFUNCTION("GOOGLEFINANCE(""ASX:TLX"", ""low52"")"),10.89)</f>
        <v>10.89</v>
      </c>
      <c r="I2111" s="9">
        <f>IFERROR(__xludf.DUMMYFUNCTION("GOOGLEFINANCE(""ASX:TLX"", ""marketcap"")"),3.729774101E9)</f>
        <v>3729774101</v>
      </c>
      <c r="J2111" s="5"/>
      <c r="K2111" s="5"/>
      <c r="L2111" s="5"/>
      <c r="M2111" s="5"/>
      <c r="N2111" s="9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>
      <c r="A2112" s="6" t="s">
        <v>4187</v>
      </c>
      <c r="B2112" s="6" t="s">
        <v>4188</v>
      </c>
      <c r="C2112" s="5" t="s">
        <v>18</v>
      </c>
      <c r="D2112" s="7">
        <f>IFERROR(__xludf.DUMMYFUNCTION("GOOGLEFINANCE(""ASX:TM1"", ""price"")"),0.14)</f>
        <v>0.14</v>
      </c>
      <c r="E2112" s="8">
        <f>IFERROR(__xludf.DUMMYFUNCTION("GOOGLEFINANCE(""ASX:TM1"", ""closeyest"")"),0.13)</f>
        <v>0.13</v>
      </c>
      <c r="F2112" s="5" t="str">
        <f>IFERROR(__xludf.DUMMYFUNCTION("GOOGLEFINANCE(""ASX:TM1"", ""pe"")"),"#N/A")</f>
        <v>#N/A</v>
      </c>
      <c r="G2112" s="9">
        <f>IFERROR(__xludf.DUMMYFUNCTION("GOOGLEFINANCE(""ASX:TM1"", ""high52"")"),0.2)</f>
        <v>0.2</v>
      </c>
      <c r="H2112" s="9">
        <f>IFERROR(__xludf.DUMMYFUNCTION("GOOGLEFINANCE(""ASX:TM1"", ""low52"")"),0.02)</f>
        <v>0.02</v>
      </c>
      <c r="I2112" s="9">
        <f>IFERROR(__xludf.DUMMYFUNCTION("GOOGLEFINANCE(""ASX:TM1"", ""marketcap"")"),1.06836304E8)</f>
        <v>106836304</v>
      </c>
      <c r="J2112" s="5"/>
      <c r="K2112" s="5"/>
      <c r="L2112" s="5"/>
      <c r="M2112" s="5"/>
      <c r="N2112" s="9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>
      <c r="A2113" s="6" t="s">
        <v>4189</v>
      </c>
      <c r="B2113" s="6" t="s">
        <v>4190</v>
      </c>
      <c r="C2113" s="5" t="s">
        <v>18</v>
      </c>
      <c r="D2113" s="7">
        <f>IFERROR(__xludf.DUMMYFUNCTION("GOOGLEFINANCE(""ASX:TMB"", ""price"")"),0.05)</f>
        <v>0.05</v>
      </c>
      <c r="E2113" s="8">
        <f>IFERROR(__xludf.DUMMYFUNCTION("GOOGLEFINANCE(""ASX:TMB"", ""closeyest"")"),0.05)</f>
        <v>0.05</v>
      </c>
      <c r="F2113" s="5" t="str">
        <f>IFERROR(__xludf.DUMMYFUNCTION("GOOGLEFINANCE(""ASX:TMB"", ""pe"")"),"#N/A")</f>
        <v>#N/A</v>
      </c>
      <c r="G2113" s="9">
        <f>IFERROR(__xludf.DUMMYFUNCTION("GOOGLEFINANCE(""ASX:TMB"", ""high52"")"),0.22)</f>
        <v>0.22</v>
      </c>
      <c r="H2113" s="9">
        <f>IFERROR(__xludf.DUMMYFUNCTION("GOOGLEFINANCE(""ASX:TMB"", ""low52"")"),0.02)</f>
        <v>0.02</v>
      </c>
      <c r="I2113" s="9">
        <f>IFERROR(__xludf.DUMMYFUNCTION("GOOGLEFINANCE(""ASX:TMB"", ""marketcap"")"),1.2822097E7)</f>
        <v>12822097</v>
      </c>
      <c r="J2113" s="5"/>
      <c r="K2113" s="5"/>
      <c r="L2113" s="5"/>
      <c r="M2113" s="5"/>
      <c r="N2113" s="9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>
      <c r="A2114" s="6" t="s">
        <v>4191</v>
      </c>
      <c r="B2114" s="6" t="s">
        <v>4192</v>
      </c>
      <c r="C2114" s="5" t="s">
        <v>78</v>
      </c>
      <c r="D2114" s="7">
        <f>IFERROR(__xludf.DUMMYFUNCTION("GOOGLEFINANCE(""ASX:TMK"", ""price"")"),0.11)</f>
        <v>0.11</v>
      </c>
      <c r="E2114" s="8">
        <f>IFERROR(__xludf.DUMMYFUNCTION("GOOGLEFINANCE(""ASX:TMK"", ""closeyest"")"),0.12)</f>
        <v>0.12</v>
      </c>
      <c r="F2114" s="5" t="str">
        <f>IFERROR(__xludf.DUMMYFUNCTION("GOOGLEFINANCE(""ASX:TMK"", ""pe"")"),"#N/A")</f>
        <v>#N/A</v>
      </c>
      <c r="G2114" s="9">
        <f>IFERROR(__xludf.DUMMYFUNCTION("GOOGLEFINANCE(""ASX:TMK"", ""high52"")"),0.22)</f>
        <v>0.22</v>
      </c>
      <c r="H2114" s="9">
        <f>IFERROR(__xludf.DUMMYFUNCTION("GOOGLEFINANCE(""ASX:TMK"", ""low52"")"),0.06)</f>
        <v>0.06</v>
      </c>
      <c r="I2114" s="9">
        <f>IFERROR(__xludf.DUMMYFUNCTION("GOOGLEFINANCE(""ASX:TMK"", ""marketcap"")"),2.4008786E7)</f>
        <v>24008786</v>
      </c>
      <c r="J2114" s="5"/>
      <c r="K2114" s="5"/>
      <c r="L2114" s="5"/>
      <c r="M2114" s="5"/>
      <c r="N2114" s="9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>
      <c r="A2115" s="6" t="s">
        <v>4193</v>
      </c>
      <c r="B2115" s="6" t="s">
        <v>4194</v>
      </c>
      <c r="C2115" s="5" t="s">
        <v>954</v>
      </c>
      <c r="D2115" s="7">
        <f>IFERROR(__xludf.DUMMYFUNCTION("GOOGLEFINANCE(""ASX:TML"", ""price"")"),0.04)</f>
        <v>0.04</v>
      </c>
      <c r="E2115" s="8">
        <f>IFERROR(__xludf.DUMMYFUNCTION("GOOGLEFINANCE(""ASX:TML"", ""closeyest"")"),0.04)</f>
        <v>0.04</v>
      </c>
      <c r="F2115" s="5" t="str">
        <f>IFERROR(__xludf.DUMMYFUNCTION("GOOGLEFINANCE(""ASX:TML"", ""pe"")"),"#N/A")</f>
        <v>#N/A</v>
      </c>
      <c r="G2115" s="9">
        <f>IFERROR(__xludf.DUMMYFUNCTION("GOOGLEFINANCE(""ASX:TML"", ""high52"")"),0.04)</f>
        <v>0.04</v>
      </c>
      <c r="H2115" s="9">
        <f>IFERROR(__xludf.DUMMYFUNCTION("GOOGLEFINANCE(""ASX:TML"", ""low52"")"),0.02)</f>
        <v>0.02</v>
      </c>
      <c r="I2115" s="9">
        <f>IFERROR(__xludf.DUMMYFUNCTION("GOOGLEFINANCE(""ASX:TML"", ""marketcap"")"),3914305.0)</f>
        <v>3914305</v>
      </c>
      <c r="J2115" s="5"/>
      <c r="K2115" s="5"/>
      <c r="L2115" s="5"/>
      <c r="M2115" s="5"/>
      <c r="N2115" s="9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>
      <c r="A2116" s="6" t="s">
        <v>4195</v>
      </c>
      <c r="B2116" s="6" t="s">
        <v>4196</v>
      </c>
      <c r="C2116" s="5" t="s">
        <v>18</v>
      </c>
      <c r="D2116" s="7">
        <f>IFERROR(__xludf.DUMMYFUNCTION("GOOGLEFINANCE(""ASX:TMS"", ""price"")"),0.01)</f>
        <v>0.01</v>
      </c>
      <c r="E2116" s="8">
        <f>IFERROR(__xludf.DUMMYFUNCTION("GOOGLEFINANCE(""ASX:TMS"", ""closeyest"")"),0.01)</f>
        <v>0.01</v>
      </c>
      <c r="F2116" s="5" t="str">
        <f>IFERROR(__xludf.DUMMYFUNCTION("GOOGLEFINANCE(""ASX:TMS"", ""pe"")"),"#N/A")</f>
        <v>#N/A</v>
      </c>
      <c r="G2116" s="9">
        <f>IFERROR(__xludf.DUMMYFUNCTION("GOOGLEFINANCE(""ASX:TMS"", ""high52"")"),0.02)</f>
        <v>0.02</v>
      </c>
      <c r="H2116" s="9">
        <f>IFERROR(__xludf.DUMMYFUNCTION("GOOGLEFINANCE(""ASX:TMS"", ""low52"")"),0.0)</f>
        <v>0</v>
      </c>
      <c r="I2116" s="9">
        <f>IFERROR(__xludf.DUMMYFUNCTION("GOOGLEFINANCE(""ASX:TMS"", ""marketcap"")"),5968984.0)</f>
        <v>5968984</v>
      </c>
      <c r="J2116" s="5"/>
      <c r="K2116" s="5"/>
      <c r="L2116" s="5"/>
      <c r="M2116" s="5"/>
      <c r="N2116" s="9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>
      <c r="A2117" s="6" t="s">
        <v>4197</v>
      </c>
      <c r="B2117" s="6" t="s">
        <v>4198</v>
      </c>
      <c r="C2117" s="5" t="s">
        <v>450</v>
      </c>
      <c r="D2117" s="7">
        <f>IFERROR(__xludf.DUMMYFUNCTION("GOOGLEFINANCE(""ASX:TMX"", ""price"")"),0.01)</f>
        <v>0.01</v>
      </c>
      <c r="E2117" s="8">
        <f>IFERROR(__xludf.DUMMYFUNCTION("GOOGLEFINANCE(""ASX:TMX"", ""closeyest"")"),0.0)</f>
        <v>0</v>
      </c>
      <c r="F2117" s="5" t="str">
        <f>IFERROR(__xludf.DUMMYFUNCTION("GOOGLEFINANCE(""ASX:TMX"", ""pe"")"),"#N/A")</f>
        <v>#N/A</v>
      </c>
      <c r="G2117" s="9">
        <f>IFERROR(__xludf.DUMMYFUNCTION("GOOGLEFINANCE(""ASX:TMX"", ""high52"")"),0.01)</f>
        <v>0.01</v>
      </c>
      <c r="H2117" s="9">
        <f>IFERROR(__xludf.DUMMYFUNCTION("GOOGLEFINANCE(""ASX:TMX"", ""low52"")"),0.0)</f>
        <v>0</v>
      </c>
      <c r="I2117" s="9">
        <f>IFERROR(__xludf.DUMMYFUNCTION("GOOGLEFINANCE(""ASX:TMX"", ""marketcap"")"),7415509.0)</f>
        <v>7415509</v>
      </c>
      <c r="J2117" s="12">
        <v>0.004</v>
      </c>
      <c r="K2117" s="12">
        <v>0.0045</v>
      </c>
      <c r="L2117" s="12">
        <v>0.007</v>
      </c>
      <c r="M2117" s="12">
        <v>0.002</v>
      </c>
      <c r="N2117" s="9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>
      <c r="A2118" s="6" t="s">
        <v>4199</v>
      </c>
      <c r="B2118" s="6" t="s">
        <v>4200</v>
      </c>
      <c r="C2118" s="5" t="s">
        <v>39</v>
      </c>
      <c r="D2118" s="7">
        <f>IFERROR(__xludf.DUMMYFUNCTION("GOOGLEFINANCE(""ASX:TNC"", ""price"")"),0.7)</f>
        <v>0.7</v>
      </c>
      <c r="E2118" s="8">
        <f>IFERROR(__xludf.DUMMYFUNCTION("GOOGLEFINANCE(""ASX:TNC"", ""closeyest"")"),0.64)</f>
        <v>0.64</v>
      </c>
      <c r="F2118" s="5" t="str">
        <f>IFERROR(__xludf.DUMMYFUNCTION("GOOGLEFINANCE(""ASX:TNC"", ""pe"")"),"#N/A")</f>
        <v>#N/A</v>
      </c>
      <c r="G2118" s="9">
        <f>IFERROR(__xludf.DUMMYFUNCTION("GOOGLEFINANCE(""ASX:TNC"", ""high52"")"),0.7)</f>
        <v>0.7</v>
      </c>
      <c r="H2118" s="9">
        <f>IFERROR(__xludf.DUMMYFUNCTION("GOOGLEFINANCE(""ASX:TNC"", ""low52"")"),0.14)</f>
        <v>0.14</v>
      </c>
      <c r="I2118" s="9">
        <f>IFERROR(__xludf.DUMMYFUNCTION("GOOGLEFINANCE(""ASX:TNC"", ""marketcap"")"),9.9674744E7)</f>
        <v>99674744</v>
      </c>
      <c r="J2118" s="5"/>
      <c r="K2118" s="5"/>
      <c r="L2118" s="5"/>
      <c r="M2118" s="5"/>
      <c r="N2118" s="9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>
      <c r="A2119" s="6" t="s">
        <v>4201</v>
      </c>
      <c r="B2119" s="6" t="s">
        <v>4202</v>
      </c>
      <c r="C2119" s="5" t="s">
        <v>15</v>
      </c>
      <c r="D2119" s="7">
        <f>IFERROR(__xludf.DUMMYFUNCTION("GOOGLEFINANCE(""ASX:TNE"", ""price"")"),27.2)</f>
        <v>27.2</v>
      </c>
      <c r="E2119" s="8">
        <f>IFERROR(__xludf.DUMMYFUNCTION("GOOGLEFINANCE(""ASX:TNE"", ""closeyest"")"),27.15)</f>
        <v>27.15</v>
      </c>
      <c r="F2119" s="9">
        <f>IFERROR(__xludf.DUMMYFUNCTION("GOOGLEFINANCE(""ASX:TNE"", ""pe"")"),65.18)</f>
        <v>65.18</v>
      </c>
      <c r="G2119" s="9">
        <f>IFERROR(__xludf.DUMMYFUNCTION("GOOGLEFINANCE(""ASX:TNE"", ""high52"")"),42.88)</f>
        <v>42.88</v>
      </c>
      <c r="H2119" s="9">
        <f>IFERROR(__xludf.DUMMYFUNCTION("GOOGLEFINANCE(""ASX:TNE"", ""low52"")"),23.4)</f>
        <v>23.4</v>
      </c>
      <c r="I2119" s="9">
        <f>IFERROR(__xludf.DUMMYFUNCTION("GOOGLEFINANCE(""ASX:TNE"", ""marketcap"")"),8.904423449E9)</f>
        <v>8904423449</v>
      </c>
      <c r="J2119" s="5"/>
      <c r="K2119" s="5"/>
      <c r="L2119" s="5"/>
      <c r="M2119" s="5"/>
      <c r="N2119" s="9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>
      <c r="A2120" s="6" t="s">
        <v>4203</v>
      </c>
      <c r="B2120" s="6" t="s">
        <v>4204</v>
      </c>
      <c r="C2120" s="5" t="s">
        <v>70</v>
      </c>
      <c r="D2120" s="7">
        <f>IFERROR(__xludf.DUMMYFUNCTION("GOOGLEFINANCE(""ASX:TNY"", ""price"")"),0.08)</f>
        <v>0.08</v>
      </c>
      <c r="E2120" s="8">
        <f>IFERROR(__xludf.DUMMYFUNCTION("GOOGLEFINANCE(""ASX:TNY"", ""closeyest"")"),0.08)</f>
        <v>0.08</v>
      </c>
      <c r="F2120" s="5" t="str">
        <f>IFERROR(__xludf.DUMMYFUNCTION("GOOGLEFINANCE(""ASX:TNY"", ""pe"")"),"#N/A")</f>
        <v>#N/A</v>
      </c>
      <c r="G2120" s="9">
        <f>IFERROR(__xludf.DUMMYFUNCTION("GOOGLEFINANCE(""ASX:TNY"", ""high52"")"),0.16)</f>
        <v>0.16</v>
      </c>
      <c r="H2120" s="9">
        <f>IFERROR(__xludf.DUMMYFUNCTION("GOOGLEFINANCE(""ASX:TNY"", ""low52"")"),0.05)</f>
        <v>0.05</v>
      </c>
      <c r="I2120" s="9">
        <f>IFERROR(__xludf.DUMMYFUNCTION("GOOGLEFINANCE(""ASX:TNY"", ""marketcap"")"),1.4850559E7)</f>
        <v>14850559</v>
      </c>
      <c r="J2120" s="5"/>
      <c r="K2120" s="5"/>
      <c r="L2120" s="5"/>
      <c r="M2120" s="5"/>
      <c r="N2120" s="9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>
      <c r="A2121" s="6" t="s">
        <v>4205</v>
      </c>
      <c r="B2121" s="6" t="s">
        <v>4206</v>
      </c>
      <c r="C2121" s="5" t="s">
        <v>28</v>
      </c>
      <c r="D2121" s="7">
        <f>IFERROR(__xludf.DUMMYFUNCTION("GOOGLEFINANCE(""ASX:TOE"", ""price"")"),0.48)</f>
        <v>0.48</v>
      </c>
      <c r="E2121" s="8">
        <f>IFERROR(__xludf.DUMMYFUNCTION("GOOGLEFINANCE(""ASX:TOE"", ""closeyest"")"),0.49)</f>
        <v>0.49</v>
      </c>
      <c r="F2121" s="5" t="str">
        <f>IFERROR(__xludf.DUMMYFUNCTION("GOOGLEFINANCE(""ASX:TOE"", ""pe"")"),"#N/A")</f>
        <v>#N/A</v>
      </c>
      <c r="G2121" s="9">
        <f>IFERROR(__xludf.DUMMYFUNCTION("GOOGLEFINANCE(""ASX:TOE"", ""high52"")"),0.52)</f>
        <v>0.52</v>
      </c>
      <c r="H2121" s="9">
        <f>IFERROR(__xludf.DUMMYFUNCTION("GOOGLEFINANCE(""ASX:TOE"", ""low52"")"),0.15)</f>
        <v>0.15</v>
      </c>
      <c r="I2121" s="9">
        <f>IFERROR(__xludf.DUMMYFUNCTION("GOOGLEFINANCE(""ASX:TOE"", ""marketcap"")"),5.6550839E7)</f>
        <v>56550839</v>
      </c>
      <c r="J2121" s="5"/>
      <c r="K2121" s="5"/>
      <c r="L2121" s="5"/>
      <c r="M2121" s="5"/>
      <c r="N2121" s="9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>
      <c r="A2122" s="6" t="s">
        <v>4205</v>
      </c>
      <c r="B2122" s="6" t="s">
        <v>4206</v>
      </c>
      <c r="C2122" s="5" t="s">
        <v>28</v>
      </c>
      <c r="D2122" s="7">
        <f>IFERROR(__xludf.DUMMYFUNCTION("GOOGLEFINANCE(""ASX:TOE"", ""price"")"),0.48)</f>
        <v>0.48</v>
      </c>
      <c r="E2122" s="8">
        <f>IFERROR(__xludf.DUMMYFUNCTION("GOOGLEFINANCE(""ASX:TOE"", ""closeyest"")"),0.49)</f>
        <v>0.49</v>
      </c>
      <c r="F2122" s="5" t="str">
        <f>IFERROR(__xludf.DUMMYFUNCTION("GOOGLEFINANCE(""ASX:TOE"", ""pe"")"),"#N/A")</f>
        <v>#N/A</v>
      </c>
      <c r="G2122" s="9">
        <f>IFERROR(__xludf.DUMMYFUNCTION("GOOGLEFINANCE(""ASX:TOE"", ""high52"")"),0.52)</f>
        <v>0.52</v>
      </c>
      <c r="H2122" s="9">
        <f>IFERROR(__xludf.DUMMYFUNCTION("GOOGLEFINANCE(""ASX:TOE"", ""low52"")"),0.15)</f>
        <v>0.15</v>
      </c>
      <c r="I2122" s="9">
        <f>IFERROR(__xludf.DUMMYFUNCTION("GOOGLEFINANCE(""ASX:TOE"", ""marketcap"")"),5.6550839E7)</f>
        <v>56550839</v>
      </c>
      <c r="J2122" s="5"/>
      <c r="K2122" s="5"/>
      <c r="L2122" s="5"/>
      <c r="M2122" s="5"/>
      <c r="N2122" s="9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>
      <c r="A2123" s="13" t="s">
        <v>4205</v>
      </c>
      <c r="B2123" s="13" t="s">
        <v>4206</v>
      </c>
      <c r="C2123" s="14" t="s">
        <v>28</v>
      </c>
      <c r="D2123" s="15">
        <f>IFERROR(__xludf.DUMMYFUNCTION("GOOGLEFINANCE(""ASX:TOE"", ""price"")"),0.48)</f>
        <v>0.48</v>
      </c>
      <c r="E2123" s="8">
        <f>IFERROR(__xludf.DUMMYFUNCTION("GOOGLEFINANCE(""ASX:TOE"", ""closeyest"")"),0.49)</f>
        <v>0.49</v>
      </c>
      <c r="F2123" s="5" t="str">
        <f>IFERROR(__xludf.DUMMYFUNCTION("GOOGLEFINANCE(""ASX:TOE"", ""pe"")"),"#N/A")</f>
        <v>#N/A</v>
      </c>
      <c r="G2123" s="9">
        <f>IFERROR(__xludf.DUMMYFUNCTION("GOOGLEFINANCE(""ASX:TOE"", ""high52"")"),0.52)</f>
        <v>0.52</v>
      </c>
      <c r="H2123" s="9">
        <f>IFERROR(__xludf.DUMMYFUNCTION("GOOGLEFINANCE(""ASX:TOE"", ""low52"")"),0.15)</f>
        <v>0.15</v>
      </c>
      <c r="I2123" s="9">
        <f>IFERROR(__xludf.DUMMYFUNCTION("GOOGLEFINANCE(""ASX:TOE"", ""marketcap"")"),5.6550839E7)</f>
        <v>56550839</v>
      </c>
      <c r="J2123" s="5"/>
      <c r="K2123" s="5"/>
      <c r="L2123" s="5"/>
      <c r="M2123" s="5"/>
      <c r="N2123" s="9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>
      <c r="A2124" s="6" t="s">
        <v>4207</v>
      </c>
      <c r="B2124" s="6" t="s">
        <v>4208</v>
      </c>
      <c r="C2124" s="5" t="s">
        <v>88</v>
      </c>
      <c r="D2124" s="7">
        <f>IFERROR(__xludf.DUMMYFUNCTION("GOOGLEFINANCE(""ASX:TOK"", ""price"")"),1.39)</f>
        <v>1.39</v>
      </c>
      <c r="E2124" s="8">
        <f>IFERROR(__xludf.DUMMYFUNCTION("GOOGLEFINANCE(""ASX:TOK"", ""closeyest"")"),1.41)</f>
        <v>1.41</v>
      </c>
      <c r="F2124" s="5" t="str">
        <f>IFERROR(__xludf.DUMMYFUNCTION("GOOGLEFINANCE(""ASX:TOK"", ""pe"")"),"#N/A")</f>
        <v>#N/A</v>
      </c>
      <c r="G2124" s="9">
        <f>IFERROR(__xludf.DUMMYFUNCTION("GOOGLEFINANCE(""ASX:TOK"", ""high52"")"),1.63)</f>
        <v>1.63</v>
      </c>
      <c r="H2124" s="9">
        <f>IFERROR(__xludf.DUMMYFUNCTION("GOOGLEFINANCE(""ASX:TOK"", ""low52"")"),0.7)</f>
        <v>0.7</v>
      </c>
      <c r="I2124" s="9">
        <f>IFERROR(__xludf.DUMMYFUNCTION("GOOGLEFINANCE(""ASX:TOK"", ""marketcap"")"),3.57484425E8)</f>
        <v>357484425</v>
      </c>
      <c r="J2124" s="5"/>
      <c r="K2124" s="5"/>
      <c r="L2124" s="5"/>
      <c r="M2124" s="5"/>
      <c r="N2124" s="9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>
      <c r="A2125" s="6" t="s">
        <v>4209</v>
      </c>
      <c r="B2125" s="6" t="s">
        <v>4210</v>
      </c>
      <c r="C2125" s="5" t="s">
        <v>36</v>
      </c>
      <c r="D2125" s="7">
        <f>IFERROR(__xludf.DUMMYFUNCTION("GOOGLEFINANCE(""ASX:TOLL"", ""price"")"),24.63)</f>
        <v>24.63</v>
      </c>
      <c r="E2125" s="8">
        <f>IFERROR(__xludf.DUMMYFUNCTION("GOOGLEFINANCE(""ASX:TOLL"", ""closeyest"")"),24.65)</f>
        <v>24.65</v>
      </c>
      <c r="F2125" s="5" t="str">
        <f>IFERROR(__xludf.DUMMYFUNCTION("GOOGLEFINANCE(""ASX:TOLL"", ""pe"")"),"#N/A")</f>
        <v>#N/A</v>
      </c>
      <c r="G2125" s="9">
        <f>IFERROR(__xludf.DUMMYFUNCTION("GOOGLEFINANCE(""ASX:TOLL"", ""high52"")"),25.24)</f>
        <v>25.24</v>
      </c>
      <c r="H2125" s="9">
        <f>IFERROR(__xludf.DUMMYFUNCTION("GOOGLEFINANCE(""ASX:TOLL"", ""low52"")"),24.3)</f>
        <v>24.3</v>
      </c>
      <c r="I2125" s="9" t="str">
        <f>IFERROR(__xludf.DUMMYFUNCTION("GOOGLEFINANCE(""ASX:TOLL"", ""marketcap"")"),"#N/A")</f>
        <v>#N/A</v>
      </c>
      <c r="J2125" s="5"/>
      <c r="K2125" s="5"/>
      <c r="L2125" s="5"/>
      <c r="M2125" s="5"/>
      <c r="N2125" s="9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>
      <c r="A2126" s="6" t="s">
        <v>4211</v>
      </c>
      <c r="B2126" s="6" t="s">
        <v>4212</v>
      </c>
      <c r="C2126" s="5" t="s">
        <v>39</v>
      </c>
      <c r="D2126" s="7">
        <f>IFERROR(__xludf.DUMMYFUNCTION("GOOGLEFINANCE(""ASX:TON"", ""price"")"),0.01)</f>
        <v>0.01</v>
      </c>
      <c r="E2126" s="8">
        <f>IFERROR(__xludf.DUMMYFUNCTION("GOOGLEFINANCE(""ASX:TON"", ""closeyest"")"),0.01)</f>
        <v>0.01</v>
      </c>
      <c r="F2126" s="5" t="str">
        <f>IFERROR(__xludf.DUMMYFUNCTION("GOOGLEFINANCE(""ASX:TON"", ""pe"")"),"#N/A")</f>
        <v>#N/A</v>
      </c>
      <c r="G2126" s="9">
        <f>IFERROR(__xludf.DUMMYFUNCTION("GOOGLEFINANCE(""ASX:TON"", ""high52"")"),0.01)</f>
        <v>0.01</v>
      </c>
      <c r="H2126" s="9">
        <f>IFERROR(__xludf.DUMMYFUNCTION("GOOGLEFINANCE(""ASX:TON"", ""low52"")"),0.0)</f>
        <v>0</v>
      </c>
      <c r="I2126" s="9">
        <f>IFERROR(__xludf.DUMMYFUNCTION("GOOGLEFINANCE(""ASX:TON"", ""marketcap"")"),2.2584792E7)</f>
        <v>22584792</v>
      </c>
      <c r="J2126" s="5"/>
      <c r="K2126" s="5"/>
      <c r="L2126" s="5"/>
      <c r="M2126" s="5"/>
      <c r="N2126" s="9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>
      <c r="A2127" s="6" t="s">
        <v>4213</v>
      </c>
      <c r="B2127" s="6" t="s">
        <v>4214</v>
      </c>
      <c r="C2127" s="5" t="s">
        <v>171</v>
      </c>
      <c r="D2127" s="7">
        <f>IFERROR(__xludf.DUMMYFUNCTION("GOOGLEFINANCE(""ASX:TOP"", ""price"")"),0.67)</f>
        <v>0.67</v>
      </c>
      <c r="E2127" s="8">
        <f>IFERROR(__xludf.DUMMYFUNCTION("GOOGLEFINANCE(""ASX:TOP"", ""closeyest"")"),0.67)</f>
        <v>0.67</v>
      </c>
      <c r="F2127" s="9">
        <f>IFERROR(__xludf.DUMMYFUNCTION("GOOGLEFINANCE(""ASX:TOP"", ""pe"")"),14.12)</f>
        <v>14.12</v>
      </c>
      <c r="G2127" s="9">
        <f>IFERROR(__xludf.DUMMYFUNCTION("GOOGLEFINANCE(""ASX:TOP"", ""high52"")"),0.7)</f>
        <v>0.7</v>
      </c>
      <c r="H2127" s="9">
        <f>IFERROR(__xludf.DUMMYFUNCTION("GOOGLEFINANCE(""ASX:TOP"", ""low52"")"),0.54)</f>
        <v>0.54</v>
      </c>
      <c r="I2127" s="9">
        <f>IFERROR(__xludf.DUMMYFUNCTION("GOOGLEFINANCE(""ASX:TOP"", ""marketcap"")"),1.14561158E8)</f>
        <v>114561158</v>
      </c>
      <c r="J2127" s="5"/>
      <c r="K2127" s="5"/>
      <c r="L2127" s="5"/>
      <c r="M2127" s="5"/>
      <c r="N2127" s="9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>
      <c r="A2128" s="6" t="s">
        <v>4215</v>
      </c>
      <c r="B2128" s="6" t="s">
        <v>4216</v>
      </c>
      <c r="C2128" s="5" t="s">
        <v>88</v>
      </c>
      <c r="D2128" s="7">
        <f>IFERROR(__xludf.DUMMYFUNCTION("GOOGLEFINANCE(""ASX:TOR"", ""price"")"),0.31)</f>
        <v>0.31</v>
      </c>
      <c r="E2128" s="8">
        <f>IFERROR(__xludf.DUMMYFUNCTION("GOOGLEFINANCE(""ASX:TOR"", ""closeyest"")"),0.32)</f>
        <v>0.32</v>
      </c>
      <c r="F2128" s="5" t="str">
        <f>IFERROR(__xludf.DUMMYFUNCTION("GOOGLEFINANCE(""ASX:TOR"", ""pe"")"),"#N/A")</f>
        <v>#N/A</v>
      </c>
      <c r="G2128" s="9">
        <f>IFERROR(__xludf.DUMMYFUNCTION("GOOGLEFINANCE(""ASX:TOR"", ""high52"")"),0.35)</f>
        <v>0.35</v>
      </c>
      <c r="H2128" s="9">
        <f>IFERROR(__xludf.DUMMYFUNCTION("GOOGLEFINANCE(""ASX:TOR"", ""low52"")"),0.05)</f>
        <v>0.05</v>
      </c>
      <c r="I2128" s="9">
        <f>IFERROR(__xludf.DUMMYFUNCTION("GOOGLEFINANCE(""ASX:TOR"", ""marketcap"")"),1.84710897E8)</f>
        <v>184710897</v>
      </c>
      <c r="J2128" s="5"/>
      <c r="K2128" s="5"/>
      <c r="L2128" s="5"/>
      <c r="M2128" s="5"/>
      <c r="N2128" s="9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>
      <c r="A2129" s="6" t="s">
        <v>4217</v>
      </c>
      <c r="B2129" s="6" t="s">
        <v>4218</v>
      </c>
      <c r="C2129" s="5" t="s">
        <v>1968</v>
      </c>
      <c r="D2129" s="7">
        <f>IFERROR(__xludf.DUMMYFUNCTION("GOOGLEFINANCE(""ASX:TOT"", ""price"")"),0.41)</f>
        <v>0.41</v>
      </c>
      <c r="E2129" s="8">
        <f>IFERROR(__xludf.DUMMYFUNCTION("GOOGLEFINANCE(""ASX:TOT"", ""closeyest"")"),0.41)</f>
        <v>0.41</v>
      </c>
      <c r="F2129" s="9">
        <f>IFERROR(__xludf.DUMMYFUNCTION("GOOGLEFINANCE(""ASX:TOT"", ""pe"")"),66.61)</f>
        <v>66.61</v>
      </c>
      <c r="G2129" s="9">
        <f>IFERROR(__xludf.DUMMYFUNCTION("GOOGLEFINANCE(""ASX:TOT"", ""high52"")"),0.48)</f>
        <v>0.48</v>
      </c>
      <c r="H2129" s="9">
        <f>IFERROR(__xludf.DUMMYFUNCTION("GOOGLEFINANCE(""ASX:TOT"", ""low52"")"),0.36)</f>
        <v>0.36</v>
      </c>
      <c r="I2129" s="9">
        <f>IFERROR(__xludf.DUMMYFUNCTION("GOOGLEFINANCE(""ASX:TOT"", ""marketcap"")"),8.6594143E7)</f>
        <v>86594143</v>
      </c>
      <c r="J2129" s="5"/>
      <c r="K2129" s="5"/>
      <c r="L2129" s="5"/>
      <c r="M2129" s="5"/>
      <c r="N2129" s="9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>
      <c r="A2130" s="6" t="s">
        <v>4219</v>
      </c>
      <c r="B2130" s="6" t="s">
        <v>4220</v>
      </c>
      <c r="C2130" s="5" t="s">
        <v>78</v>
      </c>
      <c r="D2130" s="7">
        <f>IFERROR(__xludf.DUMMYFUNCTION("GOOGLEFINANCE(""ASX:TOU"", ""price"")"),0.02)</f>
        <v>0.02</v>
      </c>
      <c r="E2130" s="8">
        <f>IFERROR(__xludf.DUMMYFUNCTION("GOOGLEFINANCE(""ASX:TOU"", ""closeyest"")"),0.02)</f>
        <v>0.02</v>
      </c>
      <c r="F2130" s="5" t="str">
        <f>IFERROR(__xludf.DUMMYFUNCTION("GOOGLEFINANCE(""ASX:TOU"", ""pe"")"),"#N/A")</f>
        <v>#N/A</v>
      </c>
      <c r="G2130" s="9">
        <f>IFERROR(__xludf.DUMMYFUNCTION("GOOGLEFINANCE(""ASX:TOU"", ""high52"")"),0.04)</f>
        <v>0.04</v>
      </c>
      <c r="H2130" s="9">
        <f>IFERROR(__xludf.DUMMYFUNCTION("GOOGLEFINANCE(""ASX:TOU"", ""low52"")"),0.01)</f>
        <v>0.01</v>
      </c>
      <c r="I2130" s="9">
        <f>IFERROR(__xludf.DUMMYFUNCTION("GOOGLEFINANCE(""ASX:TOU"", ""marketcap"")"),1.6556939E7)</f>
        <v>16556939</v>
      </c>
      <c r="J2130" s="5"/>
      <c r="K2130" s="5"/>
      <c r="L2130" s="5"/>
      <c r="M2130" s="5"/>
      <c r="N2130" s="9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>
      <c r="A2131" s="6" t="s">
        <v>4221</v>
      </c>
      <c r="B2131" s="6" t="s">
        <v>4222</v>
      </c>
      <c r="C2131" s="5" t="s">
        <v>262</v>
      </c>
      <c r="D2131" s="7">
        <f>IFERROR(__xludf.DUMMYFUNCTION("GOOGLEFINANCE(""ASX:TPC"", ""price"")"),6.2)</f>
        <v>6.2</v>
      </c>
      <c r="E2131" s="8">
        <f>IFERROR(__xludf.DUMMYFUNCTION("GOOGLEFINANCE(""ASX:TPC"", ""closeyest"")"),6.2)</f>
        <v>6.2</v>
      </c>
      <c r="F2131" s="9">
        <f>IFERROR(__xludf.DUMMYFUNCTION("GOOGLEFINANCE(""ASX:TPC"", ""pe"")"),231.86)</f>
        <v>231.86</v>
      </c>
      <c r="G2131" s="9">
        <f>IFERROR(__xludf.DUMMYFUNCTION("GOOGLEFINANCE(""ASX:TPC"", ""high52"")"),9.5)</f>
        <v>9.5</v>
      </c>
      <c r="H2131" s="9">
        <f>IFERROR(__xludf.DUMMYFUNCTION("GOOGLEFINANCE(""ASX:TPC"", ""low52"")"),6.0)</f>
        <v>6</v>
      </c>
      <c r="I2131" s="9">
        <f>IFERROR(__xludf.DUMMYFUNCTION("GOOGLEFINANCE(""ASX:TPC"", ""marketcap"")"),7.0325667E7)</f>
        <v>70325667</v>
      </c>
      <c r="J2131" s="5"/>
      <c r="K2131" s="5"/>
      <c r="L2131" s="5"/>
      <c r="M2131" s="5"/>
      <c r="N2131" s="9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>
      <c r="A2132" s="6" t="s">
        <v>4223</v>
      </c>
      <c r="B2132" s="6" t="s">
        <v>4224</v>
      </c>
      <c r="C2132" s="5" t="s">
        <v>67</v>
      </c>
      <c r="D2132" s="7">
        <f>IFERROR(__xludf.DUMMYFUNCTION("GOOGLEFINANCE(""ASX:TPG"", ""price"")"),3.9)</f>
        <v>3.9</v>
      </c>
      <c r="E2132" s="8">
        <f>IFERROR(__xludf.DUMMYFUNCTION("GOOGLEFINANCE(""ASX:TPG"", ""closeyest"")"),3.81)</f>
        <v>3.81</v>
      </c>
      <c r="F2132" s="5" t="str">
        <f>IFERROR(__xludf.DUMMYFUNCTION("GOOGLEFINANCE(""ASX:TPG"", ""pe"")"),"#N/A")</f>
        <v>#N/A</v>
      </c>
      <c r="G2132" s="9">
        <f>IFERROR(__xludf.DUMMYFUNCTION("GOOGLEFINANCE(""ASX:TPG"", ""high52"")"),5.85)</f>
        <v>5.85</v>
      </c>
      <c r="H2132" s="9">
        <f>IFERROR(__xludf.DUMMYFUNCTION("GOOGLEFINANCE(""ASX:TPG"", ""low52"")"),3.5)</f>
        <v>3.5</v>
      </c>
      <c r="I2132" s="9">
        <f>IFERROR(__xludf.DUMMYFUNCTION("GOOGLEFINANCE(""ASX:TPG"", ""marketcap"")"),7.596924E9)</f>
        <v>7596924000</v>
      </c>
      <c r="J2132" s="5"/>
      <c r="K2132" s="5"/>
      <c r="L2132" s="5"/>
      <c r="M2132" s="5"/>
      <c r="N2132" s="9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>
      <c r="A2133" s="6" t="s">
        <v>4223</v>
      </c>
      <c r="B2133" s="6" t="s">
        <v>4224</v>
      </c>
      <c r="C2133" s="5" t="s">
        <v>67</v>
      </c>
      <c r="D2133" s="7">
        <f>IFERROR(__xludf.DUMMYFUNCTION("GOOGLEFINANCE(""ASX:TPG"", ""price"")"),3.9)</f>
        <v>3.9</v>
      </c>
      <c r="E2133" s="8">
        <f>IFERROR(__xludf.DUMMYFUNCTION("GOOGLEFINANCE(""ASX:TPG"", ""closeyest"")"),3.81)</f>
        <v>3.81</v>
      </c>
      <c r="F2133" s="5" t="str">
        <f>IFERROR(__xludf.DUMMYFUNCTION("GOOGLEFINANCE(""ASX:TPG"", ""pe"")"),"#N/A")</f>
        <v>#N/A</v>
      </c>
      <c r="G2133" s="9">
        <f>IFERROR(__xludf.DUMMYFUNCTION("GOOGLEFINANCE(""ASX:TPG"", ""high52"")"),5.85)</f>
        <v>5.85</v>
      </c>
      <c r="H2133" s="9">
        <f>IFERROR(__xludf.DUMMYFUNCTION("GOOGLEFINANCE(""ASX:TPG"", ""low52"")"),3.5)</f>
        <v>3.5</v>
      </c>
      <c r="I2133" s="9">
        <f>IFERROR(__xludf.DUMMYFUNCTION("GOOGLEFINANCE(""ASX:TPG"", ""marketcap"")"),7.596924E9)</f>
        <v>7596924000</v>
      </c>
      <c r="J2133" s="5"/>
      <c r="K2133" s="5"/>
      <c r="L2133" s="5"/>
      <c r="M2133" s="5"/>
      <c r="N2133" s="9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>
      <c r="A2134" s="13" t="s">
        <v>4223</v>
      </c>
      <c r="B2134" s="13" t="s">
        <v>4224</v>
      </c>
      <c r="C2134" s="14" t="s">
        <v>67</v>
      </c>
      <c r="D2134" s="15">
        <f>IFERROR(__xludf.DUMMYFUNCTION("GOOGLEFINANCE(""ASX:TPG"", ""price"")"),3.9)</f>
        <v>3.9</v>
      </c>
      <c r="E2134" s="8">
        <f>IFERROR(__xludf.DUMMYFUNCTION("GOOGLEFINANCE(""ASX:TPG"", ""closeyest"")"),3.81)</f>
        <v>3.81</v>
      </c>
      <c r="F2134" s="5" t="str">
        <f>IFERROR(__xludf.DUMMYFUNCTION("GOOGLEFINANCE(""ASX:TPG"", ""pe"")"),"#N/A")</f>
        <v>#N/A</v>
      </c>
      <c r="G2134" s="9">
        <f>IFERROR(__xludf.DUMMYFUNCTION("GOOGLEFINANCE(""ASX:TPG"", ""high52"")"),5.85)</f>
        <v>5.85</v>
      </c>
      <c r="H2134" s="9">
        <f>IFERROR(__xludf.DUMMYFUNCTION("GOOGLEFINANCE(""ASX:TPG"", ""low52"")"),3.5)</f>
        <v>3.5</v>
      </c>
      <c r="I2134" s="9">
        <f>IFERROR(__xludf.DUMMYFUNCTION("GOOGLEFINANCE(""ASX:TPG"", ""marketcap"")"),7.596924E9)</f>
        <v>7596924000</v>
      </c>
      <c r="J2134" s="5"/>
      <c r="K2134" s="5"/>
      <c r="L2134" s="5"/>
      <c r="M2134" s="5"/>
      <c r="N2134" s="9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>
      <c r="A2135" s="6" t="s">
        <v>4225</v>
      </c>
      <c r="B2135" s="6" t="s">
        <v>4226</v>
      </c>
      <c r="C2135" s="5" t="s">
        <v>197</v>
      </c>
      <c r="D2135" s="7">
        <f>IFERROR(__xludf.DUMMYFUNCTION("GOOGLEFINANCE(""ASX:TPW"", ""price"")"),12.55)</f>
        <v>12.55</v>
      </c>
      <c r="E2135" s="8">
        <f>IFERROR(__xludf.DUMMYFUNCTION("GOOGLEFINANCE(""ASX:TPW"", ""closeyest"")"),12.52)</f>
        <v>12.52</v>
      </c>
      <c r="F2135" s="9">
        <f>IFERROR(__xludf.DUMMYFUNCTION("GOOGLEFINANCE(""ASX:TPW"", ""pe"")"),139.1)</f>
        <v>139.1</v>
      </c>
      <c r="G2135" s="9">
        <f>IFERROR(__xludf.DUMMYFUNCTION("GOOGLEFINANCE(""ASX:TPW"", ""high52"")"),29.06)</f>
        <v>29.06</v>
      </c>
      <c r="H2135" s="9">
        <f>IFERROR(__xludf.DUMMYFUNCTION("GOOGLEFINANCE(""ASX:TPW"", ""low52"")"),12.14)</f>
        <v>12.14</v>
      </c>
      <c r="I2135" s="9">
        <f>IFERROR(__xludf.DUMMYFUNCTION("GOOGLEFINANCE(""ASX:TPW"", ""marketcap"")"),1.509447507E9)</f>
        <v>1509447507</v>
      </c>
      <c r="J2135" s="5"/>
      <c r="K2135" s="5"/>
      <c r="L2135" s="5"/>
      <c r="M2135" s="5"/>
      <c r="N2135" s="9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>
      <c r="A2136" s="6" t="s">
        <v>4227</v>
      </c>
      <c r="B2136" s="6" t="s">
        <v>4228</v>
      </c>
      <c r="C2136" s="5" t="s">
        <v>39</v>
      </c>
      <c r="D2136" s="7">
        <f>IFERROR(__xludf.DUMMYFUNCTION("GOOGLEFINANCE(""ASX:TR2"", ""price"")"),0.33)</f>
        <v>0.33</v>
      </c>
      <c r="E2136" s="8">
        <f>IFERROR(__xludf.DUMMYFUNCTION("GOOGLEFINANCE(""ASX:TR2"", ""closeyest"")"),0.35)</f>
        <v>0.35</v>
      </c>
      <c r="F2136" s="5" t="str">
        <f>IFERROR(__xludf.DUMMYFUNCTION("GOOGLEFINANCE(""ASX:TR2"", ""pe"")"),"#N/A")</f>
        <v>#N/A</v>
      </c>
      <c r="G2136" s="9">
        <f>IFERROR(__xludf.DUMMYFUNCTION("GOOGLEFINANCE(""ASX:TR2"", ""high52"")"),1.01)</f>
        <v>1.01</v>
      </c>
      <c r="H2136" s="9">
        <f>IFERROR(__xludf.DUMMYFUNCTION("GOOGLEFINANCE(""ASX:TR2"", ""low52"")"),0.31)</f>
        <v>0.31</v>
      </c>
      <c r="I2136" s="9">
        <f>IFERROR(__xludf.DUMMYFUNCTION("GOOGLEFINANCE(""ASX:TR2"", ""marketcap"")"),1.2204756E7)</f>
        <v>12204756</v>
      </c>
      <c r="J2136" s="5"/>
      <c r="K2136" s="5"/>
      <c r="L2136" s="5"/>
      <c r="M2136" s="5"/>
      <c r="N2136" s="9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>
      <c r="A2137" s="6" t="s">
        <v>4229</v>
      </c>
      <c r="B2137" s="6" t="s">
        <v>4230</v>
      </c>
      <c r="C2137" s="5" t="s">
        <v>450</v>
      </c>
      <c r="D2137" s="7">
        <f>IFERROR(__xludf.DUMMYFUNCTION("GOOGLEFINANCE(""ASX:TR8"", ""price"")"),0.03)</f>
        <v>0.03</v>
      </c>
      <c r="E2137" s="8">
        <f>IFERROR(__xludf.DUMMYFUNCTION("GOOGLEFINANCE(""ASX:TR8"", ""closeyest"")"),0.03)</f>
        <v>0.03</v>
      </c>
      <c r="F2137" s="5" t="str">
        <f>IFERROR(__xludf.DUMMYFUNCTION("GOOGLEFINANCE(""ASX:TR8"", ""pe"")"),"#N/A")</f>
        <v>#N/A</v>
      </c>
      <c r="G2137" s="9">
        <f>IFERROR(__xludf.DUMMYFUNCTION("GOOGLEFINANCE(""ASX:TR8"", ""high52"")"),0.03)</f>
        <v>0.03</v>
      </c>
      <c r="H2137" s="9">
        <f>IFERROR(__xludf.DUMMYFUNCTION("GOOGLEFINANCE(""ASX:TR8"", ""low52"")"),0.02)</f>
        <v>0.02</v>
      </c>
      <c r="I2137" s="9">
        <f>IFERROR(__xludf.DUMMYFUNCTION("GOOGLEFINANCE(""ASX:TR8"", ""marketcap"")"),9788318.0)</f>
        <v>9788318</v>
      </c>
      <c r="J2137" s="5"/>
      <c r="K2137" s="5"/>
      <c r="L2137" s="5"/>
      <c r="M2137" s="5"/>
      <c r="N2137" s="9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>
      <c r="A2138" s="6" t="s">
        <v>4231</v>
      </c>
      <c r="B2138" s="6" t="s">
        <v>4232</v>
      </c>
      <c r="C2138" s="5" t="s">
        <v>435</v>
      </c>
      <c r="D2138" s="7">
        <f>IFERROR(__xludf.DUMMYFUNCTION("GOOGLEFINANCE(""ASX:TRA"", ""price"")"),7.08)</f>
        <v>7.08</v>
      </c>
      <c r="E2138" s="8">
        <f>IFERROR(__xludf.DUMMYFUNCTION("GOOGLEFINANCE(""ASX:TRA"", ""closeyest"")"),7.08)</f>
        <v>7.08</v>
      </c>
      <c r="F2138" s="5" t="str">
        <f>IFERROR(__xludf.DUMMYFUNCTION("GOOGLEFINANCE(""ASX:TRA"", ""pe"")"),"#N/A")</f>
        <v>#N/A</v>
      </c>
      <c r="G2138" s="9">
        <f>IFERROR(__xludf.DUMMYFUNCTION("GOOGLEFINANCE(""ASX:TRA"", ""high52"")"),7.09)</f>
        <v>7.09</v>
      </c>
      <c r="H2138" s="9">
        <f>IFERROR(__xludf.DUMMYFUNCTION("GOOGLEFINANCE(""ASX:TRA"", ""low52"")"),4.73)</f>
        <v>4.73</v>
      </c>
      <c r="I2138" s="9">
        <f>IFERROR(__xludf.DUMMYFUNCTION("GOOGLEFINANCE(""ASX:TRA"", ""marketcap"")"),7.558386E8)</f>
        <v>755838600</v>
      </c>
      <c r="J2138" s="5"/>
      <c r="K2138" s="5"/>
      <c r="L2138" s="5"/>
      <c r="M2138" s="5"/>
      <c r="N2138" s="9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>
      <c r="A2139" s="6" t="s">
        <v>4233</v>
      </c>
      <c r="B2139" s="6" t="s">
        <v>4234</v>
      </c>
      <c r="C2139" s="5" t="s">
        <v>88</v>
      </c>
      <c r="D2139" s="7">
        <f>IFERROR(__xludf.DUMMYFUNCTION("GOOGLEFINANCE(""ASX:TRE"", ""price"")"),0.4)</f>
        <v>0.4</v>
      </c>
      <c r="E2139" s="8">
        <f>IFERROR(__xludf.DUMMYFUNCTION("GOOGLEFINANCE(""ASX:TRE"", ""closeyest"")"),0.41)</f>
        <v>0.41</v>
      </c>
      <c r="F2139" s="5" t="str">
        <f>IFERROR(__xludf.DUMMYFUNCTION("GOOGLEFINANCE(""ASX:TRE"", ""pe"")"),"#N/A")</f>
        <v>#N/A</v>
      </c>
      <c r="G2139" s="9">
        <f>IFERROR(__xludf.DUMMYFUNCTION("GOOGLEFINANCE(""ASX:TRE"", ""high52"")"),0.54)</f>
        <v>0.54</v>
      </c>
      <c r="H2139" s="9">
        <f>IFERROR(__xludf.DUMMYFUNCTION("GOOGLEFINANCE(""ASX:TRE"", ""low52"")"),0.12)</f>
        <v>0.12</v>
      </c>
      <c r="I2139" s="9">
        <f>IFERROR(__xludf.DUMMYFUNCTION("GOOGLEFINANCE(""ASX:TRE"", ""marketcap"")"),2.50776066E8)</f>
        <v>250776066</v>
      </c>
      <c r="J2139" s="5"/>
      <c r="K2139" s="5"/>
      <c r="L2139" s="5"/>
      <c r="M2139" s="5"/>
      <c r="N2139" s="9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>
      <c r="A2140" s="6" t="s">
        <v>4235</v>
      </c>
      <c r="B2140" s="6" t="s">
        <v>4236</v>
      </c>
      <c r="C2140" s="5" t="s">
        <v>174</v>
      </c>
      <c r="D2140" s="7">
        <f>IFERROR(__xludf.DUMMYFUNCTION("GOOGLEFINANCE(""ASX:TRI"", ""price"")"),0.02)</f>
        <v>0.02</v>
      </c>
      <c r="E2140" s="8">
        <f>IFERROR(__xludf.DUMMYFUNCTION("GOOGLEFINANCE(""ASX:TRI"", ""closeyest"")"),0.02)</f>
        <v>0.02</v>
      </c>
      <c r="F2140" s="5" t="str">
        <f>IFERROR(__xludf.DUMMYFUNCTION("GOOGLEFINANCE(""ASX:TRI"", ""pe"")"),"#N/A")</f>
        <v>#N/A</v>
      </c>
      <c r="G2140" s="9">
        <f>IFERROR(__xludf.DUMMYFUNCTION("GOOGLEFINANCE(""ASX:TRI"", ""high52"")"),0.04)</f>
        <v>0.04</v>
      </c>
      <c r="H2140" s="9">
        <f>IFERROR(__xludf.DUMMYFUNCTION("GOOGLEFINANCE(""ASX:TRI"", ""low52"")"),0.01)</f>
        <v>0.01</v>
      </c>
      <c r="I2140" s="9">
        <f>IFERROR(__xludf.DUMMYFUNCTION("GOOGLEFINANCE(""ASX:TRI"", ""marketcap"")"),2.3073859E7)</f>
        <v>23073859</v>
      </c>
      <c r="J2140" s="5"/>
      <c r="K2140" s="5"/>
      <c r="L2140" s="5"/>
      <c r="M2140" s="5"/>
      <c r="N2140" s="9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>
      <c r="A2141" s="6" t="s">
        <v>4237</v>
      </c>
      <c r="B2141" s="6" t="s">
        <v>4238</v>
      </c>
      <c r="C2141" s="5" t="s">
        <v>4239</v>
      </c>
      <c r="D2141" s="7">
        <f>IFERROR(__xludf.DUMMYFUNCTION("GOOGLEFINANCE(""ASX:TRJ"", ""price"")"),0.68)</f>
        <v>0.68</v>
      </c>
      <c r="E2141" s="8">
        <f>IFERROR(__xludf.DUMMYFUNCTION("GOOGLEFINANCE(""ASX:TRJ"", ""closeyest"")"),0.68)</f>
        <v>0.68</v>
      </c>
      <c r="F2141" s="5" t="str">
        <f>IFERROR(__xludf.DUMMYFUNCTION("GOOGLEFINANCE(""ASX:TRJ"", ""pe"")"),"#N/A")</f>
        <v>#N/A</v>
      </c>
      <c r="G2141" s="9">
        <f>IFERROR(__xludf.DUMMYFUNCTION("GOOGLEFINANCE(""ASX:TRJ"", ""high52"")"),1.14)</f>
        <v>1.14</v>
      </c>
      <c r="H2141" s="9">
        <f>IFERROR(__xludf.DUMMYFUNCTION("GOOGLEFINANCE(""ASX:TRJ"", ""low52"")"),0.63)</f>
        <v>0.63</v>
      </c>
      <c r="I2141" s="9">
        <f>IFERROR(__xludf.DUMMYFUNCTION("GOOGLEFINANCE(""ASX:TRJ"", ""marketcap"")"),1.03727201E8)</f>
        <v>103727201</v>
      </c>
      <c r="J2141" s="5"/>
      <c r="K2141" s="5"/>
      <c r="L2141" s="5"/>
      <c r="M2141" s="5"/>
      <c r="N2141" s="9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>
      <c r="A2142" s="6" t="s">
        <v>4240</v>
      </c>
      <c r="B2142" s="6" t="s">
        <v>4241</v>
      </c>
      <c r="C2142" s="5" t="s">
        <v>18</v>
      </c>
      <c r="D2142" s="7">
        <f>IFERROR(__xludf.DUMMYFUNCTION("GOOGLEFINANCE(""ASX:TRM"", ""price"")"),0.08)</f>
        <v>0.08</v>
      </c>
      <c r="E2142" s="8">
        <f>IFERROR(__xludf.DUMMYFUNCTION("GOOGLEFINANCE(""ASX:TRM"", ""closeyest"")"),0.08)</f>
        <v>0.08</v>
      </c>
      <c r="F2142" s="5" t="str">
        <f>IFERROR(__xludf.DUMMYFUNCTION("GOOGLEFINANCE(""ASX:TRM"", ""pe"")"),"#N/A")</f>
        <v>#N/A</v>
      </c>
      <c r="G2142" s="9">
        <f>IFERROR(__xludf.DUMMYFUNCTION("GOOGLEFINANCE(""ASX:TRM"", ""high52"")"),0.09)</f>
        <v>0.09</v>
      </c>
      <c r="H2142" s="9">
        <f>IFERROR(__xludf.DUMMYFUNCTION("GOOGLEFINANCE(""ASX:TRM"", ""low52"")"),0.04)</f>
        <v>0.04</v>
      </c>
      <c r="I2142" s="9">
        <f>IFERROR(__xludf.DUMMYFUNCTION("GOOGLEFINANCE(""ASX:TRM"", ""marketcap"")"),1.602664E7)</f>
        <v>16026640</v>
      </c>
      <c r="J2142" s="5"/>
      <c r="K2142" s="5"/>
      <c r="L2142" s="5"/>
      <c r="M2142" s="5"/>
      <c r="N2142" s="9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>
      <c r="A2143" s="6" t="s">
        <v>4242</v>
      </c>
      <c r="B2143" s="6" t="s">
        <v>4243</v>
      </c>
      <c r="C2143" s="5" t="s">
        <v>174</v>
      </c>
      <c r="D2143" s="7">
        <f>IFERROR(__xludf.DUMMYFUNCTION("GOOGLEFINANCE(""ASX:TRP"", ""price"")"),0.38)</f>
        <v>0.38</v>
      </c>
      <c r="E2143" s="8">
        <f>IFERROR(__xludf.DUMMYFUNCTION("GOOGLEFINANCE(""ASX:TRP"", ""closeyest"")"),0.39)</f>
        <v>0.39</v>
      </c>
      <c r="F2143" s="5" t="str">
        <f>IFERROR(__xludf.DUMMYFUNCTION("GOOGLEFINANCE(""ASX:TRP"", ""pe"")"),"#N/A")</f>
        <v>#N/A</v>
      </c>
      <c r="G2143" s="9">
        <f>IFERROR(__xludf.DUMMYFUNCTION("GOOGLEFINANCE(""ASX:TRP"", ""high52"")"),0.48)</f>
        <v>0.48</v>
      </c>
      <c r="H2143" s="9">
        <f>IFERROR(__xludf.DUMMYFUNCTION("GOOGLEFINANCE(""ASX:TRP"", ""low52"")"),0.17)</f>
        <v>0.17</v>
      </c>
      <c r="I2143" s="9">
        <f>IFERROR(__xludf.DUMMYFUNCTION("GOOGLEFINANCE(""ASX:TRP"", ""marketcap"")"),2.2976638E7)</f>
        <v>22976638</v>
      </c>
      <c r="J2143" s="5"/>
      <c r="K2143" s="5"/>
      <c r="L2143" s="5"/>
      <c r="M2143" s="5"/>
      <c r="N2143" s="9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>
      <c r="A2144" s="6" t="s">
        <v>4244</v>
      </c>
      <c r="B2144" s="6" t="s">
        <v>4245</v>
      </c>
      <c r="C2144" s="5" t="s">
        <v>4246</v>
      </c>
      <c r="D2144" s="7">
        <f>IFERROR(__xludf.DUMMYFUNCTION("GOOGLEFINANCE(""ASX:TRU"", ""price"")"),0.01)</f>
        <v>0.01</v>
      </c>
      <c r="E2144" s="8">
        <f>IFERROR(__xludf.DUMMYFUNCTION("GOOGLEFINANCE(""ASX:TRU"", ""closeyest"")"),0.02)</f>
        <v>0.02</v>
      </c>
      <c r="F2144" s="5" t="str">
        <f>IFERROR(__xludf.DUMMYFUNCTION("GOOGLEFINANCE(""ASX:TRU"", ""pe"")"),"#N/A")</f>
        <v>#N/A</v>
      </c>
      <c r="G2144" s="9">
        <f>IFERROR(__xludf.DUMMYFUNCTION("GOOGLEFINANCE(""ASX:TRU"", ""high52"")"),0.03)</f>
        <v>0.03</v>
      </c>
      <c r="H2144" s="9">
        <f>IFERROR(__xludf.DUMMYFUNCTION("GOOGLEFINANCE(""ASX:TRU"", ""low52"")"),0.01)</f>
        <v>0.01</v>
      </c>
      <c r="I2144" s="9">
        <f>IFERROR(__xludf.DUMMYFUNCTION("GOOGLEFINANCE(""ASX:TRU"", ""marketcap"")"),1.350077E7)</f>
        <v>13500770</v>
      </c>
      <c r="J2144" s="5"/>
      <c r="K2144" s="5"/>
      <c r="L2144" s="5"/>
      <c r="M2144" s="5"/>
      <c r="N2144" s="9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>
      <c r="A2145" s="6" t="s">
        <v>4247</v>
      </c>
      <c r="B2145" s="6" t="s">
        <v>4248</v>
      </c>
      <c r="C2145" s="5" t="s">
        <v>18</v>
      </c>
      <c r="D2145" s="7">
        <f>IFERROR(__xludf.DUMMYFUNCTION("GOOGLEFINANCE(""ASX:TSK"", ""price"")"),0.12)</f>
        <v>0.12</v>
      </c>
      <c r="E2145" s="8">
        <f>IFERROR(__xludf.DUMMYFUNCTION("GOOGLEFINANCE(""ASX:TSK"", ""closeyest"")"),0.12)</f>
        <v>0.12</v>
      </c>
      <c r="F2145" s="5" t="str">
        <f>IFERROR(__xludf.DUMMYFUNCTION("GOOGLEFINANCE(""ASX:TSK"", ""pe"")"),"#N/A")</f>
        <v>#N/A</v>
      </c>
      <c r="G2145" s="9">
        <f>IFERROR(__xludf.DUMMYFUNCTION("GOOGLEFINANCE(""ASX:TSK"", ""high52"")"),0.15)</f>
        <v>0.15</v>
      </c>
      <c r="H2145" s="9">
        <f>IFERROR(__xludf.DUMMYFUNCTION("GOOGLEFINANCE(""ASX:TSK"", ""low52"")"),0.1)</f>
        <v>0.1</v>
      </c>
      <c r="I2145" s="9">
        <f>IFERROR(__xludf.DUMMYFUNCTION("GOOGLEFINANCE(""ASX:TSK"", ""marketcap"")"),1.2277078E7)</f>
        <v>12277078</v>
      </c>
      <c r="J2145" s="5"/>
      <c r="K2145" s="5"/>
      <c r="L2145" s="5"/>
      <c r="M2145" s="5"/>
      <c r="N2145" s="9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>
      <c r="A2146" s="6" t="s">
        <v>4249</v>
      </c>
      <c r="B2146" s="6" t="s">
        <v>4250</v>
      </c>
      <c r="C2146" s="5" t="s">
        <v>961</v>
      </c>
      <c r="D2146" s="7">
        <f>IFERROR(__xludf.DUMMYFUNCTION("GOOGLEFINANCE(""ASX:TSL"", ""price"")"),0.01)</f>
        <v>0.01</v>
      </c>
      <c r="E2146" s="8">
        <f>IFERROR(__xludf.DUMMYFUNCTION("GOOGLEFINANCE(""ASX:TSL"", ""closeyest"")"),0.01)</f>
        <v>0.01</v>
      </c>
      <c r="F2146" s="5" t="str">
        <f>IFERROR(__xludf.DUMMYFUNCTION("GOOGLEFINANCE(""ASX:TSL"", ""pe"")"),"#N/A")</f>
        <v>#N/A</v>
      </c>
      <c r="G2146" s="9">
        <f>IFERROR(__xludf.DUMMYFUNCTION("GOOGLEFINANCE(""ASX:TSL"", ""high52"")"),0.02)</f>
        <v>0.02</v>
      </c>
      <c r="H2146" s="9">
        <f>IFERROR(__xludf.DUMMYFUNCTION("GOOGLEFINANCE(""ASX:TSL"", ""low52"")"),0.0)</f>
        <v>0</v>
      </c>
      <c r="I2146" s="9">
        <f>IFERROR(__xludf.DUMMYFUNCTION("GOOGLEFINANCE(""ASX:TSL"", ""marketcap"")"),1.1254784E7)</f>
        <v>11254784</v>
      </c>
      <c r="J2146" s="5"/>
      <c r="K2146" s="5"/>
      <c r="L2146" s="5"/>
      <c r="M2146" s="5"/>
      <c r="N2146" s="9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>
      <c r="A2147" s="6" t="s">
        <v>4251</v>
      </c>
      <c r="B2147" s="6" t="s">
        <v>4252</v>
      </c>
      <c r="C2147" s="5" t="s">
        <v>88</v>
      </c>
      <c r="D2147" s="7">
        <f>IFERROR(__xludf.DUMMYFUNCTION("GOOGLEFINANCE(""ASX:TSO"", ""price"")"),1.3)</f>
        <v>1.3</v>
      </c>
      <c r="E2147" s="8">
        <f>IFERROR(__xludf.DUMMYFUNCTION("GOOGLEFINANCE(""ASX:TSO"", ""closeyest"")"),1.26)</f>
        <v>1.26</v>
      </c>
      <c r="F2147" s="5" t="str">
        <f>IFERROR(__xludf.DUMMYFUNCTION("GOOGLEFINANCE(""ASX:TSO"", ""pe"")"),"#N/A")</f>
        <v>#N/A</v>
      </c>
      <c r="G2147" s="9">
        <f>IFERROR(__xludf.DUMMYFUNCTION("GOOGLEFINANCE(""ASX:TSO"", ""high52"")"),1.38)</f>
        <v>1.38</v>
      </c>
      <c r="H2147" s="9">
        <f>IFERROR(__xludf.DUMMYFUNCTION("GOOGLEFINANCE(""ASX:TSO"", ""low52"")"),0.3)</f>
        <v>0.3</v>
      </c>
      <c r="I2147" s="9">
        <f>IFERROR(__xludf.DUMMYFUNCTION("GOOGLEFINANCE(""ASX:TSO"", ""marketcap"")"),2.30280431E8)</f>
        <v>230280431</v>
      </c>
      <c r="J2147" s="5"/>
      <c r="K2147" s="5"/>
      <c r="L2147" s="5"/>
      <c r="M2147" s="5"/>
      <c r="N2147" s="9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>
      <c r="A2148" s="6" t="s">
        <v>4253</v>
      </c>
      <c r="B2148" s="6" t="s">
        <v>4254</v>
      </c>
      <c r="C2148" s="5" t="s">
        <v>88</v>
      </c>
      <c r="D2148" s="7">
        <f>IFERROR(__xludf.DUMMYFUNCTION("GOOGLEFINANCE(""ASX:TTM"", ""price"")"),0.88)</f>
        <v>0.88</v>
      </c>
      <c r="E2148" s="8">
        <f>IFERROR(__xludf.DUMMYFUNCTION("GOOGLEFINANCE(""ASX:TTM"", ""closeyest"")"),0.89)</f>
        <v>0.89</v>
      </c>
      <c r="F2148" s="5" t="str">
        <f>IFERROR(__xludf.DUMMYFUNCTION("GOOGLEFINANCE(""ASX:TTM"", ""pe"")"),"#N/A")</f>
        <v>#N/A</v>
      </c>
      <c r="G2148" s="9">
        <f>IFERROR(__xludf.DUMMYFUNCTION("GOOGLEFINANCE(""ASX:TTM"", ""high52"")"),0.92)</f>
        <v>0.92</v>
      </c>
      <c r="H2148" s="9">
        <f>IFERROR(__xludf.DUMMYFUNCTION("GOOGLEFINANCE(""ASX:TTM"", ""low52"")"),0.29)</f>
        <v>0.29</v>
      </c>
      <c r="I2148" s="9">
        <f>IFERROR(__xludf.DUMMYFUNCTION("GOOGLEFINANCE(""ASX:TTM"", ""marketcap"")"),2.52138302E8)</f>
        <v>252138302</v>
      </c>
      <c r="J2148" s="5"/>
      <c r="K2148" s="5"/>
      <c r="L2148" s="5"/>
      <c r="M2148" s="5"/>
      <c r="N2148" s="9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>
      <c r="A2149" s="6" t="s">
        <v>4255</v>
      </c>
      <c r="B2149" s="6" t="s">
        <v>4256</v>
      </c>
      <c r="C2149" s="5" t="s">
        <v>52</v>
      </c>
      <c r="D2149" s="7">
        <f>IFERROR(__xludf.DUMMYFUNCTION("GOOGLEFINANCE(""ASX:TTT"", ""price"")"),0.24)</f>
        <v>0.24</v>
      </c>
      <c r="E2149" s="8">
        <f>IFERROR(__xludf.DUMMYFUNCTION("GOOGLEFINANCE(""ASX:TTT"", ""closeyest"")"),0.23)</f>
        <v>0.23</v>
      </c>
      <c r="F2149" s="5" t="str">
        <f>IFERROR(__xludf.DUMMYFUNCTION("GOOGLEFINANCE(""ASX:TTT"", ""pe"")"),"#N/A")</f>
        <v>#N/A</v>
      </c>
      <c r="G2149" s="9">
        <f>IFERROR(__xludf.DUMMYFUNCTION("GOOGLEFINANCE(""ASX:TTT"", ""high52"")"),0.36)</f>
        <v>0.36</v>
      </c>
      <c r="H2149" s="9">
        <f>IFERROR(__xludf.DUMMYFUNCTION("GOOGLEFINANCE(""ASX:TTT"", ""low52"")"),0.17)</f>
        <v>0.17</v>
      </c>
      <c r="I2149" s="9">
        <f>IFERROR(__xludf.DUMMYFUNCTION("GOOGLEFINANCE(""ASX:TTT"", ""marketcap"")"),3.83855991E8)</f>
        <v>383855991</v>
      </c>
      <c r="J2149" s="5"/>
      <c r="K2149" s="5"/>
      <c r="L2149" s="5"/>
      <c r="M2149" s="5"/>
      <c r="N2149" s="9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>
      <c r="A2150" s="6" t="s">
        <v>4257</v>
      </c>
      <c r="B2150" s="6" t="s">
        <v>4258</v>
      </c>
      <c r="C2150" s="5" t="s">
        <v>25</v>
      </c>
      <c r="D2150" s="7">
        <f>IFERROR(__xludf.DUMMYFUNCTION("GOOGLEFINANCE(""ASX:TTX"", ""price"")"),3.3)</f>
        <v>3.3</v>
      </c>
      <c r="E2150" s="8">
        <f>IFERROR(__xludf.DUMMYFUNCTION("GOOGLEFINANCE(""ASX:TTX"", ""closeyest"")"),3.32)</f>
        <v>3.32</v>
      </c>
      <c r="F2150" s="5" t="str">
        <f>IFERROR(__xludf.DUMMYFUNCTION("GOOGLEFINANCE(""ASX:TTX"", ""pe"")"),"#N/A")</f>
        <v>#N/A</v>
      </c>
      <c r="G2150" s="9">
        <f>IFERROR(__xludf.DUMMYFUNCTION("GOOGLEFINANCE(""ASX:TTX"", ""high52"")"),5.6)</f>
        <v>5.6</v>
      </c>
      <c r="H2150" s="9">
        <f>IFERROR(__xludf.DUMMYFUNCTION("GOOGLEFINANCE(""ASX:TTX"", ""low52"")"),2.88)</f>
        <v>2.88</v>
      </c>
      <c r="I2150" s="9">
        <f>IFERROR(__xludf.DUMMYFUNCTION("GOOGLEFINANCE(""ASX:TTX"", ""marketcap"")"),8.8248334E7)</f>
        <v>88248334</v>
      </c>
      <c r="J2150" s="5"/>
      <c r="K2150" s="5"/>
      <c r="L2150" s="5"/>
      <c r="M2150" s="5"/>
      <c r="N2150" s="9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>
      <c r="A2151" s="6" t="s">
        <v>4259</v>
      </c>
      <c r="B2151" s="6" t="s">
        <v>4260</v>
      </c>
      <c r="C2151" s="5" t="s">
        <v>70</v>
      </c>
      <c r="D2151" s="7">
        <f>IFERROR(__xludf.DUMMYFUNCTION("GOOGLEFINANCE(""ASX:TUA"", ""price"")"),6.92)</f>
        <v>6.92</v>
      </c>
      <c r="E2151" s="8">
        <f>IFERROR(__xludf.DUMMYFUNCTION("GOOGLEFINANCE(""ASX:TUA"", ""closeyest"")"),6.84)</f>
        <v>6.84</v>
      </c>
      <c r="F2151" s="9">
        <f>IFERROR(__xludf.DUMMYFUNCTION("GOOGLEFINANCE(""ASX:TUA"", ""pe"")"),406.58)</f>
        <v>406.58</v>
      </c>
      <c r="G2151" s="9">
        <f>IFERROR(__xludf.DUMMYFUNCTION("GOOGLEFINANCE(""ASX:TUA"", ""high52"")"),8.38)</f>
        <v>8.38</v>
      </c>
      <c r="H2151" s="9">
        <f>IFERROR(__xludf.DUMMYFUNCTION("GOOGLEFINANCE(""ASX:TUA"", ""low52"")"),4.72)</f>
        <v>4.72</v>
      </c>
      <c r="I2151" s="9">
        <f>IFERROR(__xludf.DUMMYFUNCTION("GOOGLEFINANCE(""ASX:TUA"", ""marketcap"")"),3.794901745E9)</f>
        <v>3794901745</v>
      </c>
      <c r="J2151" s="5"/>
      <c r="K2151" s="5"/>
      <c r="L2151" s="5"/>
      <c r="M2151" s="5"/>
      <c r="N2151" s="9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>
      <c r="A2152" s="6" t="s">
        <v>4261</v>
      </c>
      <c r="B2152" s="6" t="s">
        <v>4262</v>
      </c>
      <c r="C2152" s="5" t="s">
        <v>171</v>
      </c>
      <c r="D2152" s="7">
        <f>IFERROR(__xludf.DUMMYFUNCTION("GOOGLEFINANCE(""ASX:TVL"", ""price"")"),0.07)</f>
        <v>0.07</v>
      </c>
      <c r="E2152" s="8">
        <f>IFERROR(__xludf.DUMMYFUNCTION("GOOGLEFINANCE(""ASX:TVL"", ""closeyest"")"),0.07)</f>
        <v>0.07</v>
      </c>
      <c r="F2152" s="5" t="str">
        <f>IFERROR(__xludf.DUMMYFUNCTION("GOOGLEFINANCE(""ASX:TVL"", ""pe"")"),"#N/A")</f>
        <v>#N/A</v>
      </c>
      <c r="G2152" s="9">
        <f>IFERROR(__xludf.DUMMYFUNCTION("GOOGLEFINANCE(""ASX:TVL"", ""high52"")"),0.09)</f>
        <v>0.09</v>
      </c>
      <c r="H2152" s="9">
        <f>IFERROR(__xludf.DUMMYFUNCTION("GOOGLEFINANCE(""ASX:TVL"", ""low52"")"),0.06)</f>
        <v>0.06</v>
      </c>
      <c r="I2152" s="9">
        <f>IFERROR(__xludf.DUMMYFUNCTION("GOOGLEFINANCE(""ASX:TVL"", ""marketcap"")"),4.67934E7)</f>
        <v>46793400</v>
      </c>
      <c r="J2152" s="5"/>
      <c r="K2152" s="5"/>
      <c r="L2152" s="5"/>
      <c r="M2152" s="5"/>
      <c r="N2152" s="9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>
      <c r="A2153" s="6" t="s">
        <v>4263</v>
      </c>
      <c r="B2153" s="6" t="s">
        <v>4264</v>
      </c>
      <c r="C2153" s="5" t="s">
        <v>18</v>
      </c>
      <c r="D2153" s="7">
        <f>IFERROR(__xludf.DUMMYFUNCTION("GOOGLEFINANCE(""ASX:TVN"", ""price"")"),0.28)</f>
        <v>0.28</v>
      </c>
      <c r="E2153" s="8">
        <f>IFERROR(__xludf.DUMMYFUNCTION("GOOGLEFINANCE(""ASX:TVN"", ""closeyest"")"),0.28)</f>
        <v>0.28</v>
      </c>
      <c r="F2153" s="5" t="str">
        <f>IFERROR(__xludf.DUMMYFUNCTION("GOOGLEFINANCE(""ASX:TVN"", ""pe"")"),"#N/A")</f>
        <v>#N/A</v>
      </c>
      <c r="G2153" s="9">
        <f>IFERROR(__xludf.DUMMYFUNCTION("GOOGLEFINANCE(""ASX:TVN"", ""high52"")"),0.29)</f>
        <v>0.29</v>
      </c>
      <c r="H2153" s="9">
        <f>IFERROR(__xludf.DUMMYFUNCTION("GOOGLEFINANCE(""ASX:TVN"", ""low52"")"),0.08)</f>
        <v>0.08</v>
      </c>
      <c r="I2153" s="9">
        <f>IFERROR(__xludf.DUMMYFUNCTION("GOOGLEFINANCE(""ASX:TVN"", ""marketcap"")"),6.29834602E8)</f>
        <v>629834602</v>
      </c>
      <c r="J2153" s="5"/>
      <c r="K2153" s="5"/>
      <c r="L2153" s="5"/>
      <c r="M2153" s="5"/>
      <c r="N2153" s="9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>
      <c r="A2154" s="6" t="s">
        <v>4265</v>
      </c>
      <c r="B2154" s="6" t="s">
        <v>4266</v>
      </c>
      <c r="C2154" s="5" t="s">
        <v>1764</v>
      </c>
      <c r="D2154" s="7">
        <f>IFERROR(__xludf.DUMMYFUNCTION("GOOGLEFINANCE(""ASX:TWD"", ""price"")"),2.86)</f>
        <v>2.86</v>
      </c>
      <c r="E2154" s="8">
        <f>IFERROR(__xludf.DUMMYFUNCTION("GOOGLEFINANCE(""ASX:TWD"", ""closeyest"")"),2.8)</f>
        <v>2.8</v>
      </c>
      <c r="F2154" s="9">
        <f>IFERROR(__xludf.DUMMYFUNCTION("GOOGLEFINANCE(""ASX:TWD"", ""pe"")"),18.67)</f>
        <v>18.67</v>
      </c>
      <c r="G2154" s="9">
        <f>IFERROR(__xludf.DUMMYFUNCTION("GOOGLEFINANCE(""ASX:TWD"", ""high52"")"),3.32)</f>
        <v>3.32</v>
      </c>
      <c r="H2154" s="9">
        <f>IFERROR(__xludf.DUMMYFUNCTION("GOOGLEFINANCE(""ASX:TWD"", ""low52"")"),2.5)</f>
        <v>2.5</v>
      </c>
      <c r="I2154" s="9">
        <f>IFERROR(__xludf.DUMMYFUNCTION("GOOGLEFINANCE(""ASX:TWD"", ""marketcap"")"),1.13423706E8)</f>
        <v>113423706</v>
      </c>
      <c r="J2154" s="5"/>
      <c r="K2154" s="5"/>
      <c r="L2154" s="5"/>
      <c r="M2154" s="5"/>
      <c r="N2154" s="9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>
      <c r="A2155" s="6" t="s">
        <v>4267</v>
      </c>
      <c r="B2155" s="6" t="s">
        <v>4268</v>
      </c>
      <c r="C2155" s="5" t="s">
        <v>603</v>
      </c>
      <c r="D2155" s="7">
        <f>IFERROR(__xludf.DUMMYFUNCTION("GOOGLEFINANCE(""ASX:TWE"", ""price"")"),5.17)</f>
        <v>5.17</v>
      </c>
      <c r="E2155" s="8">
        <f>IFERROR(__xludf.DUMMYFUNCTION("GOOGLEFINANCE(""ASX:TWE"", ""closeyest"")"),5.17)</f>
        <v>5.17</v>
      </c>
      <c r="F2155" s="9">
        <f>IFERROR(__xludf.DUMMYFUNCTION("GOOGLEFINANCE(""ASX:TWE"", ""pe"")"),9.65)</f>
        <v>9.65</v>
      </c>
      <c r="G2155" s="9">
        <f>IFERROR(__xludf.DUMMYFUNCTION("GOOGLEFINANCE(""ASX:TWE"", ""high52"")"),11.27)</f>
        <v>11.27</v>
      </c>
      <c r="H2155" s="9">
        <f>IFERROR(__xludf.DUMMYFUNCTION("GOOGLEFINANCE(""ASX:TWE"", ""low52"")"),4.57)</f>
        <v>4.57</v>
      </c>
      <c r="I2155" s="9">
        <f>IFERROR(__xludf.DUMMYFUNCTION("GOOGLEFINANCE(""ASX:TWE"", ""marketcap"")"),4.174449868E9)</f>
        <v>4174449868</v>
      </c>
      <c r="J2155" s="5"/>
      <c r="K2155" s="5"/>
      <c r="L2155" s="5"/>
      <c r="M2155" s="5"/>
      <c r="N2155" s="9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>
      <c r="A2156" s="6" t="s">
        <v>4269</v>
      </c>
      <c r="B2156" s="6" t="s">
        <v>4270</v>
      </c>
      <c r="C2156" s="5" t="s">
        <v>4271</v>
      </c>
      <c r="D2156" s="7">
        <f>IFERROR(__xludf.DUMMYFUNCTION("GOOGLEFINANCE(""ASX:TWL"", ""price"")"),0.27)</f>
        <v>0.27</v>
      </c>
      <c r="E2156" s="8">
        <f>IFERROR(__xludf.DUMMYFUNCTION("GOOGLEFINANCE(""ASX:TWL"", ""closeyest"")"),0.27)</f>
        <v>0.27</v>
      </c>
      <c r="F2156" s="5" t="str">
        <f>IFERROR(__xludf.DUMMYFUNCTION("GOOGLEFINANCE(""ASX:TWL"", ""pe"")"),"#N/A")</f>
        <v>#N/A</v>
      </c>
      <c r="G2156" s="5">
        <f>IFERROR(__xludf.DUMMYFUNCTION("GOOGLEFINANCE(""ASX:TWL"", ""high52"")"),0.31)</f>
        <v>0.31</v>
      </c>
      <c r="H2156" s="5">
        <f>IFERROR(__xludf.DUMMYFUNCTION("GOOGLEFINANCE(""ASX:TWL"", ""low52"")"),0.22)</f>
        <v>0.22</v>
      </c>
      <c r="I2156" s="9">
        <f>IFERROR(__xludf.DUMMYFUNCTION("GOOGLEFINANCE(""ASX:TWL"", ""marketcap"")"),4.810529E7)</f>
        <v>48105290</v>
      </c>
      <c r="J2156" s="12">
        <v>0.3</v>
      </c>
      <c r="K2156" s="12">
        <v>0.275</v>
      </c>
      <c r="L2156" s="12">
        <v>0.305</v>
      </c>
      <c r="M2156" s="12">
        <v>0.22</v>
      </c>
      <c r="N2156" s="9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>
      <c r="A2157" s="6" t="s">
        <v>4272</v>
      </c>
      <c r="B2157" s="6" t="s">
        <v>4273</v>
      </c>
      <c r="C2157" s="5" t="s">
        <v>2112</v>
      </c>
      <c r="D2157" s="7">
        <f>IFERROR(__xludf.DUMMYFUNCTION("GOOGLEFINANCE(""ASX:TWR"", ""price"")"),1.8)</f>
        <v>1.8</v>
      </c>
      <c r="E2157" s="8">
        <f>IFERROR(__xludf.DUMMYFUNCTION("GOOGLEFINANCE(""ASX:TWR"", ""closeyest"")"),1.79)</f>
        <v>1.79</v>
      </c>
      <c r="F2157" s="5" t="str">
        <f>IFERROR(__xludf.DUMMYFUNCTION("GOOGLEFINANCE(""ASX:TWR"", ""pe"")"),"#N/A")</f>
        <v>#N/A</v>
      </c>
      <c r="G2157" s="9">
        <f>IFERROR(__xludf.DUMMYFUNCTION("GOOGLEFINANCE(""ASX:TWR"", ""high52"")"),1.85)</f>
        <v>1.85</v>
      </c>
      <c r="H2157" s="9">
        <f>IFERROR(__xludf.DUMMYFUNCTION("GOOGLEFINANCE(""ASX:TWR"", ""low52"")"),1.1)</f>
        <v>1.1</v>
      </c>
      <c r="I2157" s="9">
        <f>IFERROR(__xludf.DUMMYFUNCTION("GOOGLEFINANCE(""ASX:TWR"", ""marketcap"")"),6.944712E8)</f>
        <v>694471200</v>
      </c>
      <c r="J2157" s="5"/>
      <c r="K2157" s="5"/>
      <c r="L2157" s="5"/>
      <c r="M2157" s="5"/>
      <c r="N2157" s="9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>
      <c r="A2158" s="6" t="s">
        <v>4274</v>
      </c>
      <c r="B2158" s="6" t="s">
        <v>4275</v>
      </c>
      <c r="C2158" s="5" t="s">
        <v>161</v>
      </c>
      <c r="D2158" s="7">
        <f>IFERROR(__xludf.DUMMYFUNCTION("GOOGLEFINANCE(""ASX:TYR"", ""price"")"),1.03)</f>
        <v>1.03</v>
      </c>
      <c r="E2158" s="8">
        <f>IFERROR(__xludf.DUMMYFUNCTION("GOOGLEFINANCE(""ASX:TYR"", ""closeyest"")"),1.0)</f>
        <v>1</v>
      </c>
      <c r="F2158" s="9">
        <f>IFERROR(__xludf.DUMMYFUNCTION("GOOGLEFINANCE(""ASX:TYR"", ""pe"")"),31.16)</f>
        <v>31.16</v>
      </c>
      <c r="G2158" s="9">
        <f>IFERROR(__xludf.DUMMYFUNCTION("GOOGLEFINANCE(""ASX:TYR"", ""high52"")"),1.3)</f>
        <v>1.3</v>
      </c>
      <c r="H2158" s="9">
        <f>IFERROR(__xludf.DUMMYFUNCTION("GOOGLEFINANCE(""ASX:TYR"", ""low52"")"),0.63)</f>
        <v>0.63</v>
      </c>
      <c r="I2158" s="9">
        <f>IFERROR(__xludf.DUMMYFUNCTION("GOOGLEFINANCE(""ASX:TYR"", ""marketcap"")"),5.49361093E8)</f>
        <v>549361093</v>
      </c>
      <c r="J2158" s="5"/>
      <c r="K2158" s="5"/>
      <c r="L2158" s="5"/>
      <c r="M2158" s="5"/>
      <c r="N2158" s="9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>
      <c r="A2159" s="6" t="s">
        <v>4276</v>
      </c>
      <c r="B2159" s="6" t="s">
        <v>4277</v>
      </c>
      <c r="C2159" s="5" t="s">
        <v>18</v>
      </c>
      <c r="D2159" s="7">
        <f>IFERROR(__xludf.DUMMYFUNCTION("GOOGLEFINANCE(""ASX:TYX"", ""price"")"),0.0)</f>
        <v>0</v>
      </c>
      <c r="E2159" s="8">
        <f>IFERROR(__xludf.DUMMYFUNCTION("GOOGLEFINANCE(""ASX:TYX"", ""closeyest"")"),0.0)</f>
        <v>0</v>
      </c>
      <c r="F2159" s="5" t="str">
        <f>IFERROR(__xludf.DUMMYFUNCTION("GOOGLEFINANCE(""ASX:TYX"", ""pe"")"),"#N/A")</f>
        <v>#N/A</v>
      </c>
      <c r="G2159" s="9">
        <f>IFERROR(__xludf.DUMMYFUNCTION("GOOGLEFINANCE(""ASX:TYX"", ""high52"")"),0.01)</f>
        <v>0.01</v>
      </c>
      <c r="H2159" s="9">
        <f>IFERROR(__xludf.DUMMYFUNCTION("GOOGLEFINANCE(""ASX:TYX"", ""low52"")"),0.0)</f>
        <v>0</v>
      </c>
      <c r="I2159" s="9">
        <f>IFERROR(__xludf.DUMMYFUNCTION("GOOGLEFINANCE(""ASX:TYX"", ""marketcap"")"),6708304.0)</f>
        <v>6708304</v>
      </c>
      <c r="J2159" s="12">
        <v>0.004</v>
      </c>
      <c r="K2159" s="12">
        <v>0.004</v>
      </c>
      <c r="L2159" s="12">
        <v>0.007</v>
      </c>
      <c r="M2159" s="12">
        <v>0.003</v>
      </c>
      <c r="N2159" s="9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>
      <c r="A2160" s="6" t="s">
        <v>4278</v>
      </c>
      <c r="B2160" s="6" t="s">
        <v>4279</v>
      </c>
      <c r="C2160" s="5" t="s">
        <v>184</v>
      </c>
      <c r="D2160" s="7">
        <f>IFERROR(__xludf.DUMMYFUNCTION("GOOGLEFINANCE(""ASX:TZL"", ""price"")"),0.05)</f>
        <v>0.05</v>
      </c>
      <c r="E2160" s="8">
        <f>IFERROR(__xludf.DUMMYFUNCTION("GOOGLEFINANCE(""ASX:TZL"", ""closeyest"")"),0.05)</f>
        <v>0.05</v>
      </c>
      <c r="F2160" s="5" t="str">
        <f>IFERROR(__xludf.DUMMYFUNCTION("GOOGLEFINANCE(""ASX:TZL"", ""pe"")"),"#N/A")</f>
        <v>#N/A</v>
      </c>
      <c r="G2160" s="9">
        <f>IFERROR(__xludf.DUMMYFUNCTION("GOOGLEFINANCE(""ASX:TZL"", ""high52"")"),0.08)</f>
        <v>0.08</v>
      </c>
      <c r="H2160" s="9">
        <f>IFERROR(__xludf.DUMMYFUNCTION("GOOGLEFINANCE(""ASX:TZL"", ""low52"")"),0.04)</f>
        <v>0.04</v>
      </c>
      <c r="I2160" s="9">
        <f>IFERROR(__xludf.DUMMYFUNCTION("GOOGLEFINANCE(""ASX:TZL"", ""marketcap"")"),1.2055392E7)</f>
        <v>12055392</v>
      </c>
      <c r="J2160" s="5"/>
      <c r="K2160" s="5"/>
      <c r="L2160" s="5"/>
      <c r="M2160" s="5"/>
      <c r="N2160" s="9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>
      <c r="A2161" s="6" t="s">
        <v>4280</v>
      </c>
      <c r="B2161" s="6" t="s">
        <v>4281</v>
      </c>
      <c r="C2161" s="5" t="s">
        <v>39</v>
      </c>
      <c r="D2161" s="7">
        <f>IFERROR(__xludf.DUMMYFUNCTION("GOOGLEFINANCE(""ASX:TZN"", ""price"")"),0.03)</f>
        <v>0.03</v>
      </c>
      <c r="E2161" s="8">
        <f>IFERROR(__xludf.DUMMYFUNCTION("GOOGLEFINANCE(""ASX:TZN"", ""closeyest"")"),0.03)</f>
        <v>0.03</v>
      </c>
      <c r="F2161" s="5" t="str">
        <f>IFERROR(__xludf.DUMMYFUNCTION("GOOGLEFINANCE(""ASX:TZN"", ""pe"")"),"#N/A")</f>
        <v>#N/A</v>
      </c>
      <c r="G2161" s="9">
        <f>IFERROR(__xludf.DUMMYFUNCTION("GOOGLEFINANCE(""ASX:TZN"", ""high52"")"),0.09)</f>
        <v>0.09</v>
      </c>
      <c r="H2161" s="9">
        <f>IFERROR(__xludf.DUMMYFUNCTION("GOOGLEFINANCE(""ASX:TZN"", ""low52"")"),0.03)</f>
        <v>0.03</v>
      </c>
      <c r="I2161" s="9">
        <f>IFERROR(__xludf.DUMMYFUNCTION("GOOGLEFINANCE(""ASX:TZN"", ""marketcap"")"),6.847909E7)</f>
        <v>68479090</v>
      </c>
      <c r="J2161" s="5"/>
      <c r="K2161" s="5"/>
      <c r="L2161" s="5"/>
      <c r="M2161" s="5"/>
      <c r="N2161" s="9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>
      <c r="A2162" s="6" t="s">
        <v>4282</v>
      </c>
      <c r="B2162" s="6" t="s">
        <v>4283</v>
      </c>
      <c r="C2162" s="5" t="s">
        <v>36</v>
      </c>
      <c r="D2162" s="7">
        <f>IFERROR(__xludf.DUMMYFUNCTION("GOOGLEFINANCE(""ASX:U100"", ""price"")"),16.52)</f>
        <v>16.52</v>
      </c>
      <c r="E2162" s="8">
        <f>IFERROR(__xludf.DUMMYFUNCTION("GOOGLEFINANCE(""ASX:U100"", ""closeyest"")"),16.58)</f>
        <v>16.58</v>
      </c>
      <c r="F2162" s="5" t="str">
        <f>IFERROR(__xludf.DUMMYFUNCTION("GOOGLEFINANCE(""ASX:U100"", ""pe"")"),"#N/A")</f>
        <v>#N/A</v>
      </c>
      <c r="G2162" s="9">
        <f>IFERROR(__xludf.DUMMYFUNCTION("GOOGLEFINANCE(""ASX:U100"", ""high52"")"),17.98)</f>
        <v>17.98</v>
      </c>
      <c r="H2162" s="9">
        <f>IFERROR(__xludf.DUMMYFUNCTION("GOOGLEFINANCE(""ASX:U100"", ""low52"")"),11.97)</f>
        <v>11.97</v>
      </c>
      <c r="I2162" s="9" t="str">
        <f>IFERROR(__xludf.DUMMYFUNCTION("GOOGLEFINANCE(""ASX:U100"", ""marketcap"")"),"#N/A")</f>
        <v>#N/A</v>
      </c>
      <c r="J2162" s="5"/>
      <c r="K2162" s="5"/>
      <c r="L2162" s="5"/>
      <c r="M2162" s="5"/>
      <c r="N2162" s="9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>
      <c r="A2163" s="6" t="s">
        <v>4284</v>
      </c>
      <c r="B2163" s="6" t="s">
        <v>4285</v>
      </c>
      <c r="C2163" s="5" t="s">
        <v>62</v>
      </c>
      <c r="D2163" s="7">
        <f>IFERROR(__xludf.DUMMYFUNCTION("GOOGLEFINANCE(""ASX:UBI"", ""price"")"),0.01)</f>
        <v>0.01</v>
      </c>
      <c r="E2163" s="8">
        <f>IFERROR(__xludf.DUMMYFUNCTION("GOOGLEFINANCE(""ASX:UBI"", ""closeyest"")"),0.01)</f>
        <v>0.01</v>
      </c>
      <c r="F2163" s="5" t="str">
        <f>IFERROR(__xludf.DUMMYFUNCTION("GOOGLEFINANCE(""ASX:UBI"", ""pe"")"),"#N/A")</f>
        <v>#N/A</v>
      </c>
      <c r="G2163" s="9">
        <f>IFERROR(__xludf.DUMMYFUNCTION("GOOGLEFINANCE(""ASX:UBI"", ""high52"")"),0.11)</f>
        <v>0.11</v>
      </c>
      <c r="H2163" s="9">
        <f>IFERROR(__xludf.DUMMYFUNCTION("GOOGLEFINANCE(""ASX:UBI"", ""low52"")"),0.01)</f>
        <v>0.01</v>
      </c>
      <c r="I2163" s="9">
        <f>IFERROR(__xludf.DUMMYFUNCTION("GOOGLEFINANCE(""ASX:UBI"", ""marketcap"")"),5842116.0)</f>
        <v>5842116</v>
      </c>
      <c r="J2163" s="5"/>
      <c r="K2163" s="5"/>
      <c r="L2163" s="5"/>
      <c r="M2163" s="5"/>
      <c r="N2163" s="9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>
      <c r="A2164" s="6" t="s">
        <v>4286</v>
      </c>
      <c r="B2164" s="6" t="s">
        <v>4287</v>
      </c>
      <c r="C2164" s="5" t="s">
        <v>184</v>
      </c>
      <c r="D2164" s="7">
        <f>IFERROR(__xludf.DUMMYFUNCTION("GOOGLEFINANCE(""ASX:UBN"", ""price"")"),0.72)</f>
        <v>0.72</v>
      </c>
      <c r="E2164" s="8">
        <f>IFERROR(__xludf.DUMMYFUNCTION("GOOGLEFINANCE(""ASX:UBN"", ""closeyest"")"),0.72)</f>
        <v>0.72</v>
      </c>
      <c r="F2164" s="5" t="str">
        <f>IFERROR(__xludf.DUMMYFUNCTION("GOOGLEFINANCE(""ASX:UBN"", ""pe"")"),"#N/A")</f>
        <v>#N/A</v>
      </c>
      <c r="G2164" s="9">
        <f>IFERROR(__xludf.DUMMYFUNCTION("GOOGLEFINANCE(""ASX:UBN"", ""high52"")"),0.9)</f>
        <v>0.9</v>
      </c>
      <c r="H2164" s="9">
        <f>IFERROR(__xludf.DUMMYFUNCTION("GOOGLEFINANCE(""ASX:UBN"", ""low52"")"),0.39)</f>
        <v>0.39</v>
      </c>
      <c r="I2164" s="9">
        <f>IFERROR(__xludf.DUMMYFUNCTION("GOOGLEFINANCE(""ASX:UBN"", ""marketcap"")"),5.678921E7)</f>
        <v>56789210</v>
      </c>
      <c r="J2164" s="5"/>
      <c r="K2164" s="5"/>
      <c r="L2164" s="5"/>
      <c r="M2164" s="5"/>
      <c r="N2164" s="9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>
      <c r="A2165" s="6" t="s">
        <v>4288</v>
      </c>
      <c r="B2165" s="6" t="s">
        <v>4289</v>
      </c>
      <c r="C2165" s="5" t="s">
        <v>62</v>
      </c>
      <c r="D2165" s="7">
        <f>IFERROR(__xludf.DUMMYFUNCTION("GOOGLEFINANCE(""ASX:UCM"", ""price"")"),0.01)</f>
        <v>0.01</v>
      </c>
      <c r="E2165" s="8">
        <f>IFERROR(__xludf.DUMMYFUNCTION("GOOGLEFINANCE(""ASX:UCM"", ""closeyest"")"),0.01)</f>
        <v>0.01</v>
      </c>
      <c r="F2165" s="5" t="str">
        <f>IFERROR(__xludf.DUMMYFUNCTION("GOOGLEFINANCE(""ASX:UCM"", ""pe"")"),"#N/A")</f>
        <v>#N/A</v>
      </c>
      <c r="G2165" s="9">
        <f>IFERROR(__xludf.DUMMYFUNCTION("GOOGLEFINANCE(""ASX:UCM"", ""high52"")"),0.03)</f>
        <v>0.03</v>
      </c>
      <c r="H2165" s="9">
        <f>IFERROR(__xludf.DUMMYFUNCTION("GOOGLEFINANCE(""ASX:UCM"", ""low52"")"),0.01)</f>
        <v>0.01</v>
      </c>
      <c r="I2165" s="9">
        <f>IFERROR(__xludf.DUMMYFUNCTION("GOOGLEFINANCE(""ASX:UCM"", ""marketcap"")"),3121770.0)</f>
        <v>3121770</v>
      </c>
      <c r="J2165" s="5"/>
      <c r="K2165" s="5"/>
      <c r="L2165" s="5"/>
      <c r="M2165" s="5"/>
      <c r="N2165" s="9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>
      <c r="A2166" s="6" t="s">
        <v>4290</v>
      </c>
      <c r="B2166" s="6" t="s">
        <v>4291</v>
      </c>
      <c r="C2166" s="5" t="s">
        <v>36</v>
      </c>
      <c r="D2166" s="7">
        <f>IFERROR(__xludf.DUMMYFUNCTION("GOOGLEFINANCE(""ASX:UMAX"", ""price"")"),26.41)</f>
        <v>26.41</v>
      </c>
      <c r="E2166" s="8">
        <f>IFERROR(__xludf.DUMMYFUNCTION("GOOGLEFINANCE(""ASX:UMAX"", ""closeyest"")"),26.49)</f>
        <v>26.49</v>
      </c>
      <c r="F2166" s="5" t="str">
        <f>IFERROR(__xludf.DUMMYFUNCTION("GOOGLEFINANCE(""ASX:UMAX"", ""pe"")"),"#N/A")</f>
        <v>#N/A</v>
      </c>
      <c r="G2166" s="9">
        <f>IFERROR(__xludf.DUMMYFUNCTION("GOOGLEFINANCE(""ASX:UMAX"", ""high52"")"),27.96)</f>
        <v>27.96</v>
      </c>
      <c r="H2166" s="9">
        <f>IFERROR(__xludf.DUMMYFUNCTION("GOOGLEFINANCE(""ASX:UMAX"", ""low52"")"),23.13)</f>
        <v>23.13</v>
      </c>
      <c r="I2166" s="9" t="str">
        <f>IFERROR(__xludf.DUMMYFUNCTION("GOOGLEFINANCE(""ASX:UMAX"", ""marketcap"")"),"#N/A")</f>
        <v>#N/A</v>
      </c>
      <c r="J2166" s="5"/>
      <c r="K2166" s="5"/>
      <c r="L2166" s="5"/>
      <c r="M2166" s="5"/>
      <c r="N2166" s="9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>
      <c r="A2167" s="6" t="s">
        <v>4292</v>
      </c>
      <c r="B2167" s="6" t="s">
        <v>4293</v>
      </c>
      <c r="C2167" s="5" t="s">
        <v>620</v>
      </c>
      <c r="D2167" s="7">
        <f>IFERROR(__xludf.DUMMYFUNCTION("GOOGLEFINANCE(""ASX:UNI"", ""price"")"),7.99)</f>
        <v>7.99</v>
      </c>
      <c r="E2167" s="8">
        <f>IFERROR(__xludf.DUMMYFUNCTION("GOOGLEFINANCE(""ASX:UNI"", ""closeyest"")"),8.0)</f>
        <v>8</v>
      </c>
      <c r="F2167" s="9">
        <f>IFERROR(__xludf.DUMMYFUNCTION("GOOGLEFINANCE(""ASX:UNI"", ""pe"")"),26.43)</f>
        <v>26.43</v>
      </c>
      <c r="G2167" s="9">
        <f>IFERROR(__xludf.DUMMYFUNCTION("GOOGLEFINANCE(""ASX:UNI"", ""high52"")"),9.88)</f>
        <v>9.88</v>
      </c>
      <c r="H2167" s="9">
        <f>IFERROR(__xludf.DUMMYFUNCTION("GOOGLEFINANCE(""ASX:UNI"", ""low52"")"),6.58)</f>
        <v>6.58</v>
      </c>
      <c r="I2167" s="9">
        <f>IFERROR(__xludf.DUMMYFUNCTION("GOOGLEFINANCE(""ASX:UNI"", ""marketcap"")"),6.12999254E8)</f>
        <v>612999254</v>
      </c>
      <c r="J2167" s="5"/>
      <c r="K2167" s="5"/>
      <c r="L2167" s="5"/>
      <c r="M2167" s="5"/>
      <c r="N2167" s="9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>
      <c r="A2168" s="6" t="s">
        <v>4294</v>
      </c>
      <c r="B2168" s="6" t="s">
        <v>4295</v>
      </c>
      <c r="C2168" s="5" t="s">
        <v>15</v>
      </c>
      <c r="D2168" s="7">
        <f>IFERROR(__xludf.DUMMYFUNCTION("GOOGLEFINANCE(""ASX:UNT"", ""price"")"),0.01)</f>
        <v>0.01</v>
      </c>
      <c r="E2168" s="8">
        <f>IFERROR(__xludf.DUMMYFUNCTION("GOOGLEFINANCE(""ASX:UNT"", ""closeyest"")"),0.01)</f>
        <v>0.01</v>
      </c>
      <c r="F2168" s="5" t="str">
        <f>IFERROR(__xludf.DUMMYFUNCTION("GOOGLEFINANCE(""ASX:UNT"", ""pe"")"),"#N/A")</f>
        <v>#N/A</v>
      </c>
      <c r="G2168" s="9">
        <f>IFERROR(__xludf.DUMMYFUNCTION("GOOGLEFINANCE(""ASX:UNT"", ""high52"")"),0.02)</f>
        <v>0.02</v>
      </c>
      <c r="H2168" s="9">
        <f>IFERROR(__xludf.DUMMYFUNCTION("GOOGLEFINANCE(""ASX:UNT"", ""low52"")"),0.01)</f>
        <v>0.01</v>
      </c>
      <c r="I2168" s="9">
        <f>IFERROR(__xludf.DUMMYFUNCTION("GOOGLEFINANCE(""ASX:UNT"", ""marketcap"")"),9722296.0)</f>
        <v>9722296</v>
      </c>
      <c r="J2168" s="5"/>
      <c r="K2168" s="5"/>
      <c r="L2168" s="5"/>
      <c r="M2168" s="5"/>
      <c r="N2168" s="9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>
      <c r="A2169" s="6" t="s">
        <v>4296</v>
      </c>
      <c r="B2169" s="6" t="s">
        <v>4297</v>
      </c>
      <c r="C2169" s="5" t="s">
        <v>143</v>
      </c>
      <c r="D2169" s="7">
        <f>IFERROR(__xludf.DUMMYFUNCTION("GOOGLEFINANCE(""ASX:UOS"", ""price"")"),0.71)</f>
        <v>0.71</v>
      </c>
      <c r="E2169" s="8">
        <f>IFERROR(__xludf.DUMMYFUNCTION("GOOGLEFINANCE(""ASX:UOS"", ""closeyest"")"),0.67)</f>
        <v>0.67</v>
      </c>
      <c r="F2169" s="9">
        <f>IFERROR(__xludf.DUMMYFUNCTION("GOOGLEFINANCE(""ASX:UOS"", ""pe"")"),11.47)</f>
        <v>11.47</v>
      </c>
      <c r="G2169" s="9">
        <f>IFERROR(__xludf.DUMMYFUNCTION("GOOGLEFINANCE(""ASX:UOS"", ""high52"")"),0.72)</f>
        <v>0.72</v>
      </c>
      <c r="H2169" s="9">
        <f>IFERROR(__xludf.DUMMYFUNCTION("GOOGLEFINANCE(""ASX:UOS"", ""low52"")"),0.53)</f>
        <v>0.53</v>
      </c>
      <c r="I2169" s="9">
        <f>IFERROR(__xludf.DUMMYFUNCTION("GOOGLEFINANCE(""ASX:UOS"", ""marketcap"")"),2.4565245E8)</f>
        <v>245652450</v>
      </c>
      <c r="J2169" s="5"/>
      <c r="K2169" s="5"/>
      <c r="L2169" s="5"/>
      <c r="M2169" s="5"/>
      <c r="N2169" s="9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>
      <c r="A2170" s="6" t="s">
        <v>4298</v>
      </c>
      <c r="B2170" s="6" t="s">
        <v>4299</v>
      </c>
      <c r="C2170" s="5" t="s">
        <v>36</v>
      </c>
      <c r="D2170" s="7">
        <f>IFERROR(__xludf.DUMMYFUNCTION("GOOGLEFINANCE(""ASX:URAN"", ""price"")"),19.12)</f>
        <v>19.12</v>
      </c>
      <c r="E2170" s="8">
        <f>IFERROR(__xludf.DUMMYFUNCTION("GOOGLEFINANCE(""ASX:URAN"", ""closeyest"")"),18.96)</f>
        <v>18.96</v>
      </c>
      <c r="F2170" s="5" t="str">
        <f>IFERROR(__xludf.DUMMYFUNCTION("GOOGLEFINANCE(""ASX:URAN"", ""pe"")"),"#N/A")</f>
        <v>#N/A</v>
      </c>
      <c r="G2170" s="9">
        <f>IFERROR(__xludf.DUMMYFUNCTION("GOOGLEFINANCE(""ASX:URAN"", ""high52"")"),22.38)</f>
        <v>22.38</v>
      </c>
      <c r="H2170" s="9">
        <f>IFERROR(__xludf.DUMMYFUNCTION("GOOGLEFINANCE(""ASX:URAN"", ""low52"")"),16.4)</f>
        <v>16.4</v>
      </c>
      <c r="I2170" s="9" t="str">
        <f>IFERROR(__xludf.DUMMYFUNCTION("GOOGLEFINANCE(""ASX:URAN"", ""marketcap"")"),"#N/A")</f>
        <v>#N/A</v>
      </c>
      <c r="J2170" s="5"/>
      <c r="K2170" s="5"/>
      <c r="L2170" s="5"/>
      <c r="M2170" s="5"/>
      <c r="N2170" s="9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>
      <c r="A2171" s="6" t="s">
        <v>4300</v>
      </c>
      <c r="B2171" s="6" t="s">
        <v>4301</v>
      </c>
      <c r="C2171" s="5" t="s">
        <v>4302</v>
      </c>
      <c r="D2171" s="7">
        <f>IFERROR(__xludf.DUMMYFUNCTION("GOOGLEFINANCE(""ASX:URF"", ""price"")"),0.29)</f>
        <v>0.29</v>
      </c>
      <c r="E2171" s="8">
        <f>IFERROR(__xludf.DUMMYFUNCTION("GOOGLEFINANCE(""ASX:URF"", ""closeyest"")"),0.28)</f>
        <v>0.28</v>
      </c>
      <c r="F2171" s="5" t="str">
        <f>IFERROR(__xludf.DUMMYFUNCTION("GOOGLEFINANCE(""ASX:URF"", ""pe"")"),"#N/A")</f>
        <v>#N/A</v>
      </c>
      <c r="G2171" s="9">
        <f>IFERROR(__xludf.DUMMYFUNCTION("GOOGLEFINANCE(""ASX:URF"", ""high52"")"),0.42)</f>
        <v>0.42</v>
      </c>
      <c r="H2171" s="9">
        <f>IFERROR(__xludf.DUMMYFUNCTION("GOOGLEFINANCE(""ASX:URF"", ""low52"")"),0.27)</f>
        <v>0.27</v>
      </c>
      <c r="I2171" s="9">
        <f>IFERROR(__xludf.DUMMYFUNCTION("GOOGLEFINANCE(""ASX:URF"", ""marketcap"")"),1.99650871E8)</f>
        <v>199650871</v>
      </c>
      <c r="J2171" s="5"/>
      <c r="K2171" s="5"/>
      <c r="L2171" s="5"/>
      <c r="M2171" s="5"/>
      <c r="N2171" s="9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>
      <c r="A2172" s="6" t="s">
        <v>4303</v>
      </c>
      <c r="B2172" s="6" t="s">
        <v>4304</v>
      </c>
      <c r="C2172" s="5" t="s">
        <v>36</v>
      </c>
      <c r="D2172" s="7">
        <f>IFERROR(__xludf.DUMMYFUNCTION("GOOGLEFINANCE(""ASX:URNM"", ""price"")"),11.84)</f>
        <v>11.84</v>
      </c>
      <c r="E2172" s="8">
        <f>IFERROR(__xludf.DUMMYFUNCTION("GOOGLEFINANCE(""ASX:URNM"", ""closeyest"")"),11.83)</f>
        <v>11.83</v>
      </c>
      <c r="F2172" s="5" t="str">
        <f>IFERROR(__xludf.DUMMYFUNCTION("GOOGLEFINANCE(""ASX:URNM"", ""pe"")"),"#N/A")</f>
        <v>#N/A</v>
      </c>
      <c r="G2172" s="9">
        <f>IFERROR(__xludf.DUMMYFUNCTION("GOOGLEFINANCE(""ASX:URNM"", ""high52"")"),12.75)</f>
        <v>12.75</v>
      </c>
      <c r="H2172" s="9">
        <f>IFERROR(__xludf.DUMMYFUNCTION("GOOGLEFINANCE(""ASX:URNM"", ""low52"")"),5.76)</f>
        <v>5.76</v>
      </c>
      <c r="I2172" s="9" t="str">
        <f>IFERROR(__xludf.DUMMYFUNCTION("GOOGLEFINANCE(""ASX:URNM"", ""marketcap"")"),"#N/A")</f>
        <v>#N/A</v>
      </c>
      <c r="J2172" s="5"/>
      <c r="K2172" s="5"/>
      <c r="L2172" s="5"/>
      <c r="M2172" s="5"/>
      <c r="N2172" s="9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>
      <c r="A2173" s="6" t="s">
        <v>4305</v>
      </c>
      <c r="B2173" s="6" t="s">
        <v>4306</v>
      </c>
      <c r="C2173" s="5" t="s">
        <v>18</v>
      </c>
      <c r="D2173" s="7">
        <f>IFERROR(__xludf.DUMMYFUNCTION("GOOGLEFINANCE(""ASX:USC"", ""price"")"),0.01)</f>
        <v>0.01</v>
      </c>
      <c r="E2173" s="8">
        <f>IFERROR(__xludf.DUMMYFUNCTION("GOOGLEFINANCE(""ASX:USC"", ""closeyest"")"),0.01)</f>
        <v>0.01</v>
      </c>
      <c r="F2173" s="5" t="str">
        <f>IFERROR(__xludf.DUMMYFUNCTION("GOOGLEFINANCE(""ASX:USC"", ""pe"")"),"#N/A")</f>
        <v>#N/A</v>
      </c>
      <c r="G2173" s="9">
        <f>IFERROR(__xludf.DUMMYFUNCTION("GOOGLEFINANCE(""ASX:USC"", ""high52"")"),0.02)</f>
        <v>0.02</v>
      </c>
      <c r="H2173" s="9">
        <f>IFERROR(__xludf.DUMMYFUNCTION("GOOGLEFINANCE(""ASX:USC"", ""low52"")"),0.01)</f>
        <v>0.01</v>
      </c>
      <c r="I2173" s="9">
        <f>IFERROR(__xludf.DUMMYFUNCTION("GOOGLEFINANCE(""ASX:USC"", ""marketcap"")"),1.6289104E7)</f>
        <v>16289104</v>
      </c>
      <c r="J2173" s="5"/>
      <c r="K2173" s="5"/>
      <c r="L2173" s="5"/>
      <c r="M2173" s="5"/>
      <c r="N2173" s="9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>
      <c r="A2174" s="6" t="s">
        <v>4307</v>
      </c>
      <c r="B2174" s="6" t="s">
        <v>4308</v>
      </c>
      <c r="C2174" s="5" t="s">
        <v>36</v>
      </c>
      <c r="D2174" s="7">
        <f>IFERROR(__xludf.DUMMYFUNCTION("GOOGLEFINANCE(""ASX:USD"", ""price"")"),14.8)</f>
        <v>14.8</v>
      </c>
      <c r="E2174" s="8">
        <f>IFERROR(__xludf.DUMMYFUNCTION("GOOGLEFINANCE(""ASX:USD"", ""closeyest"")"),14.88)</f>
        <v>14.88</v>
      </c>
      <c r="F2174" s="5" t="str">
        <f>IFERROR(__xludf.DUMMYFUNCTION("GOOGLEFINANCE(""ASX:USD"", ""pe"")"),"#N/A")</f>
        <v>#N/A</v>
      </c>
      <c r="G2174" s="9">
        <f>IFERROR(__xludf.DUMMYFUNCTION("GOOGLEFINANCE(""ASX:USD"", ""high52"")"),16.8)</f>
        <v>16.8</v>
      </c>
      <c r="H2174" s="9">
        <f>IFERROR(__xludf.DUMMYFUNCTION("GOOGLEFINANCE(""ASX:USD"", ""low52"")"),14.63)</f>
        <v>14.63</v>
      </c>
      <c r="I2174" s="9" t="str">
        <f>IFERROR(__xludf.DUMMYFUNCTION("GOOGLEFINANCE(""ASX:USD"", ""marketcap"")"),"#N/A")</f>
        <v>#N/A</v>
      </c>
      <c r="J2174" s="5"/>
      <c r="K2174" s="5"/>
      <c r="L2174" s="5"/>
      <c r="M2174" s="5"/>
      <c r="N2174" s="9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>
      <c r="A2175" s="6" t="s">
        <v>4309</v>
      </c>
      <c r="B2175" s="6" t="s">
        <v>4310</v>
      </c>
      <c r="C2175" s="5" t="s">
        <v>36</v>
      </c>
      <c r="D2175" s="7">
        <f>IFERROR(__xludf.DUMMYFUNCTION("GOOGLEFINANCE(""ASX:USHY"", ""price"")"),10.56)</f>
        <v>10.56</v>
      </c>
      <c r="E2175" s="8">
        <f>IFERROR(__xludf.DUMMYFUNCTION("GOOGLEFINANCE(""ASX:USHY"", ""closeyest"")"),10.54)</f>
        <v>10.54</v>
      </c>
      <c r="F2175" s="5" t="str">
        <f>IFERROR(__xludf.DUMMYFUNCTION("GOOGLEFINANCE(""ASX:USHY"", ""pe"")"),"#N/A")</f>
        <v>#N/A</v>
      </c>
      <c r="G2175" s="9">
        <f>IFERROR(__xludf.DUMMYFUNCTION("GOOGLEFINANCE(""ASX:USHY"", ""high52"")"),10.81)</f>
        <v>10.81</v>
      </c>
      <c r="H2175" s="9">
        <f>IFERROR(__xludf.DUMMYFUNCTION("GOOGLEFINANCE(""ASX:USHY"", ""low52"")"),9.51)</f>
        <v>9.51</v>
      </c>
      <c r="I2175" s="9" t="str">
        <f>IFERROR(__xludf.DUMMYFUNCTION("GOOGLEFINANCE(""ASX:USHY"", ""marketcap"")"),"#N/A")</f>
        <v>#N/A</v>
      </c>
      <c r="J2175" s="5"/>
      <c r="K2175" s="5"/>
      <c r="L2175" s="5"/>
      <c r="M2175" s="5"/>
      <c r="N2175" s="9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>
      <c r="A2176" s="6" t="s">
        <v>4311</v>
      </c>
      <c r="B2176" s="6" t="s">
        <v>4312</v>
      </c>
      <c r="C2176" s="5" t="s">
        <v>36</v>
      </c>
      <c r="D2176" s="7">
        <f>IFERROR(__xludf.DUMMYFUNCTION("GOOGLEFINANCE(""ASX:USIG"", ""price"")"),9.71)</f>
        <v>9.71</v>
      </c>
      <c r="E2176" s="8">
        <f>IFERROR(__xludf.DUMMYFUNCTION("GOOGLEFINANCE(""ASX:USIG"", ""closeyest"")"),9.8)</f>
        <v>9.8</v>
      </c>
      <c r="F2176" s="5" t="str">
        <f>IFERROR(__xludf.DUMMYFUNCTION("GOOGLEFINANCE(""ASX:USIG"", ""pe"")"),"#N/A")</f>
        <v>#N/A</v>
      </c>
      <c r="G2176" s="9">
        <f>IFERROR(__xludf.DUMMYFUNCTION("GOOGLEFINANCE(""ASX:USIG"", ""high52"")"),9.95)</f>
        <v>9.95</v>
      </c>
      <c r="H2176" s="9">
        <f>IFERROR(__xludf.DUMMYFUNCTION("GOOGLEFINANCE(""ASX:USIG"", ""low52"")"),9.2)</f>
        <v>9.2</v>
      </c>
      <c r="I2176" s="9" t="str">
        <f>IFERROR(__xludf.DUMMYFUNCTION("GOOGLEFINANCE(""ASX:USIG"", ""marketcap"")"),"#N/A")</f>
        <v>#N/A</v>
      </c>
      <c r="J2176" s="5"/>
      <c r="K2176" s="5"/>
      <c r="L2176" s="5"/>
      <c r="M2176" s="5"/>
      <c r="N2176" s="9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>
      <c r="A2177" s="6" t="s">
        <v>4313</v>
      </c>
      <c r="B2177" s="6" t="s">
        <v>4314</v>
      </c>
      <c r="C2177" s="5" t="s">
        <v>18</v>
      </c>
      <c r="D2177" s="7">
        <f>IFERROR(__xludf.DUMMYFUNCTION("GOOGLEFINANCE(""ASX:USL"", ""price"")"),0.95)</f>
        <v>0.95</v>
      </c>
      <c r="E2177" s="8">
        <f>IFERROR(__xludf.DUMMYFUNCTION("GOOGLEFINANCE(""ASX:USL"", ""closeyest"")"),0.91)</f>
        <v>0.91</v>
      </c>
      <c r="F2177" s="5" t="str">
        <f>IFERROR(__xludf.DUMMYFUNCTION("GOOGLEFINANCE(""ASX:USL"", ""pe"")"),"#N/A")</f>
        <v>#N/A</v>
      </c>
      <c r="G2177" s="9">
        <f>IFERROR(__xludf.DUMMYFUNCTION("GOOGLEFINANCE(""ASX:USL"", ""high52"")"),1.0)</f>
        <v>1</v>
      </c>
      <c r="H2177" s="9">
        <f>IFERROR(__xludf.DUMMYFUNCTION("GOOGLEFINANCE(""ASX:USL"", ""low52"")"),0.17)</f>
        <v>0.17</v>
      </c>
      <c r="I2177" s="9">
        <f>IFERROR(__xludf.DUMMYFUNCTION("GOOGLEFINANCE(""ASX:USL"", ""marketcap"")"),5.73323567E8)</f>
        <v>573323567</v>
      </c>
      <c r="J2177" s="5"/>
      <c r="K2177" s="5"/>
      <c r="L2177" s="5"/>
      <c r="M2177" s="5"/>
      <c r="N2177" s="9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>
      <c r="A2178" s="6" t="s">
        <v>4315</v>
      </c>
      <c r="B2178" s="6" t="s">
        <v>4316</v>
      </c>
      <c r="C2178" s="5" t="s">
        <v>36</v>
      </c>
      <c r="D2178" s="7">
        <f>IFERROR(__xludf.DUMMYFUNCTION("GOOGLEFINANCE(""ASX:UTIP"", ""price"")"),25.8)</f>
        <v>25.8</v>
      </c>
      <c r="E2178" s="8">
        <f>IFERROR(__xludf.DUMMYFUNCTION("GOOGLEFINANCE(""ASX:UTIP"", ""closeyest"")"),25.8)</f>
        <v>25.8</v>
      </c>
      <c r="F2178" s="5" t="str">
        <f>IFERROR(__xludf.DUMMYFUNCTION("GOOGLEFINANCE(""ASX:UTIP"", ""pe"")"),"#N/A")</f>
        <v>#N/A</v>
      </c>
      <c r="G2178" s="9">
        <f>IFERROR(__xludf.DUMMYFUNCTION("GOOGLEFINANCE(""ASX:UTIP"", ""high52"")"),26.39)</f>
        <v>26.39</v>
      </c>
      <c r="H2178" s="9">
        <f>IFERROR(__xludf.DUMMYFUNCTION("GOOGLEFINANCE(""ASX:UTIP"", ""low52"")"),24.96)</f>
        <v>24.96</v>
      </c>
      <c r="I2178" s="9" t="str">
        <f>IFERROR(__xludf.DUMMYFUNCTION("GOOGLEFINANCE(""ASX:UTIP"", ""marketcap"")"),"#N/A")</f>
        <v>#N/A</v>
      </c>
      <c r="J2178" s="5"/>
      <c r="K2178" s="5"/>
      <c r="L2178" s="5"/>
      <c r="M2178" s="5"/>
      <c r="N2178" s="9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>
      <c r="A2179" s="6" t="s">
        <v>4317</v>
      </c>
      <c r="B2179" s="6" t="s">
        <v>4318</v>
      </c>
      <c r="C2179" s="5" t="s">
        <v>171</v>
      </c>
      <c r="D2179" s="7">
        <f>IFERROR(__xludf.DUMMYFUNCTION("GOOGLEFINANCE(""ASX:UWC"", ""price"")"),0.06)</f>
        <v>0.06</v>
      </c>
      <c r="E2179" s="8">
        <f>IFERROR(__xludf.DUMMYFUNCTION("GOOGLEFINANCE(""ASX:UWC"", ""closeyest"")"),0.06)</f>
        <v>0.06</v>
      </c>
      <c r="F2179" s="9">
        <f>IFERROR(__xludf.DUMMYFUNCTION("GOOGLEFINANCE(""ASX:UWC"", ""pe"")"),50.86)</f>
        <v>50.86</v>
      </c>
      <c r="G2179" s="9">
        <f>IFERROR(__xludf.DUMMYFUNCTION("GOOGLEFINANCE(""ASX:UWC"", ""high52"")"),0.08)</f>
        <v>0.08</v>
      </c>
      <c r="H2179" s="9">
        <f>IFERROR(__xludf.DUMMYFUNCTION("GOOGLEFINANCE(""ASX:UWC"", ""low52"")"),0.04)</f>
        <v>0.04</v>
      </c>
      <c r="I2179" s="9">
        <f>IFERROR(__xludf.DUMMYFUNCTION("GOOGLEFINANCE(""ASX:UWC"", ""marketcap"")"),1.2316191E7)</f>
        <v>12316191</v>
      </c>
      <c r="J2179" s="5"/>
      <c r="K2179" s="5"/>
      <c r="L2179" s="5"/>
      <c r="M2179" s="5"/>
      <c r="N2179" s="9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>
      <c r="A2180" s="6" t="s">
        <v>4319</v>
      </c>
      <c r="B2180" s="6" t="s">
        <v>4320</v>
      </c>
      <c r="C2180" s="5" t="s">
        <v>36</v>
      </c>
      <c r="D2180" s="7">
        <f>IFERROR(__xludf.DUMMYFUNCTION("GOOGLEFINANCE(""ASX:UYLD"", ""price"")"),10.94)</f>
        <v>10.94</v>
      </c>
      <c r="E2180" s="8">
        <f>IFERROR(__xludf.DUMMYFUNCTION("GOOGLEFINANCE(""ASX:UYLD"", ""closeyest"")"),10.98)</f>
        <v>10.98</v>
      </c>
      <c r="F2180" s="5" t="str">
        <f>IFERROR(__xludf.DUMMYFUNCTION("GOOGLEFINANCE(""ASX:UYLD"", ""pe"")"),"#N/A")</f>
        <v>#N/A</v>
      </c>
      <c r="G2180" s="9">
        <f>IFERROR(__xludf.DUMMYFUNCTION("GOOGLEFINANCE(""ASX:UYLD"", ""high52"")"),12.6)</f>
        <v>12.6</v>
      </c>
      <c r="H2180" s="9">
        <f>IFERROR(__xludf.DUMMYFUNCTION("GOOGLEFINANCE(""ASX:UYLD"", ""low52"")"),10.32)</f>
        <v>10.32</v>
      </c>
      <c r="I2180" s="9" t="str">
        <f>IFERROR(__xludf.DUMMYFUNCTION("GOOGLEFINANCE(""ASX:UYLD"", ""marketcap"")"),"#N/A")</f>
        <v>#N/A</v>
      </c>
      <c r="J2180" s="5"/>
      <c r="K2180" s="5"/>
      <c r="L2180" s="5"/>
      <c r="M2180" s="5"/>
      <c r="N2180" s="9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>
      <c r="A2181" s="6" t="s">
        <v>4321</v>
      </c>
      <c r="B2181" s="6" t="s">
        <v>4322</v>
      </c>
      <c r="C2181" s="5" t="s">
        <v>36</v>
      </c>
      <c r="D2181" s="7">
        <f>IFERROR(__xludf.DUMMYFUNCTION("GOOGLEFINANCE(""ASX:VACF"", ""price"")"),51.19)</f>
        <v>51.19</v>
      </c>
      <c r="E2181" s="8">
        <f>IFERROR(__xludf.DUMMYFUNCTION("GOOGLEFINANCE(""ASX:VACF"", ""closeyest"")"),51.16)</f>
        <v>51.16</v>
      </c>
      <c r="F2181" s="5" t="str">
        <f>IFERROR(__xludf.DUMMYFUNCTION("GOOGLEFINANCE(""ASX:VACF"", ""pe"")"),"#N/A")</f>
        <v>#N/A</v>
      </c>
      <c r="G2181" s="9">
        <f>IFERROR(__xludf.DUMMYFUNCTION("GOOGLEFINANCE(""ASX:VACF"", ""high52"")"),52.55)</f>
        <v>52.55</v>
      </c>
      <c r="H2181" s="9">
        <f>IFERROR(__xludf.DUMMYFUNCTION("GOOGLEFINANCE(""ASX:VACF"", ""low52"")"),50.66)</f>
        <v>50.66</v>
      </c>
      <c r="I2181" s="9" t="str">
        <f>IFERROR(__xludf.DUMMYFUNCTION("GOOGLEFINANCE(""ASX:VACF"", ""marketcap"")"),"#N/A")</f>
        <v>#N/A</v>
      </c>
      <c r="J2181" s="5"/>
      <c r="K2181" s="5"/>
      <c r="L2181" s="5"/>
      <c r="M2181" s="5"/>
      <c r="N2181" s="9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>
      <c r="A2182" s="6" t="s">
        <v>4323</v>
      </c>
      <c r="B2182" s="6" t="s">
        <v>4324</v>
      </c>
      <c r="C2182" s="5" t="s">
        <v>36</v>
      </c>
      <c r="D2182" s="7">
        <f>IFERROR(__xludf.DUMMYFUNCTION("GOOGLEFINANCE(""ASX:VAE"", ""price"")"),98.63)</f>
        <v>98.63</v>
      </c>
      <c r="E2182" s="8">
        <f>IFERROR(__xludf.DUMMYFUNCTION("GOOGLEFINANCE(""ASX:VAE"", ""closeyest"")"),99.29)</f>
        <v>99.29</v>
      </c>
      <c r="F2182" s="5" t="str">
        <f>IFERROR(__xludf.DUMMYFUNCTION("GOOGLEFINANCE(""ASX:VAE"", ""pe"")"),"#N/A")</f>
        <v>#N/A</v>
      </c>
      <c r="G2182" s="9">
        <f>IFERROR(__xludf.DUMMYFUNCTION("GOOGLEFINANCE(""ASX:VAE"", ""high52"")"),99.95)</f>
        <v>99.95</v>
      </c>
      <c r="H2182" s="9">
        <f>IFERROR(__xludf.DUMMYFUNCTION("GOOGLEFINANCE(""ASX:VAE"", ""low52"")"),74.07)</f>
        <v>74.07</v>
      </c>
      <c r="I2182" s="9" t="str">
        <f>IFERROR(__xludf.DUMMYFUNCTION("GOOGLEFINANCE(""ASX:VAE"", ""marketcap"")"),"#N/A")</f>
        <v>#N/A</v>
      </c>
      <c r="J2182" s="5"/>
      <c r="K2182" s="5"/>
      <c r="L2182" s="5"/>
      <c r="M2182" s="5"/>
      <c r="N2182" s="9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>
      <c r="A2183" s="6" t="s">
        <v>4325</v>
      </c>
      <c r="B2183" s="6" t="s">
        <v>4326</v>
      </c>
      <c r="C2183" s="5" t="s">
        <v>36</v>
      </c>
      <c r="D2183" s="7">
        <f>IFERROR(__xludf.DUMMYFUNCTION("GOOGLEFINANCE(""ASX:VAF"", ""price"")"),45.42)</f>
        <v>45.42</v>
      </c>
      <c r="E2183" s="8">
        <f>IFERROR(__xludf.DUMMYFUNCTION("GOOGLEFINANCE(""ASX:VAF"", ""closeyest"")"),45.41)</f>
        <v>45.41</v>
      </c>
      <c r="F2183" s="5" t="str">
        <f>IFERROR(__xludf.DUMMYFUNCTION("GOOGLEFINANCE(""ASX:VAF"", ""pe"")"),"#N/A")</f>
        <v>#N/A</v>
      </c>
      <c r="G2183" s="9">
        <f>IFERROR(__xludf.DUMMYFUNCTION("GOOGLEFINANCE(""ASX:VAF"", ""high52"")"),47.11)</f>
        <v>47.11</v>
      </c>
      <c r="H2183" s="9">
        <f>IFERROR(__xludf.DUMMYFUNCTION("GOOGLEFINANCE(""ASX:VAF"", ""low52"")"),44.84)</f>
        <v>44.84</v>
      </c>
      <c r="I2183" s="9" t="str">
        <f>IFERROR(__xludf.DUMMYFUNCTION("GOOGLEFINANCE(""ASX:VAF"", ""marketcap"")"),"#N/A")</f>
        <v>#N/A</v>
      </c>
      <c r="J2183" s="5"/>
      <c r="K2183" s="5"/>
      <c r="L2183" s="5"/>
      <c r="M2183" s="5"/>
      <c r="N2183" s="9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>
      <c r="A2184" s="6" t="s">
        <v>4327</v>
      </c>
      <c r="B2184" s="6" t="s">
        <v>4328</v>
      </c>
      <c r="C2184" s="5" t="s">
        <v>36</v>
      </c>
      <c r="D2184" s="7">
        <f>IFERROR(__xludf.DUMMYFUNCTION("GOOGLEFINANCE(""ASX:VAP"", ""price"")"),98.83)</f>
        <v>98.83</v>
      </c>
      <c r="E2184" s="8">
        <f>IFERROR(__xludf.DUMMYFUNCTION("GOOGLEFINANCE(""ASX:VAP"", ""closeyest"")"),98.84)</f>
        <v>98.84</v>
      </c>
      <c r="F2184" s="5" t="str">
        <f>IFERROR(__xludf.DUMMYFUNCTION("GOOGLEFINANCE(""ASX:VAP"", ""pe"")"),"#N/A")</f>
        <v>#N/A</v>
      </c>
      <c r="G2184" s="9">
        <f>IFERROR(__xludf.DUMMYFUNCTION("GOOGLEFINANCE(""ASX:VAP"", ""high52"")"),108.29)</f>
        <v>108.29</v>
      </c>
      <c r="H2184" s="9">
        <f>IFERROR(__xludf.DUMMYFUNCTION("GOOGLEFINANCE(""ASX:VAP"", ""low52"")"),79.99)</f>
        <v>79.99</v>
      </c>
      <c r="I2184" s="9" t="str">
        <f>IFERROR(__xludf.DUMMYFUNCTION("GOOGLEFINANCE(""ASX:VAP"", ""marketcap"")"),"#N/A")</f>
        <v>#N/A</v>
      </c>
      <c r="J2184" s="5"/>
      <c r="K2184" s="5"/>
      <c r="L2184" s="5"/>
      <c r="M2184" s="5"/>
      <c r="N2184" s="9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>
      <c r="A2185" s="6" t="s">
        <v>4329</v>
      </c>
      <c r="B2185" s="6" t="s">
        <v>4330</v>
      </c>
      <c r="C2185" s="5" t="s">
        <v>450</v>
      </c>
      <c r="D2185" s="7">
        <f>IFERROR(__xludf.DUMMYFUNCTION("GOOGLEFINANCE(""ASX:VAR"", ""price"")"),0.01)</f>
        <v>0.01</v>
      </c>
      <c r="E2185" s="8">
        <f>IFERROR(__xludf.DUMMYFUNCTION("GOOGLEFINANCE(""ASX:VAR"", ""closeyest"")"),0.01)</f>
        <v>0.01</v>
      </c>
      <c r="F2185" s="5" t="str">
        <f>IFERROR(__xludf.DUMMYFUNCTION("GOOGLEFINANCE(""ASX:VAR"", ""pe"")"),"#N/A")</f>
        <v>#N/A</v>
      </c>
      <c r="G2185" s="9">
        <f>IFERROR(__xludf.DUMMYFUNCTION("GOOGLEFINANCE(""ASX:VAR"", ""high52"")"),0.01)</f>
        <v>0.01</v>
      </c>
      <c r="H2185" s="9">
        <f>IFERROR(__xludf.DUMMYFUNCTION("GOOGLEFINANCE(""ASX:VAR"", ""low52"")"),0.0)</f>
        <v>0</v>
      </c>
      <c r="I2185" s="9">
        <f>IFERROR(__xludf.DUMMYFUNCTION("GOOGLEFINANCE(""ASX:VAR"", ""marketcap"")"),5238065.0)</f>
        <v>5238065</v>
      </c>
      <c r="J2185" s="5"/>
      <c r="K2185" s="5"/>
      <c r="L2185" s="5"/>
      <c r="M2185" s="5"/>
      <c r="N2185" s="9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>
      <c r="A2186" s="6" t="s">
        <v>4331</v>
      </c>
      <c r="B2186" s="6" t="s">
        <v>4332</v>
      </c>
      <c r="C2186" s="5" t="s">
        <v>36</v>
      </c>
      <c r="D2186" s="7">
        <f>IFERROR(__xludf.DUMMYFUNCTION("GOOGLEFINANCE(""ASX:VAS"", ""price"")"),107.91)</f>
        <v>107.91</v>
      </c>
      <c r="E2186" s="8">
        <f>IFERROR(__xludf.DUMMYFUNCTION("GOOGLEFINANCE(""ASX:VAS"", ""closeyest"")"),107.65)</f>
        <v>107.65</v>
      </c>
      <c r="F2186" s="5" t="str">
        <f>IFERROR(__xludf.DUMMYFUNCTION("GOOGLEFINANCE(""ASX:VAS"", ""pe"")"),"#N/A")</f>
        <v>#N/A</v>
      </c>
      <c r="G2186" s="9">
        <f>IFERROR(__xludf.DUMMYFUNCTION("GOOGLEFINANCE(""ASX:VAS"", ""high52"")"),113.18)</f>
        <v>113.18</v>
      </c>
      <c r="H2186" s="9">
        <f>IFERROR(__xludf.DUMMYFUNCTION("GOOGLEFINANCE(""ASX:VAS"", ""low52"")"),88.64)</f>
        <v>88.64</v>
      </c>
      <c r="I2186" s="9" t="str">
        <f>IFERROR(__xludf.DUMMYFUNCTION("GOOGLEFINANCE(""ASX:VAS"", ""marketcap"")"),"#N/A")</f>
        <v>#N/A</v>
      </c>
      <c r="J2186" s="5"/>
      <c r="K2186" s="5"/>
      <c r="L2186" s="5"/>
      <c r="M2186" s="5"/>
      <c r="N2186" s="9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>
      <c r="A2187" s="6" t="s">
        <v>4333</v>
      </c>
      <c r="B2187" s="6" t="s">
        <v>4334</v>
      </c>
      <c r="C2187" s="5" t="s">
        <v>88</v>
      </c>
      <c r="D2187" s="7">
        <f>IFERROR(__xludf.DUMMYFUNCTION("GOOGLEFINANCE(""ASX:VAU"", ""price"")"),5.71)</f>
        <v>5.71</v>
      </c>
      <c r="E2187" s="8">
        <f>IFERROR(__xludf.DUMMYFUNCTION("GOOGLEFINANCE(""ASX:VAU"", ""closeyest"")"),5.73)</f>
        <v>5.73</v>
      </c>
      <c r="F2187" s="9">
        <f>IFERROR(__xludf.DUMMYFUNCTION("GOOGLEFINANCE(""ASX:VAU"", ""pe"")"),25.41)</f>
        <v>25.41</v>
      </c>
      <c r="G2187" s="9">
        <f>IFERROR(__xludf.DUMMYFUNCTION("GOOGLEFINANCE(""ASX:VAU"", ""high52"")"),5.8)</f>
        <v>5.8</v>
      </c>
      <c r="H2187" s="9">
        <f>IFERROR(__xludf.DUMMYFUNCTION("GOOGLEFINANCE(""ASX:VAU"", ""low52"")"),2.11)</f>
        <v>2.11</v>
      </c>
      <c r="I2187" s="9">
        <f>IFERROR(__xludf.DUMMYFUNCTION("GOOGLEFINANCE(""ASX:VAU"", ""marketcap"")"),5.963158599E9)</f>
        <v>5963158599</v>
      </c>
      <c r="J2187" s="5"/>
      <c r="K2187" s="5"/>
      <c r="L2187" s="5"/>
      <c r="M2187" s="5"/>
      <c r="N2187" s="9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>
      <c r="A2188" s="6" t="s">
        <v>4335</v>
      </c>
      <c r="B2188" s="6" t="s">
        <v>4336</v>
      </c>
      <c r="C2188" s="5" t="s">
        <v>123</v>
      </c>
      <c r="D2188" s="7">
        <f>IFERROR(__xludf.DUMMYFUNCTION("GOOGLEFINANCE(""ASX:VBC"", ""price"")"),0.2)</f>
        <v>0.2</v>
      </c>
      <c r="E2188" s="8">
        <f>IFERROR(__xludf.DUMMYFUNCTION("GOOGLEFINANCE(""ASX:VBC"", ""closeyest"")"),0.2)</f>
        <v>0.2</v>
      </c>
      <c r="F2188" s="9">
        <f>IFERROR(__xludf.DUMMYFUNCTION("GOOGLEFINANCE(""ASX:VBC"", ""pe"")"),16.61)</f>
        <v>16.61</v>
      </c>
      <c r="G2188" s="9">
        <f>IFERROR(__xludf.DUMMYFUNCTION("GOOGLEFINANCE(""ASX:VBC"", ""high52"")"),0.22)</f>
        <v>0.22</v>
      </c>
      <c r="H2188" s="9">
        <f>IFERROR(__xludf.DUMMYFUNCTION("GOOGLEFINANCE(""ASX:VBC"", ""low52"")"),0.05)</f>
        <v>0.05</v>
      </c>
      <c r="I2188" s="9">
        <f>IFERROR(__xludf.DUMMYFUNCTION("GOOGLEFINANCE(""ASX:VBC"", ""marketcap"")"),5.698787E7)</f>
        <v>56987870</v>
      </c>
      <c r="J2188" s="5"/>
      <c r="K2188" s="5"/>
      <c r="L2188" s="5"/>
      <c r="M2188" s="5"/>
      <c r="N2188" s="9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>
      <c r="A2189" s="6" t="s">
        <v>4337</v>
      </c>
      <c r="B2189" s="6" t="s">
        <v>4338</v>
      </c>
      <c r="C2189" s="5" t="s">
        <v>36</v>
      </c>
      <c r="D2189" s="7">
        <f>IFERROR(__xludf.DUMMYFUNCTION("GOOGLEFINANCE(""ASX:VBLD"", ""price"")"),71.38)</f>
        <v>71.38</v>
      </c>
      <c r="E2189" s="8">
        <f>IFERROR(__xludf.DUMMYFUNCTION("GOOGLEFINANCE(""ASX:VBLD"", ""closeyest"")"),71.39)</f>
        <v>71.39</v>
      </c>
      <c r="F2189" s="5" t="str">
        <f>IFERROR(__xludf.DUMMYFUNCTION("GOOGLEFINANCE(""ASX:VBLD"", ""pe"")"),"#N/A")</f>
        <v>#N/A</v>
      </c>
      <c r="G2189" s="9">
        <f>IFERROR(__xludf.DUMMYFUNCTION("GOOGLEFINANCE(""ASX:VBLD"", ""high52"")"),76.16)</f>
        <v>76.16</v>
      </c>
      <c r="H2189" s="9">
        <f>IFERROR(__xludf.DUMMYFUNCTION("GOOGLEFINANCE(""ASX:VBLD"", ""low52"")"),69.78)</f>
        <v>69.78</v>
      </c>
      <c r="I2189" s="9" t="str">
        <f>IFERROR(__xludf.DUMMYFUNCTION("GOOGLEFINANCE(""ASX:VBLD"", ""marketcap"")"),"#N/A")</f>
        <v>#N/A</v>
      </c>
      <c r="J2189" s="5"/>
      <c r="K2189" s="5"/>
      <c r="L2189" s="5"/>
      <c r="M2189" s="5"/>
      <c r="N2189" s="9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>
      <c r="A2190" s="6" t="s">
        <v>4339</v>
      </c>
      <c r="B2190" s="6" t="s">
        <v>4340</v>
      </c>
      <c r="C2190" s="5" t="s">
        <v>36</v>
      </c>
      <c r="D2190" s="7">
        <f>IFERROR(__xludf.DUMMYFUNCTION("GOOGLEFINANCE(""ASX:VBND"", ""price"")"),42.36)</f>
        <v>42.36</v>
      </c>
      <c r="E2190" s="8">
        <f>IFERROR(__xludf.DUMMYFUNCTION("GOOGLEFINANCE(""ASX:VBND"", ""closeyest"")"),42.27)</f>
        <v>42.27</v>
      </c>
      <c r="F2190" s="5" t="str">
        <f>IFERROR(__xludf.DUMMYFUNCTION("GOOGLEFINANCE(""ASX:VBND"", ""pe"")"),"#N/A")</f>
        <v>#N/A</v>
      </c>
      <c r="G2190" s="9">
        <f>IFERROR(__xludf.DUMMYFUNCTION("GOOGLEFINANCE(""ASX:VBND"", ""high52"")"),42.99)</f>
        <v>42.99</v>
      </c>
      <c r="H2190" s="9">
        <f>IFERROR(__xludf.DUMMYFUNCTION("GOOGLEFINANCE(""ASX:VBND"", ""low52"")"),41.09)</f>
        <v>41.09</v>
      </c>
      <c r="I2190" s="9" t="str">
        <f>IFERROR(__xludf.DUMMYFUNCTION("GOOGLEFINANCE(""ASX:VBND"", ""marketcap"")"),"#N/A")</f>
        <v>#N/A</v>
      </c>
      <c r="J2190" s="5"/>
      <c r="K2190" s="5"/>
      <c r="L2190" s="5"/>
      <c r="M2190" s="5"/>
      <c r="N2190" s="9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>
      <c r="A2191" s="6" t="s">
        <v>4341</v>
      </c>
      <c r="B2191" s="6" t="s">
        <v>4342</v>
      </c>
      <c r="C2191" s="5" t="s">
        <v>25</v>
      </c>
      <c r="D2191" s="7">
        <f>IFERROR(__xludf.DUMMYFUNCTION("GOOGLEFINANCE(""ASX:VBS"", ""price"")"),0.17)</f>
        <v>0.17</v>
      </c>
      <c r="E2191" s="8">
        <f>IFERROR(__xludf.DUMMYFUNCTION("GOOGLEFINANCE(""ASX:VBS"", ""closeyest"")"),0.17)</f>
        <v>0.17</v>
      </c>
      <c r="F2191" s="5" t="str">
        <f>IFERROR(__xludf.DUMMYFUNCTION("GOOGLEFINANCE(""ASX:VBS"", ""pe"")"),"#N/A")</f>
        <v>#N/A</v>
      </c>
      <c r="G2191" s="9">
        <f>IFERROR(__xludf.DUMMYFUNCTION("GOOGLEFINANCE(""ASX:VBS"", ""high52"")"),0.46)</f>
        <v>0.46</v>
      </c>
      <c r="H2191" s="9">
        <f>IFERROR(__xludf.DUMMYFUNCTION("GOOGLEFINANCE(""ASX:VBS"", ""low52"")"),0.04)</f>
        <v>0.04</v>
      </c>
      <c r="I2191" s="9">
        <f>IFERROR(__xludf.DUMMYFUNCTION("GOOGLEFINANCE(""ASX:VBS"", ""marketcap"")"),8816503.0)</f>
        <v>8816503</v>
      </c>
      <c r="J2191" s="5"/>
      <c r="K2191" s="5"/>
      <c r="L2191" s="5"/>
      <c r="M2191" s="5"/>
      <c r="N2191" s="9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>
      <c r="A2192" s="6" t="s">
        <v>4343</v>
      </c>
      <c r="B2192" s="6" t="s">
        <v>4344</v>
      </c>
      <c r="C2192" s="5" t="s">
        <v>36</v>
      </c>
      <c r="D2192" s="7">
        <f>IFERROR(__xludf.DUMMYFUNCTION("GOOGLEFINANCE(""ASX:VBTC"", ""price"")"),27.75)</f>
        <v>27.75</v>
      </c>
      <c r="E2192" s="8">
        <f>IFERROR(__xludf.DUMMYFUNCTION("GOOGLEFINANCE(""ASX:VBTC"", ""closeyest"")"),28.18)</f>
        <v>28.18</v>
      </c>
      <c r="F2192" s="5" t="str">
        <f>IFERROR(__xludf.DUMMYFUNCTION("GOOGLEFINANCE(""ASX:VBTC"", ""pe"")"),"#N/A")</f>
        <v>#N/A</v>
      </c>
      <c r="G2192" s="9">
        <f>IFERROR(__xludf.DUMMYFUNCTION("GOOGLEFINANCE(""ASX:VBTC"", ""high52"")"),38.5)</f>
        <v>38.5</v>
      </c>
      <c r="H2192" s="9">
        <f>IFERROR(__xludf.DUMMYFUNCTION("GOOGLEFINANCE(""ASX:VBTC"", ""low52"")"),24.81)</f>
        <v>24.81</v>
      </c>
      <c r="I2192" s="9" t="str">
        <f>IFERROR(__xludf.DUMMYFUNCTION("GOOGLEFINANCE(""ASX:VBTC"", ""marketcap"")"),"#N/A")</f>
        <v>#N/A</v>
      </c>
      <c r="J2192" s="5"/>
      <c r="K2192" s="5"/>
      <c r="L2192" s="5"/>
      <c r="M2192" s="5"/>
      <c r="N2192" s="9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>
      <c r="A2193" s="6" t="s">
        <v>4345</v>
      </c>
      <c r="B2193" s="6" t="s">
        <v>4346</v>
      </c>
      <c r="C2193" s="5" t="s">
        <v>39</v>
      </c>
      <c r="D2193" s="7">
        <f>IFERROR(__xludf.DUMMYFUNCTION("GOOGLEFINANCE(""ASX:VBX"", ""price"")"),0.5)</f>
        <v>0.5</v>
      </c>
      <c r="E2193" s="8">
        <f>IFERROR(__xludf.DUMMYFUNCTION("GOOGLEFINANCE(""ASX:VBX"", ""closeyest"")"),0.52)</f>
        <v>0.52</v>
      </c>
      <c r="F2193" s="5" t="str">
        <f>IFERROR(__xludf.DUMMYFUNCTION("GOOGLEFINANCE(""ASX:VBX"", ""pe"")"),"#N/A")</f>
        <v>#N/A</v>
      </c>
      <c r="G2193" s="9">
        <f>IFERROR(__xludf.DUMMYFUNCTION("GOOGLEFINANCE(""ASX:VBX"", ""high52"")"),0.82)</f>
        <v>0.82</v>
      </c>
      <c r="H2193" s="9">
        <f>IFERROR(__xludf.DUMMYFUNCTION("GOOGLEFINANCE(""ASX:VBX"", ""low52"")"),0.34)</f>
        <v>0.34</v>
      </c>
      <c r="I2193" s="9">
        <f>IFERROR(__xludf.DUMMYFUNCTION("GOOGLEFINANCE(""ASX:VBX"", ""marketcap"")"),2.1590375E7)</f>
        <v>21590375</v>
      </c>
      <c r="J2193" s="5"/>
      <c r="K2193" s="5"/>
      <c r="L2193" s="5"/>
      <c r="M2193" s="5"/>
      <c r="N2193" s="9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>
      <c r="A2194" s="6" t="s">
        <v>4347</v>
      </c>
      <c r="B2194" s="6" t="s">
        <v>4348</v>
      </c>
      <c r="C2194" s="5" t="s">
        <v>36</v>
      </c>
      <c r="D2194" s="7">
        <f>IFERROR(__xludf.DUMMYFUNCTION("GOOGLEFINANCE(""ASX:VCF"", ""price"")"),39.24)</f>
        <v>39.24</v>
      </c>
      <c r="E2194" s="8">
        <f>IFERROR(__xludf.DUMMYFUNCTION("GOOGLEFINANCE(""ASX:VCF"", ""closeyest"")"),39.18)</f>
        <v>39.18</v>
      </c>
      <c r="F2194" s="5" t="str">
        <f>IFERROR(__xludf.DUMMYFUNCTION("GOOGLEFINANCE(""ASX:VCF"", ""pe"")"),"#N/A")</f>
        <v>#N/A</v>
      </c>
      <c r="G2194" s="9">
        <f>IFERROR(__xludf.DUMMYFUNCTION("GOOGLEFINANCE(""ASX:VCF"", ""high52"")"),40.0)</f>
        <v>40</v>
      </c>
      <c r="H2194" s="9">
        <f>IFERROR(__xludf.DUMMYFUNCTION("GOOGLEFINANCE(""ASX:VCF"", ""low52"")"),37.8)</f>
        <v>37.8</v>
      </c>
      <c r="I2194" s="9" t="str">
        <f>IFERROR(__xludf.DUMMYFUNCTION("GOOGLEFINANCE(""ASX:VCF"", ""marketcap"")"),"#N/A")</f>
        <v>#N/A</v>
      </c>
      <c r="J2194" s="5"/>
      <c r="K2194" s="5"/>
      <c r="L2194" s="5"/>
      <c r="M2194" s="5"/>
      <c r="N2194" s="9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>
      <c r="A2195" s="6" t="s">
        <v>4349</v>
      </c>
      <c r="B2195" s="6" t="s">
        <v>4350</v>
      </c>
      <c r="C2195" s="5" t="s">
        <v>418</v>
      </c>
      <c r="D2195" s="7">
        <f>IFERROR(__xludf.DUMMYFUNCTION("GOOGLEFINANCE(""ASX:VCX"", ""price"")"),2.61)</f>
        <v>2.61</v>
      </c>
      <c r="E2195" s="8">
        <f>IFERROR(__xludf.DUMMYFUNCTION("GOOGLEFINANCE(""ASX:VCX"", ""closeyest"")"),2.54)</f>
        <v>2.54</v>
      </c>
      <c r="F2195" s="9">
        <f>IFERROR(__xludf.DUMMYFUNCTION("GOOGLEFINANCE(""ASX:VCX"", ""pe"")"),1.42)</f>
        <v>1.42</v>
      </c>
      <c r="G2195" s="9">
        <f>IFERROR(__xludf.DUMMYFUNCTION("GOOGLEFINANCE(""ASX:VCX"", ""high52"")"),2.69)</f>
        <v>2.69</v>
      </c>
      <c r="H2195" s="9">
        <f>IFERROR(__xludf.DUMMYFUNCTION("GOOGLEFINANCE(""ASX:VCX"", ""low52"")"),2.06)</f>
        <v>2.06</v>
      </c>
      <c r="I2195" s="9">
        <f>IFERROR(__xludf.DUMMYFUNCTION("GOOGLEFINANCE(""ASX:VCX"", ""marketcap"")"),1.186723E10)</f>
        <v>11867230000</v>
      </c>
      <c r="J2195" s="5"/>
      <c r="K2195" s="5"/>
      <c r="L2195" s="5"/>
      <c r="M2195" s="5"/>
      <c r="N2195" s="9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>
      <c r="A2196" s="6" t="s">
        <v>4351</v>
      </c>
      <c r="B2196" s="6" t="s">
        <v>4352</v>
      </c>
      <c r="C2196" s="5" t="s">
        <v>36</v>
      </c>
      <c r="D2196" s="7">
        <f>IFERROR(__xludf.DUMMYFUNCTION("GOOGLEFINANCE(""ASX:VDAL"", ""price"")"),55.5)</f>
        <v>55.5</v>
      </c>
      <c r="E2196" s="8">
        <f>IFERROR(__xludf.DUMMYFUNCTION("GOOGLEFINANCE(""ASX:VDAL"", ""closeyest"")"),55.45)</f>
        <v>55.45</v>
      </c>
      <c r="F2196" s="5" t="str">
        <f>IFERROR(__xludf.DUMMYFUNCTION("GOOGLEFINANCE(""ASX:VDAL"", ""pe"")"),"#N/A")</f>
        <v>#N/A</v>
      </c>
      <c r="G2196" s="9">
        <f>IFERROR(__xludf.DUMMYFUNCTION("GOOGLEFINANCE(""ASX:VDAL"", ""high52"")"),56.65)</f>
        <v>56.65</v>
      </c>
      <c r="H2196" s="9">
        <f>IFERROR(__xludf.DUMMYFUNCTION("GOOGLEFINANCE(""ASX:VDAL"", ""low52"")"),44.22)</f>
        <v>44.22</v>
      </c>
      <c r="I2196" s="9" t="str">
        <f>IFERROR(__xludf.DUMMYFUNCTION("GOOGLEFINANCE(""ASX:VDAL"", ""marketcap"")"),"#N/A")</f>
        <v>#N/A</v>
      </c>
      <c r="J2196" s="5"/>
      <c r="K2196" s="5"/>
      <c r="L2196" s="5"/>
      <c r="M2196" s="5"/>
      <c r="N2196" s="9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>
      <c r="A2197" s="6" t="s">
        <v>4353</v>
      </c>
      <c r="B2197" s="6" t="s">
        <v>4354</v>
      </c>
      <c r="C2197" s="5" t="s">
        <v>36</v>
      </c>
      <c r="D2197" s="7">
        <f>IFERROR(__xludf.DUMMYFUNCTION("GOOGLEFINANCE(""ASX:VDBA"", ""price"")"),60.53)</f>
        <v>60.53</v>
      </c>
      <c r="E2197" s="8">
        <f>IFERROR(__xludf.DUMMYFUNCTION("GOOGLEFINANCE(""ASX:VDBA"", ""closeyest"")"),60.44)</f>
        <v>60.44</v>
      </c>
      <c r="F2197" s="5" t="str">
        <f>IFERROR(__xludf.DUMMYFUNCTION("GOOGLEFINANCE(""ASX:VDBA"", ""pe"")"),"#N/A")</f>
        <v>#N/A</v>
      </c>
      <c r="G2197" s="9">
        <f>IFERROR(__xludf.DUMMYFUNCTION("GOOGLEFINANCE(""ASX:VDBA"", ""high52"")"),61.52)</f>
        <v>61.52</v>
      </c>
      <c r="H2197" s="9">
        <f>IFERROR(__xludf.DUMMYFUNCTION("GOOGLEFINANCE(""ASX:VDBA"", ""low52"")"),53.5)</f>
        <v>53.5</v>
      </c>
      <c r="I2197" s="9" t="str">
        <f>IFERROR(__xludf.DUMMYFUNCTION("GOOGLEFINANCE(""ASX:VDBA"", ""marketcap"")"),"#N/A")</f>
        <v>#N/A</v>
      </c>
      <c r="J2197" s="5"/>
      <c r="K2197" s="5"/>
      <c r="L2197" s="5"/>
      <c r="M2197" s="5"/>
      <c r="N2197" s="9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>
      <c r="A2198" s="6" t="s">
        <v>4355</v>
      </c>
      <c r="B2198" s="6" t="s">
        <v>4356</v>
      </c>
      <c r="C2198" s="5" t="s">
        <v>36</v>
      </c>
      <c r="D2198" s="7">
        <f>IFERROR(__xludf.DUMMYFUNCTION("GOOGLEFINANCE(""ASX:VDCO"", ""price"")"),56.11)</f>
        <v>56.11</v>
      </c>
      <c r="E2198" s="8">
        <f>IFERROR(__xludf.DUMMYFUNCTION("GOOGLEFINANCE(""ASX:VDCO"", ""closeyest"")"),56.04)</f>
        <v>56.04</v>
      </c>
      <c r="F2198" s="5" t="str">
        <f>IFERROR(__xludf.DUMMYFUNCTION("GOOGLEFINANCE(""ASX:VDCO"", ""pe"")"),"#N/A")</f>
        <v>#N/A</v>
      </c>
      <c r="G2198" s="9">
        <f>IFERROR(__xludf.DUMMYFUNCTION("GOOGLEFINANCE(""ASX:VDCO"", ""high52"")"),56.79)</f>
        <v>56.79</v>
      </c>
      <c r="H2198" s="9">
        <f>IFERROR(__xludf.DUMMYFUNCTION("GOOGLEFINANCE(""ASX:VDCO"", ""low52"")"),51.5)</f>
        <v>51.5</v>
      </c>
      <c r="I2198" s="9" t="str">
        <f>IFERROR(__xludf.DUMMYFUNCTION("GOOGLEFINANCE(""ASX:VDCO"", ""marketcap"")"),"#N/A")</f>
        <v>#N/A</v>
      </c>
      <c r="J2198" s="5"/>
      <c r="K2198" s="5"/>
      <c r="L2198" s="5"/>
      <c r="M2198" s="5"/>
      <c r="N2198" s="9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>
      <c r="A2199" s="6" t="s">
        <v>4357</v>
      </c>
      <c r="B2199" s="6" t="s">
        <v>4358</v>
      </c>
      <c r="C2199" s="5" t="s">
        <v>36</v>
      </c>
      <c r="D2199" s="7">
        <f>IFERROR(__xludf.DUMMYFUNCTION("GOOGLEFINANCE(""ASX:VDGR"", ""price"")"),67.38)</f>
        <v>67.38</v>
      </c>
      <c r="E2199" s="8">
        <f>IFERROR(__xludf.DUMMYFUNCTION("GOOGLEFINANCE(""ASX:VDGR"", ""closeyest"")"),67.37)</f>
        <v>67.37</v>
      </c>
      <c r="F2199" s="5" t="str">
        <f>IFERROR(__xludf.DUMMYFUNCTION("GOOGLEFINANCE(""ASX:VDGR"", ""pe"")"),"#N/A")</f>
        <v>#N/A</v>
      </c>
      <c r="G2199" s="9">
        <f>IFERROR(__xludf.DUMMYFUNCTION("GOOGLEFINANCE(""ASX:VDGR"", ""high52"")"),68.43)</f>
        <v>68.43</v>
      </c>
      <c r="H2199" s="9">
        <f>IFERROR(__xludf.DUMMYFUNCTION("GOOGLEFINANCE(""ASX:VDGR"", ""low52"")"),57.15)</f>
        <v>57.15</v>
      </c>
      <c r="I2199" s="9" t="str">
        <f>IFERROR(__xludf.DUMMYFUNCTION("GOOGLEFINANCE(""ASX:VDGR"", ""marketcap"")"),"#N/A")</f>
        <v>#N/A</v>
      </c>
      <c r="J2199" s="5"/>
      <c r="K2199" s="5"/>
      <c r="L2199" s="5"/>
      <c r="M2199" s="5"/>
      <c r="N2199" s="9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>
      <c r="A2200" s="6" t="s">
        <v>4359</v>
      </c>
      <c r="B2200" s="6" t="s">
        <v>4360</v>
      </c>
      <c r="C2200" s="5" t="s">
        <v>36</v>
      </c>
      <c r="D2200" s="7">
        <f>IFERROR(__xludf.DUMMYFUNCTION("GOOGLEFINANCE(""ASX:VDHG"", ""price"")"),74.23)</f>
        <v>74.23</v>
      </c>
      <c r="E2200" s="8">
        <f>IFERROR(__xludf.DUMMYFUNCTION("GOOGLEFINANCE(""ASX:VDHG"", ""closeyest"")"),74.23)</f>
        <v>74.23</v>
      </c>
      <c r="F2200" s="5" t="str">
        <f>IFERROR(__xludf.DUMMYFUNCTION("GOOGLEFINANCE(""ASX:VDHG"", ""pe"")"),"#N/A")</f>
        <v>#N/A</v>
      </c>
      <c r="G2200" s="9">
        <f>IFERROR(__xludf.DUMMYFUNCTION("GOOGLEFINANCE(""ASX:VDHG"", ""high52"")"),75.46)</f>
        <v>75.46</v>
      </c>
      <c r="H2200" s="9">
        <f>IFERROR(__xludf.DUMMYFUNCTION("GOOGLEFINANCE(""ASX:VDHG"", ""low52"")"),60.5)</f>
        <v>60.5</v>
      </c>
      <c r="I2200" s="9" t="str">
        <f>IFERROR(__xludf.DUMMYFUNCTION("GOOGLEFINANCE(""ASX:VDHG"", ""marketcap"")"),"#N/A")</f>
        <v>#N/A</v>
      </c>
      <c r="J2200" s="5"/>
      <c r="K2200" s="5"/>
      <c r="L2200" s="5"/>
      <c r="M2200" s="5"/>
      <c r="N2200" s="9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>
      <c r="A2201" s="6" t="s">
        <v>4361</v>
      </c>
      <c r="B2201" s="6" t="s">
        <v>4362</v>
      </c>
      <c r="C2201" s="5" t="s">
        <v>36</v>
      </c>
      <c r="D2201" s="7">
        <f>IFERROR(__xludf.DUMMYFUNCTION("GOOGLEFINANCE(""ASX:VDIF"", ""price"")"),52.53)</f>
        <v>52.53</v>
      </c>
      <c r="E2201" s="8">
        <f>IFERROR(__xludf.DUMMYFUNCTION("GOOGLEFINANCE(""ASX:VDIF"", ""closeyest"")"),52.53)</f>
        <v>52.53</v>
      </c>
      <c r="F2201" s="5" t="str">
        <f>IFERROR(__xludf.DUMMYFUNCTION("GOOGLEFINANCE(""ASX:VDIF"", ""pe"")"),"#N/A")</f>
        <v>#N/A</v>
      </c>
      <c r="G2201" s="9">
        <f>IFERROR(__xludf.DUMMYFUNCTION("GOOGLEFINANCE(""ASX:VDIF"", ""high52"")"),53.51)</f>
        <v>53.51</v>
      </c>
      <c r="H2201" s="9">
        <f>IFERROR(__xludf.DUMMYFUNCTION("GOOGLEFINANCE(""ASX:VDIF"", ""low52"")"),47.07)</f>
        <v>47.07</v>
      </c>
      <c r="I2201" s="9" t="str">
        <f>IFERROR(__xludf.DUMMYFUNCTION("GOOGLEFINANCE(""ASX:VDIF"", ""marketcap"")"),"#N/A")</f>
        <v>#N/A</v>
      </c>
      <c r="J2201" s="5"/>
      <c r="K2201" s="5"/>
      <c r="L2201" s="5"/>
      <c r="M2201" s="5"/>
      <c r="N2201" s="9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>
      <c r="A2202" s="6" t="s">
        <v>4363</v>
      </c>
      <c r="B2202" s="6" t="s">
        <v>4364</v>
      </c>
      <c r="C2202" s="5" t="s">
        <v>341</v>
      </c>
      <c r="D2202" s="7">
        <f>IFERROR(__xludf.DUMMYFUNCTION("GOOGLEFINANCE(""ASX:VEA"", ""price"")"),2.0)</f>
        <v>2</v>
      </c>
      <c r="E2202" s="8">
        <f>IFERROR(__xludf.DUMMYFUNCTION("GOOGLEFINANCE(""ASX:VEA"", ""closeyest"")"),2.09)</f>
        <v>2.09</v>
      </c>
      <c r="F2202" s="5" t="str">
        <f>IFERROR(__xludf.DUMMYFUNCTION("GOOGLEFINANCE(""ASX:VEA"", ""pe"")"),"#N/A")</f>
        <v>#N/A</v>
      </c>
      <c r="G2202" s="9">
        <f>IFERROR(__xludf.DUMMYFUNCTION("GOOGLEFINANCE(""ASX:VEA"", ""high52"")"),2.83)</f>
        <v>2.83</v>
      </c>
      <c r="H2202" s="9">
        <f>IFERROR(__xludf.DUMMYFUNCTION("GOOGLEFINANCE(""ASX:VEA"", ""low52"")"),1.41)</f>
        <v>1.41</v>
      </c>
      <c r="I2202" s="9">
        <f>IFERROR(__xludf.DUMMYFUNCTION("GOOGLEFINANCE(""ASX:VEA"", ""marketcap"")"),3.251302E9)</f>
        <v>3251302000</v>
      </c>
      <c r="J2202" s="5"/>
      <c r="K2202" s="5"/>
      <c r="L2202" s="5"/>
      <c r="M2202" s="5"/>
      <c r="N2202" s="9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>
      <c r="A2203" s="6" t="s">
        <v>4365</v>
      </c>
      <c r="B2203" s="6" t="s">
        <v>4366</v>
      </c>
      <c r="C2203" s="5" t="s">
        <v>4367</v>
      </c>
      <c r="D2203" s="7">
        <f>IFERROR(__xludf.DUMMYFUNCTION("GOOGLEFINANCE(""ASX:VEE"", ""price"")"),0.72)</f>
        <v>0.72</v>
      </c>
      <c r="E2203" s="8">
        <f>IFERROR(__xludf.DUMMYFUNCTION("GOOGLEFINANCE(""ASX:VEE"", ""closeyest"")"),0.74)</f>
        <v>0.74</v>
      </c>
      <c r="F2203" s="9">
        <f>IFERROR(__xludf.DUMMYFUNCTION("GOOGLEFINANCE(""ASX:VEE"", ""pe"")"),32.18)</f>
        <v>32.18</v>
      </c>
      <c r="G2203" s="9">
        <f>IFERROR(__xludf.DUMMYFUNCTION("GOOGLEFINANCE(""ASX:VEE"", ""high52"")"),1.95)</f>
        <v>1.95</v>
      </c>
      <c r="H2203" s="9">
        <f>IFERROR(__xludf.DUMMYFUNCTION("GOOGLEFINANCE(""ASX:VEE"", ""low52"")"),0.61)</f>
        <v>0.61</v>
      </c>
      <c r="I2203" s="9">
        <f>IFERROR(__xludf.DUMMYFUNCTION("GOOGLEFINANCE(""ASX:VEE"", ""marketcap"")"),1.04925745E8)</f>
        <v>104925745</v>
      </c>
      <c r="J2203" s="5"/>
      <c r="K2203" s="5"/>
      <c r="L2203" s="5"/>
      <c r="M2203" s="5"/>
      <c r="N2203" s="9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>
      <c r="A2204" s="6" t="s">
        <v>4368</v>
      </c>
      <c r="B2204" s="6" t="s">
        <v>4369</v>
      </c>
      <c r="C2204" s="5" t="s">
        <v>36</v>
      </c>
      <c r="D2204" s="7">
        <f>IFERROR(__xludf.DUMMYFUNCTION("GOOGLEFINANCE(""ASX:VEFI"", ""price"")"),42.88)</f>
        <v>42.88</v>
      </c>
      <c r="E2204" s="8">
        <f>IFERROR(__xludf.DUMMYFUNCTION("GOOGLEFINANCE(""ASX:VEFI"", ""closeyest"")"),42.83)</f>
        <v>42.83</v>
      </c>
      <c r="F2204" s="5" t="str">
        <f>IFERROR(__xludf.DUMMYFUNCTION("GOOGLEFINANCE(""ASX:VEFI"", ""pe"")"),"#N/A")</f>
        <v>#N/A</v>
      </c>
      <c r="G2204" s="9">
        <f>IFERROR(__xludf.DUMMYFUNCTION("GOOGLEFINANCE(""ASX:VEFI"", ""high52"")"),43.45)</f>
        <v>43.45</v>
      </c>
      <c r="H2204" s="9">
        <f>IFERROR(__xludf.DUMMYFUNCTION("GOOGLEFINANCE(""ASX:VEFI"", ""low52"")"),41.2)</f>
        <v>41.2</v>
      </c>
      <c r="I2204" s="9" t="str">
        <f>IFERROR(__xludf.DUMMYFUNCTION("GOOGLEFINANCE(""ASX:VEFI"", ""marketcap"")"),"#N/A")</f>
        <v>#N/A</v>
      </c>
      <c r="J2204" s="5"/>
      <c r="K2204" s="5"/>
      <c r="L2204" s="5"/>
      <c r="M2204" s="5"/>
      <c r="N2204" s="9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>
      <c r="A2205" s="6" t="s">
        <v>4370</v>
      </c>
      <c r="B2205" s="6" t="s">
        <v>4371</v>
      </c>
      <c r="C2205" s="5" t="s">
        <v>3349</v>
      </c>
      <c r="D2205" s="7">
        <f>IFERROR(__xludf.DUMMYFUNCTION("GOOGLEFINANCE(""ASX:VEN"", ""price"")"),0.0)</f>
        <v>0</v>
      </c>
      <c r="E2205" s="8">
        <f>IFERROR(__xludf.DUMMYFUNCTION("GOOGLEFINANCE(""ASX:VEN"", ""closeyest"")"),0.01)</f>
        <v>0.01</v>
      </c>
      <c r="F2205" s="5" t="str">
        <f>IFERROR(__xludf.DUMMYFUNCTION("GOOGLEFINANCE(""ASX:VEN"", ""pe"")"),"#N/A")</f>
        <v>#N/A</v>
      </c>
      <c r="G2205" s="9">
        <f>IFERROR(__xludf.DUMMYFUNCTION("GOOGLEFINANCE(""ASX:VEN"", ""high52"")"),0.01)</f>
        <v>0.01</v>
      </c>
      <c r="H2205" s="9">
        <f>IFERROR(__xludf.DUMMYFUNCTION("GOOGLEFINANCE(""ASX:VEN"", ""low52"")"),0.0)</f>
        <v>0</v>
      </c>
      <c r="I2205" s="9">
        <f>IFERROR(__xludf.DUMMYFUNCTION("GOOGLEFINANCE(""ASX:VEN"", ""marketcap"")"),4173828.0)</f>
        <v>4173828</v>
      </c>
      <c r="J2205" s="12">
        <v>0.004</v>
      </c>
      <c r="K2205" s="12">
        <v>0.005</v>
      </c>
      <c r="L2205" s="12">
        <v>0.006</v>
      </c>
      <c r="M2205" s="12">
        <v>0.003</v>
      </c>
      <c r="N2205" s="9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>
      <c r="A2206" s="6" t="s">
        <v>4372</v>
      </c>
      <c r="B2206" s="6" t="s">
        <v>4373</v>
      </c>
      <c r="C2206" s="5" t="s">
        <v>36</v>
      </c>
      <c r="D2206" s="7">
        <f>IFERROR(__xludf.DUMMYFUNCTION("GOOGLEFINANCE(""ASX:VEQ"", ""price"")"),89.7)</f>
        <v>89.7</v>
      </c>
      <c r="E2206" s="8">
        <f>IFERROR(__xludf.DUMMYFUNCTION("GOOGLEFINANCE(""ASX:VEQ"", ""closeyest"")"),90.06)</f>
        <v>90.06</v>
      </c>
      <c r="F2206" s="5" t="str">
        <f>IFERROR(__xludf.DUMMYFUNCTION("GOOGLEFINANCE(""ASX:VEQ"", ""pe"")"),"#N/A")</f>
        <v>#N/A</v>
      </c>
      <c r="G2206" s="9">
        <f>IFERROR(__xludf.DUMMYFUNCTION("GOOGLEFINANCE(""ASX:VEQ"", ""high52"")"),91.4)</f>
        <v>91.4</v>
      </c>
      <c r="H2206" s="9">
        <f>IFERROR(__xludf.DUMMYFUNCTION("GOOGLEFINANCE(""ASX:VEQ"", ""low52"")"),72.53)</f>
        <v>72.53</v>
      </c>
      <c r="I2206" s="9" t="str">
        <f>IFERROR(__xludf.DUMMYFUNCTION("GOOGLEFINANCE(""ASX:VEQ"", ""marketcap"")"),"#N/A")</f>
        <v>#N/A</v>
      </c>
      <c r="J2206" s="5"/>
      <c r="K2206" s="5"/>
      <c r="L2206" s="5"/>
      <c r="M2206" s="5"/>
      <c r="N2206" s="9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>
      <c r="A2207" s="6" t="s">
        <v>4374</v>
      </c>
      <c r="B2207" s="6" t="s">
        <v>4375</v>
      </c>
      <c r="C2207" s="5" t="s">
        <v>36</v>
      </c>
      <c r="D2207" s="7">
        <f>IFERROR(__xludf.DUMMYFUNCTION("GOOGLEFINANCE(""ASX:VESG"", ""price"")"),112.66)</f>
        <v>112.66</v>
      </c>
      <c r="E2207" s="8">
        <f>IFERROR(__xludf.DUMMYFUNCTION("GOOGLEFINANCE(""ASX:VESG"", ""closeyest"")"),112.71)</f>
        <v>112.71</v>
      </c>
      <c r="F2207" s="5" t="str">
        <f>IFERROR(__xludf.DUMMYFUNCTION("GOOGLEFINANCE(""ASX:VESG"", ""pe"")"),"#N/A")</f>
        <v>#N/A</v>
      </c>
      <c r="G2207" s="9">
        <f>IFERROR(__xludf.DUMMYFUNCTION("GOOGLEFINANCE(""ASX:VESG"", ""high52"")"),114.59)</f>
        <v>114.59</v>
      </c>
      <c r="H2207" s="9">
        <f>IFERROR(__xludf.DUMMYFUNCTION("GOOGLEFINANCE(""ASX:VESG"", ""low52"")"),87.66)</f>
        <v>87.66</v>
      </c>
      <c r="I2207" s="9" t="str">
        <f>IFERROR(__xludf.DUMMYFUNCTION("GOOGLEFINANCE(""ASX:VESG"", ""marketcap"")"),"#N/A")</f>
        <v>#N/A</v>
      </c>
      <c r="J2207" s="5"/>
      <c r="K2207" s="5"/>
      <c r="L2207" s="5"/>
      <c r="M2207" s="5"/>
      <c r="N2207" s="9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>
      <c r="A2208" s="6" t="s">
        <v>4376</v>
      </c>
      <c r="B2208" s="6" t="s">
        <v>4377</v>
      </c>
      <c r="C2208" s="5" t="s">
        <v>36</v>
      </c>
      <c r="D2208" s="7">
        <f>IFERROR(__xludf.DUMMYFUNCTION("GOOGLEFINANCE(""ASX:VETH"", ""price"")"),70.1)</f>
        <v>70.1</v>
      </c>
      <c r="E2208" s="8">
        <f>IFERROR(__xludf.DUMMYFUNCTION("GOOGLEFINANCE(""ASX:VETH"", ""closeyest"")"),70.12)</f>
        <v>70.12</v>
      </c>
      <c r="F2208" s="5" t="str">
        <f>IFERROR(__xludf.DUMMYFUNCTION("GOOGLEFINANCE(""ASX:VETH"", ""pe"")"),"#N/A")</f>
        <v>#N/A</v>
      </c>
      <c r="G2208" s="9">
        <f>IFERROR(__xludf.DUMMYFUNCTION("GOOGLEFINANCE(""ASX:VETH"", ""high52"")"),75.0)</f>
        <v>75</v>
      </c>
      <c r="H2208" s="9">
        <f>IFERROR(__xludf.DUMMYFUNCTION("GOOGLEFINANCE(""ASX:VETH"", ""low52"")"),58.4)</f>
        <v>58.4</v>
      </c>
      <c r="I2208" s="9" t="str">
        <f>IFERROR(__xludf.DUMMYFUNCTION("GOOGLEFINANCE(""ASX:VETH"", ""marketcap"")"),"#N/A")</f>
        <v>#N/A</v>
      </c>
      <c r="J2208" s="5"/>
      <c r="K2208" s="5"/>
      <c r="L2208" s="5"/>
      <c r="M2208" s="5"/>
      <c r="N2208" s="9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>
      <c r="A2209" s="6" t="s">
        <v>4378</v>
      </c>
      <c r="B2209" s="6" t="s">
        <v>4379</v>
      </c>
      <c r="C2209" s="5" t="s">
        <v>36</v>
      </c>
      <c r="D2209" s="7">
        <f>IFERROR(__xludf.DUMMYFUNCTION("GOOGLEFINANCE(""ASX:VEU"", ""price"")"),111.95)</f>
        <v>111.95</v>
      </c>
      <c r="E2209" s="8">
        <f>IFERROR(__xludf.DUMMYFUNCTION("GOOGLEFINANCE(""ASX:VEU"", ""closeyest"")"),112.72)</f>
        <v>112.72</v>
      </c>
      <c r="F2209" s="5" t="str">
        <f>IFERROR(__xludf.DUMMYFUNCTION("GOOGLEFINANCE(""ASX:VEU"", ""pe"")"),"#N/A")</f>
        <v>#N/A</v>
      </c>
      <c r="G2209" s="9">
        <f>IFERROR(__xludf.DUMMYFUNCTION("GOOGLEFINANCE(""ASX:VEU"", ""high52"")"),113.26)</f>
        <v>113.26</v>
      </c>
      <c r="H2209" s="9">
        <f>IFERROR(__xludf.DUMMYFUNCTION("GOOGLEFINANCE(""ASX:VEU"", ""low52"")"),90.48)</f>
        <v>90.48</v>
      </c>
      <c r="I2209" s="9" t="str">
        <f>IFERROR(__xludf.DUMMYFUNCTION("GOOGLEFINANCE(""ASX:VEU"", ""marketcap"")"),"#N/A")</f>
        <v>#N/A</v>
      </c>
      <c r="J2209" s="5"/>
      <c r="K2209" s="5"/>
      <c r="L2209" s="5"/>
      <c r="M2209" s="5"/>
      <c r="N2209" s="9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>
      <c r="A2210" s="6" t="s">
        <v>4380</v>
      </c>
      <c r="B2210" s="6" t="s">
        <v>4381</v>
      </c>
      <c r="C2210" s="5" t="s">
        <v>15</v>
      </c>
      <c r="D2210" s="7">
        <f>IFERROR(__xludf.DUMMYFUNCTION("GOOGLEFINANCE(""ASX:VFX"", ""price"")"),0.1)</f>
        <v>0.1</v>
      </c>
      <c r="E2210" s="8">
        <f>IFERROR(__xludf.DUMMYFUNCTION("GOOGLEFINANCE(""ASX:VFX"", ""closeyest"")"),0.1)</f>
        <v>0.1</v>
      </c>
      <c r="F2210" s="5" t="str">
        <f>IFERROR(__xludf.DUMMYFUNCTION("GOOGLEFINANCE(""ASX:VFX"", ""pe"")"),"#N/A")</f>
        <v>#N/A</v>
      </c>
      <c r="G2210" s="9">
        <f>IFERROR(__xludf.DUMMYFUNCTION("GOOGLEFINANCE(""ASX:VFX"", ""high52"")"),0.2)</f>
        <v>0.2</v>
      </c>
      <c r="H2210" s="9">
        <f>IFERROR(__xludf.DUMMYFUNCTION("GOOGLEFINANCE(""ASX:VFX"", ""low52"")"),0.05)</f>
        <v>0.05</v>
      </c>
      <c r="I2210" s="9">
        <f>IFERROR(__xludf.DUMMYFUNCTION("GOOGLEFINANCE(""ASX:VFX"", ""marketcap"")"),7808999.0)</f>
        <v>7808999</v>
      </c>
      <c r="J2210" s="5"/>
      <c r="K2210" s="5"/>
      <c r="L2210" s="5"/>
      <c r="M2210" s="5"/>
      <c r="N2210" s="9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>
      <c r="A2211" s="6" t="s">
        <v>4382</v>
      </c>
      <c r="B2211" s="6" t="s">
        <v>4383</v>
      </c>
      <c r="C2211" s="5" t="s">
        <v>62</v>
      </c>
      <c r="D2211" s="7">
        <f>IFERROR(__xludf.DUMMYFUNCTION("GOOGLEFINANCE(""ASX:VFY"", ""price"")"),1.33)</f>
        <v>1.33</v>
      </c>
      <c r="E2211" s="8">
        <f>IFERROR(__xludf.DUMMYFUNCTION("GOOGLEFINANCE(""ASX:VFY"", ""closeyest"")"),1.28)</f>
        <v>1.28</v>
      </c>
      <c r="F2211" s="5" t="str">
        <f>IFERROR(__xludf.DUMMYFUNCTION("GOOGLEFINANCE(""ASX:VFY"", ""pe"")"),"#N/A")</f>
        <v>#N/A</v>
      </c>
      <c r="G2211" s="9">
        <f>IFERROR(__xludf.DUMMYFUNCTION("GOOGLEFINANCE(""ASX:VFY"", ""high52"")"),1.95)</f>
        <v>1.95</v>
      </c>
      <c r="H2211" s="9">
        <f>IFERROR(__xludf.DUMMYFUNCTION("GOOGLEFINANCE(""ASX:VFY"", ""low52"")"),1.08)</f>
        <v>1.08</v>
      </c>
      <c r="I2211" s="9">
        <f>IFERROR(__xludf.DUMMYFUNCTION("GOOGLEFINANCE(""ASX:VFY"", ""marketcap"")"),6.6427823E7)</f>
        <v>66427823</v>
      </c>
      <c r="J2211" s="5"/>
      <c r="K2211" s="5"/>
      <c r="L2211" s="5"/>
      <c r="M2211" s="5"/>
      <c r="N2211" s="9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>
      <c r="A2212" s="6" t="s">
        <v>4384</v>
      </c>
      <c r="B2212" s="6" t="s">
        <v>4385</v>
      </c>
      <c r="C2212" s="5" t="s">
        <v>36</v>
      </c>
      <c r="D2212" s="7">
        <f>IFERROR(__xludf.DUMMYFUNCTION("GOOGLEFINANCE(""ASX:VGAD"", ""price"")"),121.43)</f>
        <v>121.43</v>
      </c>
      <c r="E2212" s="8">
        <f>IFERROR(__xludf.DUMMYFUNCTION("GOOGLEFINANCE(""ASX:VGAD"", ""closeyest"")"),120.9)</f>
        <v>120.9</v>
      </c>
      <c r="F2212" s="5" t="str">
        <f>IFERROR(__xludf.DUMMYFUNCTION("GOOGLEFINANCE(""ASX:VGAD"", ""pe"")"),"#N/A")</f>
        <v>#N/A</v>
      </c>
      <c r="G2212" s="9">
        <f>IFERROR(__xludf.DUMMYFUNCTION("GOOGLEFINANCE(""ASX:VGAD"", ""high52"")"),121.54)</f>
        <v>121.54</v>
      </c>
      <c r="H2212" s="9">
        <f>IFERROR(__xludf.DUMMYFUNCTION("GOOGLEFINANCE(""ASX:VGAD"", ""low52"")"),88.01)</f>
        <v>88.01</v>
      </c>
      <c r="I2212" s="9" t="str">
        <f>IFERROR(__xludf.DUMMYFUNCTION("GOOGLEFINANCE(""ASX:VGAD"", ""marketcap"")"),"#N/A")</f>
        <v>#N/A</v>
      </c>
      <c r="J2212" s="5"/>
      <c r="K2212" s="5"/>
      <c r="L2212" s="5"/>
      <c r="M2212" s="5"/>
      <c r="N2212" s="9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>
      <c r="A2213" s="6" t="s">
        <v>4386</v>
      </c>
      <c r="B2213" s="6" t="s">
        <v>4387</v>
      </c>
      <c r="C2213" s="5" t="s">
        <v>36</v>
      </c>
      <c r="D2213" s="7">
        <f>IFERROR(__xludf.DUMMYFUNCTION("GOOGLEFINANCE(""ASX:VGB"", ""price"")"),45.92)</f>
        <v>45.92</v>
      </c>
      <c r="E2213" s="8">
        <f>IFERROR(__xludf.DUMMYFUNCTION("GOOGLEFINANCE(""ASX:VGB"", ""closeyest"")"),45.9)</f>
        <v>45.9</v>
      </c>
      <c r="F2213" s="5" t="str">
        <f>IFERROR(__xludf.DUMMYFUNCTION("GOOGLEFINANCE(""ASX:VGB"", ""pe"")"),"#N/A")</f>
        <v>#N/A</v>
      </c>
      <c r="G2213" s="9">
        <f>IFERROR(__xludf.DUMMYFUNCTION("GOOGLEFINANCE(""ASX:VGB"", ""high52"")"),47.87)</f>
        <v>47.87</v>
      </c>
      <c r="H2213" s="9">
        <f>IFERROR(__xludf.DUMMYFUNCTION("GOOGLEFINANCE(""ASX:VGB"", ""low52"")"),45.55)</f>
        <v>45.55</v>
      </c>
      <c r="I2213" s="9" t="str">
        <f>IFERROR(__xludf.DUMMYFUNCTION("GOOGLEFINANCE(""ASX:VGB"", ""marketcap"")"),"#N/A")</f>
        <v>#N/A</v>
      </c>
      <c r="J2213" s="5"/>
      <c r="K2213" s="5"/>
      <c r="L2213" s="5"/>
      <c r="M2213" s="5"/>
      <c r="N2213" s="9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>
      <c r="A2214" s="6" t="s">
        <v>4388</v>
      </c>
      <c r="B2214" s="6" t="s">
        <v>4389</v>
      </c>
      <c r="C2214" s="5" t="s">
        <v>36</v>
      </c>
      <c r="D2214" s="7">
        <f>IFERROR(__xludf.DUMMYFUNCTION("GOOGLEFINANCE(""ASX:VGE"", ""price"")"),90.5)</f>
        <v>90.5</v>
      </c>
      <c r="E2214" s="8">
        <f>IFERROR(__xludf.DUMMYFUNCTION("GOOGLEFINANCE(""ASX:VGE"", ""closeyest"")"),91.35)</f>
        <v>91.35</v>
      </c>
      <c r="F2214" s="5" t="str">
        <f>IFERROR(__xludf.DUMMYFUNCTION("GOOGLEFINANCE(""ASX:VGE"", ""pe"")"),"#N/A")</f>
        <v>#N/A</v>
      </c>
      <c r="G2214" s="9">
        <f>IFERROR(__xludf.DUMMYFUNCTION("GOOGLEFINANCE(""ASX:VGE"", ""high52"")"),94.67)</f>
        <v>94.67</v>
      </c>
      <c r="H2214" s="9">
        <f>IFERROR(__xludf.DUMMYFUNCTION("GOOGLEFINANCE(""ASX:VGE"", ""low52"")"),73.46)</f>
        <v>73.46</v>
      </c>
      <c r="I2214" s="9" t="str">
        <f>IFERROR(__xludf.DUMMYFUNCTION("GOOGLEFINANCE(""ASX:VGE"", ""marketcap"")"),"#N/A")</f>
        <v>#N/A</v>
      </c>
      <c r="J2214" s="5"/>
      <c r="K2214" s="5"/>
      <c r="L2214" s="5"/>
      <c r="M2214" s="5"/>
      <c r="N2214" s="9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>
      <c r="A2215" s="6" t="s">
        <v>4390</v>
      </c>
      <c r="B2215" s="6" t="s">
        <v>4391</v>
      </c>
      <c r="C2215" s="5" t="s">
        <v>15</v>
      </c>
      <c r="D2215" s="7">
        <f>IFERROR(__xludf.DUMMYFUNCTION("GOOGLEFINANCE(""ASX:VGL"", ""price"")"),2.07)</f>
        <v>2.07</v>
      </c>
      <c r="E2215" s="8">
        <f>IFERROR(__xludf.DUMMYFUNCTION("GOOGLEFINANCE(""ASX:VGL"", ""closeyest"")"),2.3)</f>
        <v>2.3</v>
      </c>
      <c r="F2215" s="5" t="str">
        <f>IFERROR(__xludf.DUMMYFUNCTION("GOOGLEFINANCE(""ASX:VGL"", ""pe"")"),"#N/A")</f>
        <v>#N/A</v>
      </c>
      <c r="G2215" s="9">
        <f>IFERROR(__xludf.DUMMYFUNCTION("GOOGLEFINANCE(""ASX:VGL"", ""high52"")"),3.7)</f>
        <v>3.7</v>
      </c>
      <c r="H2215" s="9">
        <f>IFERROR(__xludf.DUMMYFUNCTION("GOOGLEFINANCE(""ASX:VGL"", ""low52"")"),2.07)</f>
        <v>2.07</v>
      </c>
      <c r="I2215" s="9">
        <f>IFERROR(__xludf.DUMMYFUNCTION("GOOGLEFINANCE(""ASX:VGL"", ""marketcap"")"),6.232273E8)</f>
        <v>623227300</v>
      </c>
      <c r="J2215" s="5"/>
      <c r="K2215" s="5"/>
      <c r="L2215" s="5"/>
      <c r="M2215" s="5"/>
      <c r="N2215" s="9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>
      <c r="A2216" s="6" t="s">
        <v>4392</v>
      </c>
      <c r="B2216" s="6" t="s">
        <v>4393</v>
      </c>
      <c r="C2216" s="5" t="s">
        <v>311</v>
      </c>
      <c r="D2216" s="7">
        <f>IFERROR(__xludf.DUMMYFUNCTION("GOOGLEFINANCE(""ASX:VGN"", ""price"")"),3.36)</f>
        <v>3.36</v>
      </c>
      <c r="E2216" s="8">
        <f>IFERROR(__xludf.DUMMYFUNCTION("GOOGLEFINANCE(""ASX:VGN"", ""closeyest"")"),3.33)</f>
        <v>3.33</v>
      </c>
      <c r="F2216" s="9">
        <f>IFERROR(__xludf.DUMMYFUNCTION("GOOGLEFINANCE(""ASX:VGN"", ""pe"")"),5.15)</f>
        <v>5.15</v>
      </c>
      <c r="G2216" s="9">
        <f>IFERROR(__xludf.DUMMYFUNCTION("GOOGLEFINANCE(""ASX:VGN"", ""high52"")"),3.8)</f>
        <v>3.8</v>
      </c>
      <c r="H2216" s="9">
        <f>IFERROR(__xludf.DUMMYFUNCTION("GOOGLEFINANCE(""ASX:VGN"", ""low52"")"),2.83)</f>
        <v>2.83</v>
      </c>
      <c r="I2216" s="9">
        <f>IFERROR(__xludf.DUMMYFUNCTION("GOOGLEFINANCE(""ASX:VGN"", ""marketcap"")"),2.627487661E9)</f>
        <v>2627487661</v>
      </c>
      <c r="J2216" s="5"/>
      <c r="K2216" s="5"/>
      <c r="L2216" s="5"/>
      <c r="M2216" s="5"/>
      <c r="N2216" s="9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>
      <c r="A2217" s="6" t="s">
        <v>4394</v>
      </c>
      <c r="B2217" s="6" t="s">
        <v>4395</v>
      </c>
      <c r="C2217" s="5" t="s">
        <v>36</v>
      </c>
      <c r="D2217" s="7">
        <f>IFERROR(__xludf.DUMMYFUNCTION("GOOGLEFINANCE(""ASX:VGS"", ""price"")"),153.74)</f>
        <v>153.74</v>
      </c>
      <c r="E2217" s="8">
        <f>IFERROR(__xludf.DUMMYFUNCTION("GOOGLEFINANCE(""ASX:VGS"", ""closeyest"")"),154.0)</f>
        <v>154</v>
      </c>
      <c r="F2217" s="5" t="str">
        <f>IFERROR(__xludf.DUMMYFUNCTION("GOOGLEFINANCE(""ASX:VGS"", ""pe"")"),"#N/A")</f>
        <v>#N/A</v>
      </c>
      <c r="G2217" s="9">
        <f>IFERROR(__xludf.DUMMYFUNCTION("GOOGLEFINANCE(""ASX:VGS"", ""high52"")"),156.35)</f>
        <v>156.35</v>
      </c>
      <c r="H2217" s="9">
        <f>IFERROR(__xludf.DUMMYFUNCTION("GOOGLEFINANCE(""ASX:VGS"", ""low52"")"),122.4)</f>
        <v>122.4</v>
      </c>
      <c r="I2217" s="9" t="str">
        <f>IFERROR(__xludf.DUMMYFUNCTION("GOOGLEFINANCE(""ASX:VGS"", ""marketcap"")"),"#N/A")</f>
        <v>#N/A</v>
      </c>
      <c r="J2217" s="5"/>
      <c r="K2217" s="5"/>
      <c r="L2217" s="5"/>
      <c r="M2217" s="5"/>
      <c r="N2217" s="9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>
      <c r="A2218" s="6" t="s">
        <v>4396</v>
      </c>
      <c r="B2218" s="6" t="s">
        <v>4397</v>
      </c>
      <c r="C2218" s="5" t="s">
        <v>62</v>
      </c>
      <c r="D2218" s="7">
        <f>IFERROR(__xludf.DUMMYFUNCTION("GOOGLEFINANCE(""ASX:VHL"", ""price"")"),0.03)</f>
        <v>0.03</v>
      </c>
      <c r="E2218" s="8">
        <f>IFERROR(__xludf.DUMMYFUNCTION("GOOGLEFINANCE(""ASX:VHL"", ""closeyest"")"),0.02)</f>
        <v>0.02</v>
      </c>
      <c r="F2218" s="5" t="str">
        <f>IFERROR(__xludf.DUMMYFUNCTION("GOOGLEFINANCE(""ASX:VHL"", ""pe"")"),"#N/A")</f>
        <v>#N/A</v>
      </c>
      <c r="G2218" s="9">
        <f>IFERROR(__xludf.DUMMYFUNCTION("GOOGLEFINANCE(""ASX:VHL"", ""high52"")"),0.05)</f>
        <v>0.05</v>
      </c>
      <c r="H2218" s="9">
        <f>IFERROR(__xludf.DUMMYFUNCTION("GOOGLEFINANCE(""ASX:VHL"", ""low52"")"),0.02)</f>
        <v>0.02</v>
      </c>
      <c r="I2218" s="9">
        <f>IFERROR(__xludf.DUMMYFUNCTION("GOOGLEFINANCE(""ASX:VHL"", ""marketcap"")"),3.8710975E7)</f>
        <v>38710975</v>
      </c>
      <c r="J2218" s="5"/>
      <c r="K2218" s="5"/>
      <c r="L2218" s="5"/>
      <c r="M2218" s="5"/>
      <c r="N2218" s="9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>
      <c r="A2219" s="6" t="s">
        <v>4398</v>
      </c>
      <c r="B2219" s="6" t="s">
        <v>4399</v>
      </c>
      <c r="C2219" s="5" t="s">
        <v>961</v>
      </c>
      <c r="D2219" s="7">
        <f>IFERROR(__xludf.DUMMYFUNCTION("GOOGLEFINANCE(""ASX:VHM"", ""price"")"),0.45)</f>
        <v>0.45</v>
      </c>
      <c r="E2219" s="8">
        <f>IFERROR(__xludf.DUMMYFUNCTION("GOOGLEFINANCE(""ASX:VHM"", ""closeyest"")"),0.44)</f>
        <v>0.44</v>
      </c>
      <c r="F2219" s="5" t="str">
        <f>IFERROR(__xludf.DUMMYFUNCTION("GOOGLEFINANCE(""ASX:VHM"", ""pe"")"),"#N/A")</f>
        <v>#N/A</v>
      </c>
      <c r="G2219" s="9">
        <f>IFERROR(__xludf.DUMMYFUNCTION("GOOGLEFINANCE(""ASX:VHM"", ""high52"")"),0.86)</f>
        <v>0.86</v>
      </c>
      <c r="H2219" s="9">
        <f>IFERROR(__xludf.DUMMYFUNCTION("GOOGLEFINANCE(""ASX:VHM"", ""low52"")"),0.18)</f>
        <v>0.18</v>
      </c>
      <c r="I2219" s="9">
        <f>IFERROR(__xludf.DUMMYFUNCTION("GOOGLEFINANCE(""ASX:VHM"", ""marketcap"")"),1.30109576E8)</f>
        <v>130109576</v>
      </c>
      <c r="J2219" s="5"/>
      <c r="K2219" s="5"/>
      <c r="L2219" s="5"/>
      <c r="M2219" s="5"/>
      <c r="N2219" s="9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>
      <c r="A2220" s="6" t="s">
        <v>4400</v>
      </c>
      <c r="B2220" s="6" t="s">
        <v>4401</v>
      </c>
      <c r="C2220" s="5" t="s">
        <v>36</v>
      </c>
      <c r="D2220" s="7">
        <f>IFERROR(__xludf.DUMMYFUNCTION("GOOGLEFINANCE(""ASX:VHY"", ""price"")"),77.5)</f>
        <v>77.5</v>
      </c>
      <c r="E2220" s="8">
        <f>IFERROR(__xludf.DUMMYFUNCTION("GOOGLEFINANCE(""ASX:VHY"", ""closeyest"")"),77.84)</f>
        <v>77.84</v>
      </c>
      <c r="F2220" s="5" t="str">
        <f>IFERROR(__xludf.DUMMYFUNCTION("GOOGLEFINANCE(""ASX:VHY"", ""pe"")"),"#N/A")</f>
        <v>#N/A</v>
      </c>
      <c r="G2220" s="9">
        <f>IFERROR(__xludf.DUMMYFUNCTION("GOOGLEFINANCE(""ASX:VHY"", ""high52"")"),80.29)</f>
        <v>80.29</v>
      </c>
      <c r="H2220" s="9">
        <f>IFERROR(__xludf.DUMMYFUNCTION("GOOGLEFINANCE(""ASX:VHY"", ""low52"")"),63.36)</f>
        <v>63.36</v>
      </c>
      <c r="I2220" s="9" t="str">
        <f>IFERROR(__xludf.DUMMYFUNCTION("GOOGLEFINANCE(""ASX:VHY"", ""marketcap"")"),"#N/A")</f>
        <v>#N/A</v>
      </c>
      <c r="J2220" s="5"/>
      <c r="K2220" s="5"/>
      <c r="L2220" s="5"/>
      <c r="M2220" s="5"/>
      <c r="N2220" s="9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>
      <c r="A2221" s="6" t="s">
        <v>4402</v>
      </c>
      <c r="B2221" s="6" t="s">
        <v>4403</v>
      </c>
      <c r="C2221" s="5" t="s">
        <v>36</v>
      </c>
      <c r="D2221" s="7">
        <f>IFERROR(__xludf.DUMMYFUNCTION("GOOGLEFINANCE(""ASX:VIF"", ""price"")"),38.81)</f>
        <v>38.81</v>
      </c>
      <c r="E2221" s="8">
        <f>IFERROR(__xludf.DUMMYFUNCTION("GOOGLEFINANCE(""ASX:VIF"", ""closeyest"")"),38.74)</f>
        <v>38.74</v>
      </c>
      <c r="F2221" s="5" t="str">
        <f>IFERROR(__xludf.DUMMYFUNCTION("GOOGLEFINANCE(""ASX:VIF"", ""pe"")"),"#N/A")</f>
        <v>#N/A</v>
      </c>
      <c r="G2221" s="9">
        <f>IFERROR(__xludf.DUMMYFUNCTION("GOOGLEFINANCE(""ASX:VIF"", ""high52"")"),39.68)</f>
        <v>39.68</v>
      </c>
      <c r="H2221" s="9">
        <f>IFERROR(__xludf.DUMMYFUNCTION("GOOGLEFINANCE(""ASX:VIF"", ""low52"")"),37.47)</f>
        <v>37.47</v>
      </c>
      <c r="I2221" s="9" t="str">
        <f>IFERROR(__xludf.DUMMYFUNCTION("GOOGLEFINANCE(""ASX:VIF"", ""marketcap"")"),"#N/A")</f>
        <v>#N/A</v>
      </c>
      <c r="J2221" s="5"/>
      <c r="K2221" s="5"/>
      <c r="L2221" s="5"/>
      <c r="M2221" s="5"/>
      <c r="N2221" s="9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>
      <c r="A2222" s="6" t="s">
        <v>4404</v>
      </c>
      <c r="B2222" s="6" t="s">
        <v>4405</v>
      </c>
      <c r="C2222" s="5" t="s">
        <v>184</v>
      </c>
      <c r="D2222" s="7">
        <f>IFERROR(__xludf.DUMMYFUNCTION("GOOGLEFINANCE(""ASX:VIG"", ""price"")"),0.04)</f>
        <v>0.04</v>
      </c>
      <c r="E2222" s="8">
        <f>IFERROR(__xludf.DUMMYFUNCTION("GOOGLEFINANCE(""ASX:VIG"", ""closeyest"")"),0.04)</f>
        <v>0.04</v>
      </c>
      <c r="F2222" s="5" t="str">
        <f>IFERROR(__xludf.DUMMYFUNCTION("GOOGLEFINANCE(""ASX:VIG"", ""pe"")"),"#N/A")</f>
        <v>#N/A</v>
      </c>
      <c r="G2222" s="9">
        <f>IFERROR(__xludf.DUMMYFUNCTION("GOOGLEFINANCE(""ASX:VIG"", ""high52"")"),0.09)</f>
        <v>0.09</v>
      </c>
      <c r="H2222" s="9">
        <f>IFERROR(__xludf.DUMMYFUNCTION("GOOGLEFINANCE(""ASX:VIG"", ""low52"")"),0.04)</f>
        <v>0.04</v>
      </c>
      <c r="I2222" s="9">
        <f>IFERROR(__xludf.DUMMYFUNCTION("GOOGLEFINANCE(""ASX:VIG"", ""marketcap"")"),3.075249E7)</f>
        <v>30752490</v>
      </c>
      <c r="J2222" s="5"/>
      <c r="K2222" s="5"/>
      <c r="L2222" s="5"/>
      <c r="M2222" s="5"/>
      <c r="N2222" s="9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>
      <c r="A2223" s="6" t="s">
        <v>4406</v>
      </c>
      <c r="B2223" s="6" t="s">
        <v>4407</v>
      </c>
      <c r="C2223" s="5" t="s">
        <v>36</v>
      </c>
      <c r="D2223" s="7">
        <f>IFERROR(__xludf.DUMMYFUNCTION("GOOGLEFINANCE(""ASX:VISM"", ""price"")"),74.94)</f>
        <v>74.94</v>
      </c>
      <c r="E2223" s="8">
        <f>IFERROR(__xludf.DUMMYFUNCTION("GOOGLEFINANCE(""ASX:VISM"", ""closeyest"")"),74.38)</f>
        <v>74.38</v>
      </c>
      <c r="F2223" s="5" t="str">
        <f>IFERROR(__xludf.DUMMYFUNCTION("GOOGLEFINANCE(""ASX:VISM"", ""pe"")"),"#N/A")</f>
        <v>#N/A</v>
      </c>
      <c r="G2223" s="9">
        <f>IFERROR(__xludf.DUMMYFUNCTION("GOOGLEFINANCE(""ASX:VISM"", ""high52"")"),76.0)</f>
        <v>76</v>
      </c>
      <c r="H2223" s="9">
        <f>IFERROR(__xludf.DUMMYFUNCTION("GOOGLEFINANCE(""ASX:VISM"", ""low52"")"),59.11)</f>
        <v>59.11</v>
      </c>
      <c r="I2223" s="9" t="str">
        <f>IFERROR(__xludf.DUMMYFUNCTION("GOOGLEFINANCE(""ASX:VISM"", ""marketcap"")"),"#N/A")</f>
        <v>#N/A</v>
      </c>
      <c r="J2223" s="5"/>
      <c r="K2223" s="5"/>
      <c r="L2223" s="5"/>
      <c r="M2223" s="5"/>
      <c r="N2223" s="9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>
      <c r="A2224" s="6" t="s">
        <v>4408</v>
      </c>
      <c r="B2224" s="6" t="s">
        <v>4409</v>
      </c>
      <c r="C2224" s="5" t="s">
        <v>174</v>
      </c>
      <c r="D2224" s="7">
        <f>IFERROR(__xludf.DUMMYFUNCTION("GOOGLEFINANCE(""ASX:VIT"", ""price"")"),0.06)</f>
        <v>0.06</v>
      </c>
      <c r="E2224" s="8">
        <f>IFERROR(__xludf.DUMMYFUNCTION("GOOGLEFINANCE(""ASX:VIT"", ""closeyest"")"),0.06)</f>
        <v>0.06</v>
      </c>
      <c r="F2224" s="9">
        <f>IFERROR(__xludf.DUMMYFUNCTION("GOOGLEFINANCE(""ASX:VIT"", ""pe"")"),11.19)</f>
        <v>11.19</v>
      </c>
      <c r="G2224" s="9">
        <f>IFERROR(__xludf.DUMMYFUNCTION("GOOGLEFINANCE(""ASX:VIT"", ""high52"")"),0.14)</f>
        <v>0.14</v>
      </c>
      <c r="H2224" s="9">
        <f>IFERROR(__xludf.DUMMYFUNCTION("GOOGLEFINANCE(""ASX:VIT"", ""low52"")"),0.06)</f>
        <v>0.06</v>
      </c>
      <c r="I2224" s="9">
        <f>IFERROR(__xludf.DUMMYFUNCTION("GOOGLEFINANCE(""ASX:VIT"", ""marketcap"")"),4.1101037E7)</f>
        <v>41101037</v>
      </c>
      <c r="J2224" s="5"/>
      <c r="K2224" s="5"/>
      <c r="L2224" s="5"/>
      <c r="M2224" s="5"/>
      <c r="N2224" s="9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>
      <c r="A2225" s="6" t="s">
        <v>4410</v>
      </c>
      <c r="B2225" s="6" t="s">
        <v>4411</v>
      </c>
      <c r="C2225" s="5" t="s">
        <v>18</v>
      </c>
      <c r="D2225" s="7">
        <f>IFERROR(__xludf.DUMMYFUNCTION("GOOGLEFINANCE(""ASX:VKA"", ""price"")"),0.01)</f>
        <v>0.01</v>
      </c>
      <c r="E2225" s="8">
        <f>IFERROR(__xludf.DUMMYFUNCTION("GOOGLEFINANCE(""ASX:VKA"", ""closeyest"")"),0.01)</f>
        <v>0.01</v>
      </c>
      <c r="F2225" s="5" t="str">
        <f>IFERROR(__xludf.DUMMYFUNCTION("GOOGLEFINANCE(""ASX:VKA"", ""pe"")"),"#N/A")</f>
        <v>#N/A</v>
      </c>
      <c r="G2225" s="9">
        <f>IFERROR(__xludf.DUMMYFUNCTION("GOOGLEFINANCE(""ASX:VKA"", ""high52"")"),0.01)</f>
        <v>0.01</v>
      </c>
      <c r="H2225" s="9">
        <f>IFERROR(__xludf.DUMMYFUNCTION("GOOGLEFINANCE(""ASX:VKA"", ""low52"")"),0.01)</f>
        <v>0.01</v>
      </c>
      <c r="I2225" s="9">
        <f>IFERROR(__xludf.DUMMYFUNCTION("GOOGLEFINANCE(""ASX:VKA"", ""marketcap"")"),1.5297239E7)</f>
        <v>15297239</v>
      </c>
      <c r="J2225" s="5"/>
      <c r="K2225" s="5"/>
      <c r="L2225" s="5"/>
      <c r="M2225" s="5"/>
      <c r="N2225" s="9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>
      <c r="A2226" s="6" t="s">
        <v>4412</v>
      </c>
      <c r="B2226" s="6" t="s">
        <v>4413</v>
      </c>
      <c r="C2226" s="5" t="s">
        <v>36</v>
      </c>
      <c r="D2226" s="7">
        <f>IFERROR(__xludf.DUMMYFUNCTION("GOOGLEFINANCE(""ASX:VLC"", ""price"")"),84.05)</f>
        <v>84.05</v>
      </c>
      <c r="E2226" s="8">
        <f>IFERROR(__xludf.DUMMYFUNCTION("GOOGLEFINANCE(""ASX:VLC"", ""closeyest"")"),84.39)</f>
        <v>84.39</v>
      </c>
      <c r="F2226" s="5" t="str">
        <f>IFERROR(__xludf.DUMMYFUNCTION("GOOGLEFINANCE(""ASX:VLC"", ""pe"")"),"#N/A")</f>
        <v>#N/A</v>
      </c>
      <c r="G2226" s="9">
        <f>IFERROR(__xludf.DUMMYFUNCTION("GOOGLEFINANCE(""ASX:VLC"", ""high52"")"),89.63)</f>
        <v>89.63</v>
      </c>
      <c r="H2226" s="9">
        <f>IFERROR(__xludf.DUMMYFUNCTION("GOOGLEFINANCE(""ASX:VLC"", ""low52"")"),71.11)</f>
        <v>71.11</v>
      </c>
      <c r="I2226" s="9" t="str">
        <f>IFERROR(__xludf.DUMMYFUNCTION("GOOGLEFINANCE(""ASX:VLC"", ""marketcap"")"),"#N/A")</f>
        <v>#N/A</v>
      </c>
      <c r="J2226" s="5"/>
      <c r="K2226" s="5"/>
      <c r="L2226" s="5"/>
      <c r="M2226" s="5"/>
      <c r="N2226" s="9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>
      <c r="A2227" s="6" t="s">
        <v>4414</v>
      </c>
      <c r="B2227" s="6" t="s">
        <v>4415</v>
      </c>
      <c r="C2227" s="5" t="s">
        <v>174</v>
      </c>
      <c r="D2227" s="7">
        <f>IFERROR(__xludf.DUMMYFUNCTION("GOOGLEFINANCE(""ASX:VLS"", ""price"")"),2.59)</f>
        <v>2.59</v>
      </c>
      <c r="E2227" s="8">
        <f>IFERROR(__xludf.DUMMYFUNCTION("GOOGLEFINANCE(""ASX:VLS"", ""closeyest"")"),2.6)</f>
        <v>2.6</v>
      </c>
      <c r="F2227" s="9">
        <f>IFERROR(__xludf.DUMMYFUNCTION("GOOGLEFINANCE(""ASX:VLS"", ""pe"")"),15.65)</f>
        <v>15.65</v>
      </c>
      <c r="G2227" s="9">
        <f>IFERROR(__xludf.DUMMYFUNCTION("GOOGLEFINANCE(""ASX:VLS"", ""high52"")"),2.62)</f>
        <v>2.62</v>
      </c>
      <c r="H2227" s="9">
        <f>IFERROR(__xludf.DUMMYFUNCTION("GOOGLEFINANCE(""ASX:VLS"", ""low52"")"),1.62)</f>
        <v>1.62</v>
      </c>
      <c r="I2227" s="9">
        <f>IFERROR(__xludf.DUMMYFUNCTION("GOOGLEFINANCE(""ASX:VLS"", ""marketcap"")"),1.41466675E8)</f>
        <v>141466675</v>
      </c>
      <c r="J2227" s="5"/>
      <c r="K2227" s="5"/>
      <c r="L2227" s="5"/>
      <c r="M2227" s="5"/>
      <c r="N2227" s="9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>
      <c r="A2228" s="6" t="s">
        <v>4416</v>
      </c>
      <c r="B2228" s="6" t="s">
        <v>4417</v>
      </c>
      <c r="C2228" s="5" t="s">
        <v>36</v>
      </c>
      <c r="D2228" s="7">
        <f>IFERROR(__xludf.DUMMYFUNCTION("GOOGLEFINANCE(""ASX:VLUE"", ""price"")"),34.03)</f>
        <v>34.03</v>
      </c>
      <c r="E2228" s="8">
        <f>IFERROR(__xludf.DUMMYFUNCTION("GOOGLEFINANCE(""ASX:VLUE"", ""closeyest"")"),34.06)</f>
        <v>34.06</v>
      </c>
      <c r="F2228" s="5" t="str">
        <f>IFERROR(__xludf.DUMMYFUNCTION("GOOGLEFINANCE(""ASX:VLUE"", ""pe"")"),"#N/A")</f>
        <v>#N/A</v>
      </c>
      <c r="G2228" s="9">
        <f>IFERROR(__xludf.DUMMYFUNCTION("GOOGLEFINANCE(""ASX:VLUE"", ""high52"")"),34.24)</f>
        <v>34.24</v>
      </c>
      <c r="H2228" s="9">
        <f>IFERROR(__xludf.DUMMYFUNCTION("GOOGLEFINANCE(""ASX:VLUE"", ""low52"")"),25.97)</f>
        <v>25.97</v>
      </c>
      <c r="I2228" s="9" t="str">
        <f>IFERROR(__xludf.DUMMYFUNCTION("GOOGLEFINANCE(""ASX:VLUE"", ""marketcap"")"),"#N/A")</f>
        <v>#N/A</v>
      </c>
      <c r="J2228" s="5"/>
      <c r="K2228" s="5"/>
      <c r="L2228" s="5"/>
      <c r="M2228" s="5"/>
      <c r="N2228" s="9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>
      <c r="A2229" s="6" t="s">
        <v>4418</v>
      </c>
      <c r="B2229" s="6" t="s">
        <v>4419</v>
      </c>
      <c r="C2229" s="5" t="s">
        <v>18</v>
      </c>
      <c r="D2229" s="7">
        <f>IFERROR(__xludf.DUMMYFUNCTION("GOOGLEFINANCE(""ASX:VMC"", ""price"")"),0.21)</f>
        <v>0.21</v>
      </c>
      <c r="E2229" s="8">
        <f>IFERROR(__xludf.DUMMYFUNCTION("GOOGLEFINANCE(""ASX:VMC"", ""closeyest"")"),0.21)</f>
        <v>0.21</v>
      </c>
      <c r="F2229" s="5" t="str">
        <f>IFERROR(__xludf.DUMMYFUNCTION("GOOGLEFINANCE(""ASX:VMC"", ""pe"")"),"#N/A")</f>
        <v>#N/A</v>
      </c>
      <c r="G2229" s="9">
        <f>IFERROR(__xludf.DUMMYFUNCTION("GOOGLEFINANCE(""ASX:VMC"", ""high52"")"),0.21)</f>
        <v>0.21</v>
      </c>
      <c r="H2229" s="9">
        <f>IFERROR(__xludf.DUMMYFUNCTION("GOOGLEFINANCE(""ASX:VMC"", ""low52"")"),0.06)</f>
        <v>0.06</v>
      </c>
      <c r="I2229" s="9">
        <f>IFERROR(__xludf.DUMMYFUNCTION("GOOGLEFINANCE(""ASX:VMC"", ""marketcap"")"),3.9493372E7)</f>
        <v>39493372</v>
      </c>
      <c r="J2229" s="5"/>
      <c r="K2229" s="5"/>
      <c r="L2229" s="5"/>
      <c r="M2229" s="5"/>
      <c r="N2229" s="9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>
      <c r="A2230" s="6" t="s">
        <v>4420</v>
      </c>
      <c r="B2230" s="6" t="s">
        <v>4421</v>
      </c>
      <c r="C2230" s="5" t="s">
        <v>36</v>
      </c>
      <c r="D2230" s="7" t="str">
        <f>IFERROR(__xludf.DUMMYFUNCTION("GOOGLEFINANCE(""ASX:VMIN"", ""price"")"),"#N/A")</f>
        <v>#N/A</v>
      </c>
      <c r="E2230" s="8" t="str">
        <f>IFERROR(__xludf.DUMMYFUNCTION("GOOGLEFINANCE(""ASX:VMIN"", ""closeyest"")"),"#N/A")</f>
        <v>#N/A</v>
      </c>
      <c r="F2230" s="5" t="str">
        <f>IFERROR(__xludf.DUMMYFUNCTION("GOOGLEFINANCE(""ASX:VMIN"", ""pe"")"),"#N/A")</f>
        <v>#N/A</v>
      </c>
      <c r="G2230" s="5" t="str">
        <f>IFERROR(__xludf.DUMMYFUNCTION("GOOGLEFINANCE(""ASX:VMIN"", ""high52"")"),"#N/A")</f>
        <v>#N/A</v>
      </c>
      <c r="H2230" s="5" t="str">
        <f>IFERROR(__xludf.DUMMYFUNCTION("GOOGLEFINANCE(""ASX:VMIN"", ""low52"")"),"#N/A")</f>
        <v>#N/A</v>
      </c>
      <c r="I2230" s="9" t="str">
        <f>IFERROR(__xludf.DUMMYFUNCTION("GOOGLEFINANCE(""ASX:VMIN"", ""marketcap"")"),"#N/A")</f>
        <v>#N/A</v>
      </c>
      <c r="J2230" s="12">
        <v>63.06</v>
      </c>
      <c r="K2230" s="12">
        <v>62.71</v>
      </c>
      <c r="L2230" s="12">
        <v>64.77</v>
      </c>
      <c r="M2230" s="12">
        <v>58.0</v>
      </c>
      <c r="N2230" s="9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>
      <c r="A2231" s="6" t="s">
        <v>4422</v>
      </c>
      <c r="B2231" s="6" t="s">
        <v>4423</v>
      </c>
      <c r="C2231" s="5" t="s">
        <v>18</v>
      </c>
      <c r="D2231" s="7">
        <f>IFERROR(__xludf.DUMMYFUNCTION("GOOGLEFINANCE(""ASX:VML"", ""price"")"),0.19)</f>
        <v>0.19</v>
      </c>
      <c r="E2231" s="8">
        <f>IFERROR(__xludf.DUMMYFUNCTION("GOOGLEFINANCE(""ASX:VML"", ""closeyest"")"),0.17)</f>
        <v>0.17</v>
      </c>
      <c r="F2231" s="5" t="str">
        <f>IFERROR(__xludf.DUMMYFUNCTION("GOOGLEFINANCE(""ASX:VML"", ""pe"")"),"#N/A")</f>
        <v>#N/A</v>
      </c>
      <c r="G2231" s="9">
        <f>IFERROR(__xludf.DUMMYFUNCTION("GOOGLEFINANCE(""ASX:VML"", ""high52"")"),0.41)</f>
        <v>0.41</v>
      </c>
      <c r="H2231" s="9">
        <f>IFERROR(__xludf.DUMMYFUNCTION("GOOGLEFINANCE(""ASX:VML"", ""low52"")"),0.05)</f>
        <v>0.05</v>
      </c>
      <c r="I2231" s="9">
        <f>IFERROR(__xludf.DUMMYFUNCTION("GOOGLEFINANCE(""ASX:VML"", ""marketcap"")"),4.4969123E7)</f>
        <v>44969123</v>
      </c>
      <c r="J2231" s="5"/>
      <c r="K2231" s="5"/>
      <c r="L2231" s="5"/>
      <c r="M2231" s="5"/>
      <c r="N2231" s="9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>
      <c r="A2232" s="6" t="s">
        <v>4424</v>
      </c>
      <c r="B2232" s="6" t="s">
        <v>4425</v>
      </c>
      <c r="C2232" s="5" t="s">
        <v>88</v>
      </c>
      <c r="D2232" s="7">
        <f>IFERROR(__xludf.DUMMYFUNCTION("GOOGLEFINANCE(""ASX:VMM"", ""price"")"),1.43)</f>
        <v>1.43</v>
      </c>
      <c r="E2232" s="8">
        <f>IFERROR(__xludf.DUMMYFUNCTION("GOOGLEFINANCE(""ASX:VMM"", ""closeyest"")"),1.4)</f>
        <v>1.4</v>
      </c>
      <c r="F2232" s="5" t="str">
        <f>IFERROR(__xludf.DUMMYFUNCTION("GOOGLEFINANCE(""ASX:VMM"", ""pe"")"),"#N/A")</f>
        <v>#N/A</v>
      </c>
      <c r="G2232" s="9">
        <f>IFERROR(__xludf.DUMMYFUNCTION("GOOGLEFINANCE(""ASX:VMM"", ""high52"")"),2.19)</f>
        <v>2.19</v>
      </c>
      <c r="H2232" s="9">
        <f>IFERROR(__xludf.DUMMYFUNCTION("GOOGLEFINANCE(""ASX:VMM"", ""low52"")"),0.18)</f>
        <v>0.18</v>
      </c>
      <c r="I2232" s="9">
        <f>IFERROR(__xludf.DUMMYFUNCTION("GOOGLEFINANCE(""ASX:VMM"", ""marketcap"")"),1.58598148E8)</f>
        <v>158598148</v>
      </c>
      <c r="J2232" s="5"/>
      <c r="K2232" s="5"/>
      <c r="L2232" s="5"/>
      <c r="M2232" s="5"/>
      <c r="N2232" s="9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>
      <c r="A2233" s="6" t="s">
        <v>4426</v>
      </c>
      <c r="B2233" s="6" t="s">
        <v>4427</v>
      </c>
      <c r="C2233" s="5" t="s">
        <v>961</v>
      </c>
      <c r="D2233" s="7" t="str">
        <f>IFERROR(__xludf.DUMMYFUNCTION("GOOGLEFINANCE(""ASX:VMS"", ""price"")"),"#N/A")</f>
        <v>#N/A</v>
      </c>
      <c r="E2233" s="8" t="str">
        <f>IFERROR(__xludf.DUMMYFUNCTION("GOOGLEFINANCE(""ASX:VMS"", ""closeyest"")"),"#N/A")</f>
        <v>#N/A</v>
      </c>
      <c r="F2233" s="5" t="str">
        <f>IFERROR(__xludf.DUMMYFUNCTION("GOOGLEFINANCE(""ASX:VMS"", ""pe"")"),"#N/A")</f>
        <v>#N/A</v>
      </c>
      <c r="G2233" s="5" t="str">
        <f>IFERROR(__xludf.DUMMYFUNCTION("GOOGLEFINANCE(""ASX:VMS"", ""high52"")"),"#N/A")</f>
        <v>#N/A</v>
      </c>
      <c r="H2233" s="5" t="str">
        <f>IFERROR(__xludf.DUMMYFUNCTION("GOOGLEFINANCE(""ASX:VMS"", ""low52"")"),"#N/A")</f>
        <v>#N/A</v>
      </c>
      <c r="I2233" s="9" t="str">
        <f>IFERROR(__xludf.DUMMYFUNCTION("GOOGLEFINANCE(""ASX:VMS"", ""marketcap"")"),"#N/A")</f>
        <v>#N/A</v>
      </c>
      <c r="J2233" s="12">
        <v>0.145</v>
      </c>
      <c r="K2233" s="12">
        <v>0.145</v>
      </c>
      <c r="L2233" s="12">
        <v>0.43</v>
      </c>
      <c r="M2233" s="12">
        <v>0.051</v>
      </c>
      <c r="N2233" s="9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>
      <c r="A2234" s="6" t="s">
        <v>4428</v>
      </c>
      <c r="B2234" s="6" t="s">
        <v>4429</v>
      </c>
      <c r="C2234" s="5" t="s">
        <v>4430</v>
      </c>
      <c r="D2234" s="7">
        <f>IFERROR(__xludf.DUMMYFUNCTION("GOOGLEFINANCE(""ASX:VMT"", ""price"")"),0.08)</f>
        <v>0.08</v>
      </c>
      <c r="E2234" s="8">
        <f>IFERROR(__xludf.DUMMYFUNCTION("GOOGLEFINANCE(""ASX:VMT"", ""closeyest"")"),0.07)</f>
        <v>0.07</v>
      </c>
      <c r="F2234" s="5" t="str">
        <f>IFERROR(__xludf.DUMMYFUNCTION("GOOGLEFINANCE(""ASX:VMT"", ""pe"")"),"#N/A")</f>
        <v>#N/A</v>
      </c>
      <c r="G2234" s="9">
        <f>IFERROR(__xludf.DUMMYFUNCTION("GOOGLEFINANCE(""ASX:VMT"", ""high52"")"),0.12)</f>
        <v>0.12</v>
      </c>
      <c r="H2234" s="9">
        <f>IFERROR(__xludf.DUMMYFUNCTION("GOOGLEFINANCE(""ASX:VMT"", ""low52"")"),0.06)</f>
        <v>0.06</v>
      </c>
      <c r="I2234" s="9">
        <f>IFERROR(__xludf.DUMMYFUNCTION("GOOGLEFINANCE(""ASX:VMT"", ""marketcap"")"),3.0408053E7)</f>
        <v>30408053</v>
      </c>
      <c r="J2234" s="5"/>
      <c r="K2234" s="5"/>
      <c r="L2234" s="5"/>
      <c r="M2234" s="5"/>
      <c r="N2234" s="9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>
      <c r="A2235" s="6" t="s">
        <v>4431</v>
      </c>
      <c r="B2235" s="6" t="s">
        <v>4432</v>
      </c>
      <c r="C2235" s="5" t="s">
        <v>36</v>
      </c>
      <c r="D2235" s="7" t="str">
        <f>IFERROR(__xludf.DUMMYFUNCTION("GOOGLEFINANCE(""ASX:VNGS"", ""price"")"),"#N/A")</f>
        <v>#N/A</v>
      </c>
      <c r="E2235" s="8" t="str">
        <f>IFERROR(__xludf.DUMMYFUNCTION("GOOGLEFINANCE(""ASX:VNGS"", ""closeyest"")"),"#N/A")</f>
        <v>#N/A</v>
      </c>
      <c r="F2235" s="5" t="str">
        <f>IFERROR(__xludf.DUMMYFUNCTION("GOOGLEFINANCE(""ASX:VNGS"", ""pe"")"),"#N/A")</f>
        <v>#N/A</v>
      </c>
      <c r="G2235" s="5" t="str">
        <f>IFERROR(__xludf.DUMMYFUNCTION("GOOGLEFINANCE(""ASX:VNGS"", ""high52"")"),"#N/A")</f>
        <v>#N/A</v>
      </c>
      <c r="H2235" s="5" t="str">
        <f>IFERROR(__xludf.DUMMYFUNCTION("GOOGLEFINANCE(""ASX:VNGS"", ""low52"")"),"#N/A")</f>
        <v>#N/A</v>
      </c>
      <c r="I2235" s="9" t="str">
        <f>IFERROR(__xludf.DUMMYFUNCTION("GOOGLEFINANCE(""ASX:VNGS"", ""marketcap"")"),"#N/A")</f>
        <v>#N/A</v>
      </c>
      <c r="J2235" s="12">
        <v>3.72</v>
      </c>
      <c r="K2235" s="12">
        <v>3.69</v>
      </c>
      <c r="L2235" s="12">
        <v>3.72</v>
      </c>
      <c r="M2235" s="12">
        <v>2.86</v>
      </c>
      <c r="N2235" s="9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>
      <c r="A2236" s="6" t="s">
        <v>4433</v>
      </c>
      <c r="B2236" s="6" t="s">
        <v>4434</v>
      </c>
      <c r="C2236" s="5" t="s">
        <v>70</v>
      </c>
      <c r="D2236" s="7">
        <f>IFERROR(__xludf.DUMMYFUNCTION("GOOGLEFINANCE(""ASX:VNL"", ""price"")"),0.08)</f>
        <v>0.08</v>
      </c>
      <c r="E2236" s="8">
        <f>IFERROR(__xludf.DUMMYFUNCTION("GOOGLEFINANCE(""ASX:VNL"", ""closeyest"")"),0.08)</f>
        <v>0.08</v>
      </c>
      <c r="F2236" s="5" t="str">
        <f>IFERROR(__xludf.DUMMYFUNCTION("GOOGLEFINANCE(""ASX:VNL"", ""pe"")"),"#N/A")</f>
        <v>#N/A</v>
      </c>
      <c r="G2236" s="9">
        <f>IFERROR(__xludf.DUMMYFUNCTION("GOOGLEFINANCE(""ASX:VNL"", ""high52"")"),0.16)</f>
        <v>0.16</v>
      </c>
      <c r="H2236" s="9">
        <f>IFERROR(__xludf.DUMMYFUNCTION("GOOGLEFINANCE(""ASX:VNL"", ""low52"")"),0.07)</f>
        <v>0.07</v>
      </c>
      <c r="I2236" s="9">
        <f>IFERROR(__xludf.DUMMYFUNCTION("GOOGLEFINANCE(""ASX:VNL"", ""marketcap"")"),1.13496957E8)</f>
        <v>113496957</v>
      </c>
      <c r="J2236" s="5"/>
      <c r="K2236" s="5"/>
      <c r="L2236" s="5"/>
      <c r="M2236" s="5"/>
      <c r="N2236" s="9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>
      <c r="A2237" s="6" t="s">
        <v>4435</v>
      </c>
      <c r="B2237" s="6" t="s">
        <v>4436</v>
      </c>
      <c r="C2237" s="5" t="s">
        <v>123</v>
      </c>
      <c r="D2237" s="7">
        <f>IFERROR(__xludf.DUMMYFUNCTION("GOOGLEFINANCE(""ASX:VNT"", ""price"")"),5.97)</f>
        <v>5.97</v>
      </c>
      <c r="E2237" s="8">
        <f>IFERROR(__xludf.DUMMYFUNCTION("GOOGLEFINANCE(""ASX:VNT"", ""closeyest"")"),5.98)</f>
        <v>5.98</v>
      </c>
      <c r="F2237" s="9">
        <f>IFERROR(__xludf.DUMMYFUNCTION("GOOGLEFINANCE(""ASX:VNT"", ""pe"")"),20.29)</f>
        <v>20.29</v>
      </c>
      <c r="G2237" s="9">
        <f>IFERROR(__xludf.DUMMYFUNCTION("GOOGLEFINANCE(""ASX:VNT"", ""high52"")"),6.08)</f>
        <v>6.08</v>
      </c>
      <c r="H2237" s="9">
        <f>IFERROR(__xludf.DUMMYFUNCTION("GOOGLEFINANCE(""ASX:VNT"", ""low52"")"),3.55)</f>
        <v>3.55</v>
      </c>
      <c r="I2237" s="9">
        <f>IFERROR(__xludf.DUMMYFUNCTION("GOOGLEFINANCE(""ASX:VNT"", ""marketcap"")"),4.941577179E9)</f>
        <v>4941577179</v>
      </c>
      <c r="J2237" s="5"/>
      <c r="K2237" s="5"/>
      <c r="L2237" s="5"/>
      <c r="M2237" s="5"/>
      <c r="N2237" s="9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>
      <c r="A2238" s="6" t="s">
        <v>4437</v>
      </c>
      <c r="B2238" s="6" t="s">
        <v>4438</v>
      </c>
      <c r="C2238" s="5" t="s">
        <v>396</v>
      </c>
      <c r="D2238" s="7">
        <f>IFERROR(__xludf.DUMMYFUNCTION("GOOGLEFINANCE(""ASX:VPR"", ""price"")"),0.14)</f>
        <v>0.14</v>
      </c>
      <c r="E2238" s="8">
        <f>IFERROR(__xludf.DUMMYFUNCTION("GOOGLEFINANCE(""ASX:VPR"", ""closeyest"")"),0.14)</f>
        <v>0.14</v>
      </c>
      <c r="F2238" s="9">
        <f>IFERROR(__xludf.DUMMYFUNCTION("GOOGLEFINANCE(""ASX:VPR"", ""pe"")"),17.26)</f>
        <v>17.26</v>
      </c>
      <c r="G2238" s="9">
        <f>IFERROR(__xludf.DUMMYFUNCTION("GOOGLEFINANCE(""ASX:VPR"", ""high52"")"),0.2)</f>
        <v>0.2</v>
      </c>
      <c r="H2238" s="9">
        <f>IFERROR(__xludf.DUMMYFUNCTION("GOOGLEFINANCE(""ASX:VPR"", ""low52"")"),0.1)</f>
        <v>0.1</v>
      </c>
      <c r="I2238" s="9">
        <f>IFERROR(__xludf.DUMMYFUNCTION("GOOGLEFINANCE(""ASX:VPR"", ""marketcap"")"),1.3950225E7)</f>
        <v>13950225</v>
      </c>
      <c r="J2238" s="5"/>
      <c r="K2238" s="5"/>
      <c r="L2238" s="5"/>
      <c r="M2238" s="5"/>
      <c r="N2238" s="9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>
      <c r="A2239" s="6" t="s">
        <v>4439</v>
      </c>
      <c r="B2239" s="6" t="s">
        <v>4440</v>
      </c>
      <c r="C2239" s="5" t="s">
        <v>15</v>
      </c>
      <c r="D2239" s="7">
        <f>IFERROR(__xludf.DUMMYFUNCTION("GOOGLEFINANCE(""ASX:VR1"", ""price"")"),0.03)</f>
        <v>0.03</v>
      </c>
      <c r="E2239" s="8">
        <f>IFERROR(__xludf.DUMMYFUNCTION("GOOGLEFINANCE(""ASX:VR1"", ""closeyest"")"),0.03)</f>
        <v>0.03</v>
      </c>
      <c r="F2239" s="5" t="str">
        <f>IFERROR(__xludf.DUMMYFUNCTION("GOOGLEFINANCE(""ASX:VR1"", ""pe"")"),"#N/A")</f>
        <v>#N/A</v>
      </c>
      <c r="G2239" s="9">
        <f>IFERROR(__xludf.DUMMYFUNCTION("GOOGLEFINANCE(""ASX:VR1"", ""high52"")"),0.08)</f>
        <v>0.08</v>
      </c>
      <c r="H2239" s="9">
        <f>IFERROR(__xludf.DUMMYFUNCTION("GOOGLEFINANCE(""ASX:VR1"", ""low52"")"),0.01)</f>
        <v>0.01</v>
      </c>
      <c r="I2239" s="9">
        <f>IFERROR(__xludf.DUMMYFUNCTION("GOOGLEFINANCE(""ASX:VR1"", ""marketcap"")"),8.1582929E7)</f>
        <v>81582929</v>
      </c>
      <c r="J2239" s="5"/>
      <c r="K2239" s="5"/>
      <c r="L2239" s="5"/>
      <c r="M2239" s="5"/>
      <c r="N2239" s="9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>
      <c r="A2240" s="6" t="s">
        <v>4441</v>
      </c>
      <c r="B2240" s="6" t="s">
        <v>4442</v>
      </c>
      <c r="C2240" s="5" t="s">
        <v>28</v>
      </c>
      <c r="D2240" s="7">
        <f>IFERROR(__xludf.DUMMYFUNCTION("GOOGLEFINANCE(""ASX:VR8"", ""price"")"),0.02)</f>
        <v>0.02</v>
      </c>
      <c r="E2240" s="8">
        <f>IFERROR(__xludf.DUMMYFUNCTION("GOOGLEFINANCE(""ASX:VR8"", ""closeyest"")"),0.02)</f>
        <v>0.02</v>
      </c>
      <c r="F2240" s="5" t="str">
        <f>IFERROR(__xludf.DUMMYFUNCTION("GOOGLEFINANCE(""ASX:VR8"", ""pe"")"),"#N/A")</f>
        <v>#N/A</v>
      </c>
      <c r="G2240" s="9">
        <f>IFERROR(__xludf.DUMMYFUNCTION("GOOGLEFINANCE(""ASX:VR8"", ""high52"")"),0.05)</f>
        <v>0.05</v>
      </c>
      <c r="H2240" s="9">
        <f>IFERROR(__xludf.DUMMYFUNCTION("GOOGLEFINANCE(""ASX:VR8"", ""low52"")"),0.01)</f>
        <v>0.01</v>
      </c>
      <c r="I2240" s="9">
        <f>IFERROR(__xludf.DUMMYFUNCTION("GOOGLEFINANCE(""ASX:VR8"", ""marketcap"")"),1.5805335E7)</f>
        <v>15805335</v>
      </c>
      <c r="J2240" s="5"/>
      <c r="K2240" s="5"/>
      <c r="L2240" s="5"/>
      <c r="M2240" s="5"/>
      <c r="N2240" s="9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>
      <c r="A2241" s="6" t="s">
        <v>4441</v>
      </c>
      <c r="B2241" s="6" t="s">
        <v>4442</v>
      </c>
      <c r="C2241" s="5" t="s">
        <v>28</v>
      </c>
      <c r="D2241" s="7">
        <f>IFERROR(__xludf.DUMMYFUNCTION("GOOGLEFINANCE(""ASX:VR8"", ""price"")"),0.02)</f>
        <v>0.02</v>
      </c>
      <c r="E2241" s="8">
        <f>IFERROR(__xludf.DUMMYFUNCTION("GOOGLEFINANCE(""ASX:VR8"", ""closeyest"")"),0.02)</f>
        <v>0.02</v>
      </c>
      <c r="F2241" s="5" t="str">
        <f>IFERROR(__xludf.DUMMYFUNCTION("GOOGLEFINANCE(""ASX:VR8"", ""pe"")"),"#N/A")</f>
        <v>#N/A</v>
      </c>
      <c r="G2241" s="9">
        <f>IFERROR(__xludf.DUMMYFUNCTION("GOOGLEFINANCE(""ASX:VR8"", ""high52"")"),0.05)</f>
        <v>0.05</v>
      </c>
      <c r="H2241" s="9">
        <f>IFERROR(__xludf.DUMMYFUNCTION("GOOGLEFINANCE(""ASX:VR8"", ""low52"")"),0.01)</f>
        <v>0.01</v>
      </c>
      <c r="I2241" s="9">
        <f>IFERROR(__xludf.DUMMYFUNCTION("GOOGLEFINANCE(""ASX:VR8"", ""marketcap"")"),1.5805335E7)</f>
        <v>15805335</v>
      </c>
      <c r="J2241" s="5"/>
      <c r="K2241" s="5"/>
      <c r="L2241" s="5"/>
      <c r="M2241" s="5"/>
      <c r="N2241" s="9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>
      <c r="A2242" s="13" t="s">
        <v>4441</v>
      </c>
      <c r="B2242" s="13" t="s">
        <v>4442</v>
      </c>
      <c r="C2242" s="14" t="s">
        <v>28</v>
      </c>
      <c r="D2242" s="15">
        <f>IFERROR(__xludf.DUMMYFUNCTION("GOOGLEFINANCE(""ASX:VR8"", ""price"")"),0.02)</f>
        <v>0.02</v>
      </c>
      <c r="E2242" s="8">
        <f>IFERROR(__xludf.DUMMYFUNCTION("GOOGLEFINANCE(""ASX:VR8"", ""closeyest"")"),0.02)</f>
        <v>0.02</v>
      </c>
      <c r="F2242" s="5" t="str">
        <f>IFERROR(__xludf.DUMMYFUNCTION("GOOGLEFINANCE(""ASX:VR8"", ""pe"")"),"#N/A")</f>
        <v>#N/A</v>
      </c>
      <c r="G2242" s="9">
        <f>IFERROR(__xludf.DUMMYFUNCTION("GOOGLEFINANCE(""ASX:VR8"", ""high52"")"),0.05)</f>
        <v>0.05</v>
      </c>
      <c r="H2242" s="9">
        <f>IFERROR(__xludf.DUMMYFUNCTION("GOOGLEFINANCE(""ASX:VR8"", ""low52"")"),0.01)</f>
        <v>0.01</v>
      </c>
      <c r="I2242" s="9">
        <f>IFERROR(__xludf.DUMMYFUNCTION("GOOGLEFINANCE(""ASX:VR8"", ""marketcap"")"),1.5805335E7)</f>
        <v>15805335</v>
      </c>
      <c r="J2242" s="5"/>
      <c r="K2242" s="5"/>
      <c r="L2242" s="5"/>
      <c r="M2242" s="5"/>
      <c r="N2242" s="9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>
      <c r="A2243" s="6" t="s">
        <v>4443</v>
      </c>
      <c r="B2243" s="6" t="s">
        <v>4444</v>
      </c>
      <c r="C2243" s="5" t="s">
        <v>39</v>
      </c>
      <c r="D2243" s="7">
        <f>IFERROR(__xludf.DUMMYFUNCTION("GOOGLEFINANCE(""ASX:VRC"", ""price"")"),0.01)</f>
        <v>0.01</v>
      </c>
      <c r="E2243" s="8">
        <f>IFERROR(__xludf.DUMMYFUNCTION("GOOGLEFINANCE(""ASX:VRC"", ""closeyest"")"),0.01)</f>
        <v>0.01</v>
      </c>
      <c r="F2243" s="5" t="str">
        <f>IFERROR(__xludf.DUMMYFUNCTION("GOOGLEFINANCE(""ASX:VRC"", ""pe"")"),"#N/A")</f>
        <v>#N/A</v>
      </c>
      <c r="G2243" s="9">
        <f>IFERROR(__xludf.DUMMYFUNCTION("GOOGLEFINANCE(""ASX:VRC"", ""high52"")"),0.01)</f>
        <v>0.01</v>
      </c>
      <c r="H2243" s="9">
        <f>IFERROR(__xludf.DUMMYFUNCTION("GOOGLEFINANCE(""ASX:VRC"", ""low52"")"),0.0)</f>
        <v>0</v>
      </c>
      <c r="I2243" s="9">
        <f>IFERROR(__xludf.DUMMYFUNCTION("GOOGLEFINANCE(""ASX:VRC"", ""marketcap"")"),4.1221081E7)</f>
        <v>41221081</v>
      </c>
      <c r="J2243" s="5"/>
      <c r="K2243" s="5"/>
      <c r="L2243" s="5"/>
      <c r="M2243" s="5"/>
      <c r="N2243" s="9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>
      <c r="A2244" s="6" t="s">
        <v>4445</v>
      </c>
      <c r="B2244" s="6" t="s">
        <v>4446</v>
      </c>
      <c r="C2244" s="5" t="s">
        <v>18</v>
      </c>
      <c r="D2244" s="7">
        <f>IFERROR(__xludf.DUMMYFUNCTION("GOOGLEFINANCE(""ASX:VRL"", ""price"")"),0.02)</f>
        <v>0.02</v>
      </c>
      <c r="E2244" s="8">
        <f>IFERROR(__xludf.DUMMYFUNCTION("GOOGLEFINANCE(""ASX:VRL"", ""closeyest"")"),0.02)</f>
        <v>0.02</v>
      </c>
      <c r="F2244" s="5" t="str">
        <f>IFERROR(__xludf.DUMMYFUNCTION("GOOGLEFINANCE(""ASX:VRL"", ""pe"")"),"#N/A")</f>
        <v>#N/A</v>
      </c>
      <c r="G2244" s="9">
        <f>IFERROR(__xludf.DUMMYFUNCTION("GOOGLEFINANCE(""ASX:VRL"", ""high52"")"),0.03)</f>
        <v>0.03</v>
      </c>
      <c r="H2244" s="9">
        <f>IFERROR(__xludf.DUMMYFUNCTION("GOOGLEFINANCE(""ASX:VRL"", ""low52"")"),0.01)</f>
        <v>0.01</v>
      </c>
      <c r="I2244" s="9">
        <f>IFERROR(__xludf.DUMMYFUNCTION("GOOGLEFINANCE(""ASX:VRL"", ""marketcap"")"),8964038.0)</f>
        <v>8964038</v>
      </c>
      <c r="J2244" s="5"/>
      <c r="K2244" s="5"/>
      <c r="L2244" s="5"/>
      <c r="M2244" s="5"/>
      <c r="N2244" s="9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>
      <c r="A2245" s="6" t="s">
        <v>4447</v>
      </c>
      <c r="B2245" s="6" t="s">
        <v>4448</v>
      </c>
      <c r="C2245" s="5" t="s">
        <v>161</v>
      </c>
      <c r="D2245" s="7">
        <f>IFERROR(__xludf.DUMMYFUNCTION("GOOGLEFINANCE(""ASX:VRS"", ""price"")"),0.07)</f>
        <v>0.07</v>
      </c>
      <c r="E2245" s="8">
        <f>IFERROR(__xludf.DUMMYFUNCTION("GOOGLEFINANCE(""ASX:VRS"", ""closeyest"")"),0.07)</f>
        <v>0.07</v>
      </c>
      <c r="F2245" s="9">
        <f>IFERROR(__xludf.DUMMYFUNCTION("GOOGLEFINANCE(""ASX:VRS"", ""pe"")"),20.28)</f>
        <v>20.28</v>
      </c>
      <c r="G2245" s="9">
        <f>IFERROR(__xludf.DUMMYFUNCTION("GOOGLEFINANCE(""ASX:VRS"", ""high52"")"),0.08)</f>
        <v>0.08</v>
      </c>
      <c r="H2245" s="9">
        <f>IFERROR(__xludf.DUMMYFUNCTION("GOOGLEFINANCE(""ASX:VRS"", ""low52"")"),0.04)</f>
        <v>0.04</v>
      </c>
      <c r="I2245" s="9">
        <f>IFERROR(__xludf.DUMMYFUNCTION("GOOGLEFINANCE(""ASX:VRS"", ""marketcap"")"),4.1707461E7)</f>
        <v>41707461</v>
      </c>
      <c r="J2245" s="5"/>
      <c r="K2245" s="5"/>
      <c r="L2245" s="5"/>
      <c r="M2245" s="5"/>
      <c r="N2245" s="9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>
      <c r="A2246" s="6" t="s">
        <v>4449</v>
      </c>
      <c r="B2246" s="6" t="s">
        <v>4450</v>
      </c>
      <c r="C2246" s="5" t="s">
        <v>961</v>
      </c>
      <c r="D2246" s="7">
        <f>IFERROR(__xludf.DUMMYFUNCTION("GOOGLEFINANCE(""ASX:VRX"", ""price"")"),0.08)</f>
        <v>0.08</v>
      </c>
      <c r="E2246" s="8">
        <f>IFERROR(__xludf.DUMMYFUNCTION("GOOGLEFINANCE(""ASX:VRX"", ""closeyest"")"),0.08)</f>
        <v>0.08</v>
      </c>
      <c r="F2246" s="5" t="str">
        <f>IFERROR(__xludf.DUMMYFUNCTION("GOOGLEFINANCE(""ASX:VRX"", ""pe"")"),"#N/A")</f>
        <v>#N/A</v>
      </c>
      <c r="G2246" s="9">
        <f>IFERROR(__xludf.DUMMYFUNCTION("GOOGLEFINANCE(""ASX:VRX"", ""high52"")"),0.17)</f>
        <v>0.17</v>
      </c>
      <c r="H2246" s="9">
        <f>IFERROR(__xludf.DUMMYFUNCTION("GOOGLEFINANCE(""ASX:VRX"", ""low52"")"),0.03)</f>
        <v>0.03</v>
      </c>
      <c r="I2246" s="9">
        <f>IFERROR(__xludf.DUMMYFUNCTION("GOOGLEFINANCE(""ASX:VRX"", ""marketcap"")"),5.6185734E7)</f>
        <v>56185734</v>
      </c>
      <c r="J2246" s="5"/>
      <c r="K2246" s="5"/>
      <c r="L2246" s="5"/>
      <c r="M2246" s="5"/>
      <c r="N2246" s="9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>
      <c r="A2247" s="6" t="s">
        <v>4451</v>
      </c>
      <c r="B2247" s="6" t="s">
        <v>4452</v>
      </c>
      <c r="C2247" s="5" t="s">
        <v>212</v>
      </c>
      <c r="D2247" s="7">
        <f>IFERROR(__xludf.DUMMYFUNCTION("GOOGLEFINANCE(""ASX:VSL"", ""price"")"),7.38)</f>
        <v>7.38</v>
      </c>
      <c r="E2247" s="8">
        <f>IFERROR(__xludf.DUMMYFUNCTION("GOOGLEFINANCE(""ASX:VSL"", ""closeyest"")"),7.32)</f>
        <v>7.32</v>
      </c>
      <c r="F2247" s="9">
        <f>IFERROR(__xludf.DUMMYFUNCTION("GOOGLEFINANCE(""ASX:VSL"", ""pe"")"),72.4)</f>
        <v>72.4</v>
      </c>
      <c r="G2247" s="9">
        <f>IFERROR(__xludf.DUMMYFUNCTION("GOOGLEFINANCE(""ASX:VSL"", ""high52"")"),8.4)</f>
        <v>8.4</v>
      </c>
      <c r="H2247" s="9">
        <f>IFERROR(__xludf.DUMMYFUNCTION("GOOGLEFINANCE(""ASX:VSL"", ""low52"")"),5.2)</f>
        <v>5.2</v>
      </c>
      <c r="I2247" s="9">
        <f>IFERROR(__xludf.DUMMYFUNCTION("GOOGLEFINANCE(""ASX:VSL"", ""marketcap"")"),1.081391416E9)</f>
        <v>1081391416</v>
      </c>
      <c r="J2247" s="5"/>
      <c r="K2247" s="5"/>
      <c r="L2247" s="5"/>
      <c r="M2247" s="5"/>
      <c r="N2247" s="9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>
      <c r="A2248" s="6" t="s">
        <v>4451</v>
      </c>
      <c r="B2248" s="6" t="s">
        <v>4452</v>
      </c>
      <c r="C2248" s="5" t="s">
        <v>212</v>
      </c>
      <c r="D2248" s="7">
        <f>IFERROR(__xludf.DUMMYFUNCTION("GOOGLEFINANCE(""ASX:VSL"", ""price"")"),7.38)</f>
        <v>7.38</v>
      </c>
      <c r="E2248" s="8">
        <f>IFERROR(__xludf.DUMMYFUNCTION("GOOGLEFINANCE(""ASX:VSL"", ""closeyest"")"),7.32)</f>
        <v>7.32</v>
      </c>
      <c r="F2248" s="9">
        <f>IFERROR(__xludf.DUMMYFUNCTION("GOOGLEFINANCE(""ASX:VSL"", ""pe"")"),72.4)</f>
        <v>72.4</v>
      </c>
      <c r="G2248" s="9">
        <f>IFERROR(__xludf.DUMMYFUNCTION("GOOGLEFINANCE(""ASX:VSL"", ""high52"")"),8.4)</f>
        <v>8.4</v>
      </c>
      <c r="H2248" s="9">
        <f>IFERROR(__xludf.DUMMYFUNCTION("GOOGLEFINANCE(""ASX:VSL"", ""low52"")"),5.2)</f>
        <v>5.2</v>
      </c>
      <c r="I2248" s="9">
        <f>IFERROR(__xludf.DUMMYFUNCTION("GOOGLEFINANCE(""ASX:VSL"", ""marketcap"")"),1.081391416E9)</f>
        <v>1081391416</v>
      </c>
      <c r="J2248" s="5"/>
      <c r="K2248" s="5"/>
      <c r="L2248" s="5"/>
      <c r="M2248" s="5"/>
      <c r="N2248" s="9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>
      <c r="A2249" s="13" t="s">
        <v>4451</v>
      </c>
      <c r="B2249" s="13" t="s">
        <v>4452</v>
      </c>
      <c r="C2249" s="14" t="s">
        <v>212</v>
      </c>
      <c r="D2249" s="15">
        <f>IFERROR(__xludf.DUMMYFUNCTION("GOOGLEFINANCE(""ASX:VSL"", ""price"")"),7.38)</f>
        <v>7.38</v>
      </c>
      <c r="E2249" s="8">
        <f>IFERROR(__xludf.DUMMYFUNCTION("GOOGLEFINANCE(""ASX:VSL"", ""closeyest"")"),7.32)</f>
        <v>7.32</v>
      </c>
      <c r="F2249" s="9">
        <f>IFERROR(__xludf.DUMMYFUNCTION("GOOGLEFINANCE(""ASX:VSL"", ""pe"")"),72.4)</f>
        <v>72.4</v>
      </c>
      <c r="G2249" s="9">
        <f>IFERROR(__xludf.DUMMYFUNCTION("GOOGLEFINANCE(""ASX:VSL"", ""high52"")"),8.4)</f>
        <v>8.4</v>
      </c>
      <c r="H2249" s="9">
        <f>IFERROR(__xludf.DUMMYFUNCTION("GOOGLEFINANCE(""ASX:VSL"", ""low52"")"),5.2)</f>
        <v>5.2</v>
      </c>
      <c r="I2249" s="9">
        <f>IFERROR(__xludf.DUMMYFUNCTION("GOOGLEFINANCE(""ASX:VSL"", ""marketcap"")"),1.081391416E9)</f>
        <v>1081391416</v>
      </c>
      <c r="J2249" s="5"/>
      <c r="K2249" s="5"/>
      <c r="L2249" s="5"/>
      <c r="M2249" s="5"/>
      <c r="N2249" s="9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>
      <c r="A2250" s="6" t="s">
        <v>4453</v>
      </c>
      <c r="B2250" s="6" t="s">
        <v>4454</v>
      </c>
      <c r="C2250" s="5" t="s">
        <v>36</v>
      </c>
      <c r="D2250" s="7">
        <f>IFERROR(__xludf.DUMMYFUNCTION("GOOGLEFINANCE(""ASX:VSO"", ""price"")"),78.13)</f>
        <v>78.13</v>
      </c>
      <c r="E2250" s="8">
        <f>IFERROR(__xludf.DUMMYFUNCTION("GOOGLEFINANCE(""ASX:VSO"", ""closeyest"")"),77.41)</f>
        <v>77.41</v>
      </c>
      <c r="F2250" s="5" t="str">
        <f>IFERROR(__xludf.DUMMYFUNCTION("GOOGLEFINANCE(""ASX:VSO"", ""pe"")"),"#N/A")</f>
        <v>#N/A</v>
      </c>
      <c r="G2250" s="9">
        <f>IFERROR(__xludf.DUMMYFUNCTION("GOOGLEFINANCE(""ASX:VSO"", ""high52"")"),81.0)</f>
        <v>81</v>
      </c>
      <c r="H2250" s="9">
        <f>IFERROR(__xludf.DUMMYFUNCTION("GOOGLEFINANCE(""ASX:VSO"", ""low52"")"),55.0)</f>
        <v>55</v>
      </c>
      <c r="I2250" s="9" t="str">
        <f>IFERROR(__xludf.DUMMYFUNCTION("GOOGLEFINANCE(""ASX:VSO"", ""marketcap"")"),"#N/A")</f>
        <v>#N/A</v>
      </c>
      <c r="J2250" s="5"/>
      <c r="K2250" s="5"/>
      <c r="L2250" s="5"/>
      <c r="M2250" s="5"/>
      <c r="N2250" s="9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>
      <c r="A2251" s="6" t="s">
        <v>4455</v>
      </c>
      <c r="B2251" s="6" t="s">
        <v>4456</v>
      </c>
      <c r="C2251" s="5" t="s">
        <v>22</v>
      </c>
      <c r="D2251" s="7">
        <f>IFERROR(__xludf.DUMMYFUNCTION("GOOGLEFINANCE(""ASX:VSR"", ""price"")"),0.06)</f>
        <v>0.06</v>
      </c>
      <c r="E2251" s="8">
        <f>IFERROR(__xludf.DUMMYFUNCTION("GOOGLEFINANCE(""ASX:VSR"", ""closeyest"")"),0.06)</f>
        <v>0.06</v>
      </c>
      <c r="F2251" s="5" t="str">
        <f>IFERROR(__xludf.DUMMYFUNCTION("GOOGLEFINANCE(""ASX:VSR"", ""pe"")"),"#N/A")</f>
        <v>#N/A</v>
      </c>
      <c r="G2251" s="9">
        <f>IFERROR(__xludf.DUMMYFUNCTION("GOOGLEFINANCE(""ASX:VSR"", ""high52"")"),0.06)</f>
        <v>0.06</v>
      </c>
      <c r="H2251" s="9">
        <f>IFERROR(__xludf.DUMMYFUNCTION("GOOGLEFINANCE(""ASX:VSR"", ""low52"")"),0.01)</f>
        <v>0.01</v>
      </c>
      <c r="I2251" s="9">
        <f>IFERROR(__xludf.DUMMYFUNCTION("GOOGLEFINANCE(""ASX:VSR"", ""marketcap"")"),3.0723382E7)</f>
        <v>30723382</v>
      </c>
      <c r="J2251" s="5"/>
      <c r="K2251" s="5"/>
      <c r="L2251" s="5"/>
      <c r="M2251" s="5"/>
      <c r="N2251" s="9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>
      <c r="A2252" s="6" t="s">
        <v>4457</v>
      </c>
      <c r="B2252" s="6" t="s">
        <v>4458</v>
      </c>
      <c r="C2252" s="5" t="s">
        <v>450</v>
      </c>
      <c r="D2252" s="7">
        <f>IFERROR(__xludf.DUMMYFUNCTION("GOOGLEFINANCE(""ASX:VTM"", ""price"")"),1.17)</f>
        <v>1.17</v>
      </c>
      <c r="E2252" s="8">
        <f>IFERROR(__xludf.DUMMYFUNCTION("GOOGLEFINANCE(""ASX:VTM"", ""closeyest"")"),1.15)</f>
        <v>1.15</v>
      </c>
      <c r="F2252" s="5" t="str">
        <f>IFERROR(__xludf.DUMMYFUNCTION("GOOGLEFINANCE(""ASX:VTM"", ""pe"")"),"#N/A")</f>
        <v>#N/A</v>
      </c>
      <c r="G2252" s="9">
        <f>IFERROR(__xludf.DUMMYFUNCTION("GOOGLEFINANCE(""ASX:VTM"", ""high52"")"),1.92)</f>
        <v>1.92</v>
      </c>
      <c r="H2252" s="9">
        <f>IFERROR(__xludf.DUMMYFUNCTION("GOOGLEFINANCE(""ASX:VTM"", ""low52"")"),0.34)</f>
        <v>0.34</v>
      </c>
      <c r="I2252" s="9">
        <f>IFERROR(__xludf.DUMMYFUNCTION("GOOGLEFINANCE(""ASX:VTM"", ""marketcap"")"),1.52778793E8)</f>
        <v>152778793</v>
      </c>
      <c r="J2252" s="5"/>
      <c r="K2252" s="5"/>
      <c r="L2252" s="5"/>
      <c r="M2252" s="5"/>
      <c r="N2252" s="9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>
      <c r="A2253" s="6" t="s">
        <v>4459</v>
      </c>
      <c r="B2253" s="6" t="s">
        <v>4460</v>
      </c>
      <c r="C2253" s="5" t="s">
        <v>36</v>
      </c>
      <c r="D2253" s="7">
        <f>IFERROR(__xludf.DUMMYFUNCTION("GOOGLEFINANCE(""ASX:VTS"", ""price"")"),505.12)</f>
        <v>505.12</v>
      </c>
      <c r="E2253" s="8">
        <f>IFERROR(__xludf.DUMMYFUNCTION("GOOGLEFINANCE(""ASX:VTS"", ""closeyest"")"),504.54)</f>
        <v>504.54</v>
      </c>
      <c r="F2253" s="5" t="str">
        <f>IFERROR(__xludf.DUMMYFUNCTION("GOOGLEFINANCE(""ASX:VTS"", ""pe"")"),"#N/A")</f>
        <v>#N/A</v>
      </c>
      <c r="G2253" s="9">
        <f>IFERROR(__xludf.DUMMYFUNCTION("GOOGLEFINANCE(""ASX:VTS"", ""high52"")"),515.85)</f>
        <v>515.85</v>
      </c>
      <c r="H2253" s="9">
        <f>IFERROR(__xludf.DUMMYFUNCTION("GOOGLEFINANCE(""ASX:VTS"", ""low52"")"),394.0)</f>
        <v>394</v>
      </c>
      <c r="I2253" s="9">
        <f>IFERROR(__xludf.DUMMYFUNCTION("GOOGLEFINANCE(""ASX:VTS"", ""marketcap"")"),2.79272973749E11)</f>
        <v>279272973749</v>
      </c>
      <c r="J2253" s="5"/>
      <c r="K2253" s="5"/>
      <c r="L2253" s="5"/>
      <c r="M2253" s="5"/>
      <c r="N2253" s="9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>
      <c r="A2254" s="6" t="s">
        <v>4461</v>
      </c>
      <c r="B2254" s="6" t="s">
        <v>4462</v>
      </c>
      <c r="C2254" s="5" t="s">
        <v>88</v>
      </c>
      <c r="D2254" s="7">
        <f>IFERROR(__xludf.DUMMYFUNCTION("GOOGLEFINANCE(""ASX:VTX"", ""price"")"),0.23)</f>
        <v>0.23</v>
      </c>
      <c r="E2254" s="8">
        <f>IFERROR(__xludf.DUMMYFUNCTION("GOOGLEFINANCE(""ASX:VTX"", ""closeyest"")"),0.26)</f>
        <v>0.26</v>
      </c>
      <c r="F2254" s="5" t="str">
        <f>IFERROR(__xludf.DUMMYFUNCTION("GOOGLEFINANCE(""ASX:VTX"", ""pe"")"),"#N/A")</f>
        <v>#N/A</v>
      </c>
      <c r="G2254" s="9">
        <f>IFERROR(__xludf.DUMMYFUNCTION("GOOGLEFINANCE(""ASX:VTX"", ""high52"")"),0.41)</f>
        <v>0.41</v>
      </c>
      <c r="H2254" s="9">
        <f>IFERROR(__xludf.DUMMYFUNCTION("GOOGLEFINANCE(""ASX:VTX"", ""low52"")"),0.18)</f>
        <v>0.18</v>
      </c>
      <c r="I2254" s="9">
        <f>IFERROR(__xludf.DUMMYFUNCTION("GOOGLEFINANCE(""ASX:VTX"", ""marketcap"")"),6.322664E7)</f>
        <v>63226640</v>
      </c>
      <c r="J2254" s="5"/>
      <c r="K2254" s="5"/>
      <c r="L2254" s="5"/>
      <c r="M2254" s="5"/>
      <c r="N2254" s="9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>
      <c r="A2255" s="6" t="s">
        <v>4463</v>
      </c>
      <c r="B2255" s="6" t="s">
        <v>4464</v>
      </c>
      <c r="C2255" s="5" t="s">
        <v>39</v>
      </c>
      <c r="D2255" s="7">
        <f>IFERROR(__xludf.DUMMYFUNCTION("GOOGLEFINANCE(""ASX:VUL"", ""price"")"),4.85)</f>
        <v>4.85</v>
      </c>
      <c r="E2255" s="8">
        <f>IFERROR(__xludf.DUMMYFUNCTION("GOOGLEFINANCE(""ASX:VUL"", ""closeyest"")"),4.89)</f>
        <v>4.89</v>
      </c>
      <c r="F2255" s="5" t="str">
        <f>IFERROR(__xludf.DUMMYFUNCTION("GOOGLEFINANCE(""ASX:VUL"", ""pe"")"),"#N/A")</f>
        <v>#N/A</v>
      </c>
      <c r="G2255" s="9">
        <f>IFERROR(__xludf.DUMMYFUNCTION("GOOGLEFINANCE(""ASX:VUL"", ""high52"")"),7.43)</f>
        <v>7.43</v>
      </c>
      <c r="H2255" s="9">
        <f>IFERROR(__xludf.DUMMYFUNCTION("GOOGLEFINANCE(""ASX:VUL"", ""low52"")"),3.32)</f>
        <v>3.32</v>
      </c>
      <c r="I2255" s="9">
        <f>IFERROR(__xludf.DUMMYFUNCTION("GOOGLEFINANCE(""ASX:VUL"", ""marketcap"")"),2.317673819E9)</f>
        <v>2317673819</v>
      </c>
      <c r="J2255" s="5"/>
      <c r="K2255" s="5"/>
      <c r="L2255" s="5"/>
      <c r="M2255" s="5"/>
      <c r="N2255" s="9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>
      <c r="A2256" s="6" t="s">
        <v>4465</v>
      </c>
      <c r="B2256" s="6" t="s">
        <v>4466</v>
      </c>
      <c r="C2256" s="5" t="s">
        <v>670</v>
      </c>
      <c r="D2256" s="7">
        <f>IFERROR(__xludf.DUMMYFUNCTION("GOOGLEFINANCE(""ASX:VVA"", ""price"")"),1.68)</f>
        <v>1.68</v>
      </c>
      <c r="E2256" s="8">
        <f>IFERROR(__xludf.DUMMYFUNCTION("GOOGLEFINANCE(""ASX:VVA"", ""closeyest"")"),1.66)</f>
        <v>1.66</v>
      </c>
      <c r="F2256" s="9">
        <f>IFERROR(__xludf.DUMMYFUNCTION("GOOGLEFINANCE(""ASX:VVA"", ""pe"")"),32.84)</f>
        <v>32.84</v>
      </c>
      <c r="G2256" s="9">
        <f>IFERROR(__xludf.DUMMYFUNCTION("GOOGLEFINANCE(""ASX:VVA"", ""high52"")"),1.88)</f>
        <v>1.88</v>
      </c>
      <c r="H2256" s="9">
        <f>IFERROR(__xludf.DUMMYFUNCTION("GOOGLEFINANCE(""ASX:VVA"", ""low52"")"),1.17)</f>
        <v>1.17</v>
      </c>
      <c r="I2256" s="9">
        <f>IFERROR(__xludf.DUMMYFUNCTION("GOOGLEFINANCE(""ASX:VVA"", ""marketcap"")"),1.65059171E8)</f>
        <v>165059171</v>
      </c>
      <c r="J2256" s="5"/>
      <c r="K2256" s="5"/>
      <c r="L2256" s="5"/>
      <c r="M2256" s="5"/>
      <c r="N2256" s="9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>
      <c r="A2257" s="6" t="s">
        <v>4467</v>
      </c>
      <c r="B2257" s="6" t="s">
        <v>4468</v>
      </c>
      <c r="C2257" s="5" t="s">
        <v>36</v>
      </c>
      <c r="D2257" s="7" t="str">
        <f>IFERROR(__xludf.DUMMYFUNCTION("GOOGLEFINANCE(""ASX:VVLU"", ""price"")"),"#N/A")</f>
        <v>#N/A</v>
      </c>
      <c r="E2257" s="8" t="str">
        <f>IFERROR(__xludf.DUMMYFUNCTION("GOOGLEFINANCE(""ASX:VVLU"", ""closeyest"")"),"#N/A")</f>
        <v>#N/A</v>
      </c>
      <c r="F2257" s="5" t="str">
        <f>IFERROR(__xludf.DUMMYFUNCTION("GOOGLEFINANCE(""ASX:VVLU"", ""pe"")"),"#N/A")</f>
        <v>#N/A</v>
      </c>
      <c r="G2257" s="5" t="str">
        <f>IFERROR(__xludf.DUMMYFUNCTION("GOOGLEFINANCE(""ASX:VVLU"", ""high52"")"),"#N/A")</f>
        <v>#N/A</v>
      </c>
      <c r="H2257" s="5" t="str">
        <f>IFERROR(__xludf.DUMMYFUNCTION("GOOGLEFINANCE(""ASX:VVLU"", ""low52"")"),"#N/A")</f>
        <v>#N/A</v>
      </c>
      <c r="I2257" s="9" t="str">
        <f>IFERROR(__xludf.DUMMYFUNCTION("GOOGLEFINANCE(""ASX:VVLU"", ""marketcap"")"),"#N/A")</f>
        <v>#N/A</v>
      </c>
      <c r="J2257" s="12">
        <v>81.2</v>
      </c>
      <c r="K2257" s="12">
        <v>80.94</v>
      </c>
      <c r="L2257" s="12">
        <v>82.35</v>
      </c>
      <c r="M2257" s="12">
        <v>64.17</v>
      </c>
      <c r="N2257" s="9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>
      <c r="A2258" s="6" t="s">
        <v>4469</v>
      </c>
      <c r="B2258" s="6" t="s">
        <v>4470</v>
      </c>
      <c r="C2258" s="5" t="s">
        <v>123</v>
      </c>
      <c r="D2258" s="7">
        <f>IFERROR(__xludf.DUMMYFUNCTION("GOOGLEFINANCE(""ASX:VYS"", ""price"")"),0.7)</f>
        <v>0.7</v>
      </c>
      <c r="E2258" s="8">
        <f>IFERROR(__xludf.DUMMYFUNCTION("GOOGLEFINANCE(""ASX:VYS"", ""closeyest"")"),0.7)</f>
        <v>0.7</v>
      </c>
      <c r="F2258" s="9">
        <f>IFERROR(__xludf.DUMMYFUNCTION("GOOGLEFINANCE(""ASX:VYS"", ""pe"")"),34.13)</f>
        <v>34.13</v>
      </c>
      <c r="G2258" s="9">
        <f>IFERROR(__xludf.DUMMYFUNCTION("GOOGLEFINANCE(""ASX:VYS"", ""high52"")"),0.75)</f>
        <v>0.75</v>
      </c>
      <c r="H2258" s="9">
        <f>IFERROR(__xludf.DUMMYFUNCTION("GOOGLEFINANCE(""ASX:VYS"", ""low52"")"),0.35)</f>
        <v>0.35</v>
      </c>
      <c r="I2258" s="9">
        <f>IFERROR(__xludf.DUMMYFUNCTION("GOOGLEFINANCE(""ASX:VYS"", ""marketcap"")"),3.69211353E8)</f>
        <v>369211353</v>
      </c>
      <c r="J2258" s="5"/>
      <c r="K2258" s="5"/>
      <c r="L2258" s="5"/>
      <c r="M2258" s="5"/>
      <c r="N2258" s="9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>
      <c r="A2259" s="6" t="s">
        <v>4471</v>
      </c>
      <c r="B2259" s="6" t="s">
        <v>4472</v>
      </c>
      <c r="C2259" s="5" t="s">
        <v>33</v>
      </c>
      <c r="D2259" s="7">
        <f>IFERROR(__xludf.DUMMYFUNCTION("GOOGLEFINANCE(""ASX:W2V"", ""price"")"),0.12)</f>
        <v>0.12</v>
      </c>
      <c r="E2259" s="8">
        <f>IFERROR(__xludf.DUMMYFUNCTION("GOOGLEFINANCE(""ASX:W2V"", ""closeyest"")"),0.11)</f>
        <v>0.11</v>
      </c>
      <c r="F2259" s="5" t="str">
        <f>IFERROR(__xludf.DUMMYFUNCTION("GOOGLEFINANCE(""ASX:W2V"", ""pe"")"),"#N/A")</f>
        <v>#N/A</v>
      </c>
      <c r="G2259" s="9">
        <f>IFERROR(__xludf.DUMMYFUNCTION("GOOGLEFINANCE(""ASX:W2V"", ""high52"")"),0.13)</f>
        <v>0.13</v>
      </c>
      <c r="H2259" s="9">
        <f>IFERROR(__xludf.DUMMYFUNCTION("GOOGLEFINANCE(""ASX:W2V"", ""low52"")"),0.05)</f>
        <v>0.05</v>
      </c>
      <c r="I2259" s="9">
        <f>IFERROR(__xludf.DUMMYFUNCTION("GOOGLEFINANCE(""ASX:W2V"", ""marketcap"")"),2.6616863E7)</f>
        <v>26616863</v>
      </c>
      <c r="J2259" s="5"/>
      <c r="K2259" s="5"/>
      <c r="L2259" s="5"/>
      <c r="M2259" s="5"/>
      <c r="N2259" s="9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>
      <c r="A2260" s="6" t="s">
        <v>4473</v>
      </c>
      <c r="B2260" s="6" t="s">
        <v>4474</v>
      </c>
      <c r="C2260" s="5" t="s">
        <v>18</v>
      </c>
      <c r="D2260" s="7">
        <f>IFERROR(__xludf.DUMMYFUNCTION("GOOGLEFINANCE(""ASX:WA1"", ""price"")"),19.03)</f>
        <v>19.03</v>
      </c>
      <c r="E2260" s="8">
        <f>IFERROR(__xludf.DUMMYFUNCTION("GOOGLEFINANCE(""ASX:WA1"", ""closeyest"")"),18.9)</f>
        <v>18.9</v>
      </c>
      <c r="F2260" s="5" t="str">
        <f>IFERROR(__xludf.DUMMYFUNCTION("GOOGLEFINANCE(""ASX:WA1"", ""pe"")"),"#N/A")</f>
        <v>#N/A</v>
      </c>
      <c r="G2260" s="9">
        <f>IFERROR(__xludf.DUMMYFUNCTION("GOOGLEFINANCE(""ASX:WA1"", ""high52"")"),22.28)</f>
        <v>22.28</v>
      </c>
      <c r="H2260" s="9">
        <f>IFERROR(__xludf.DUMMYFUNCTION("GOOGLEFINANCE(""ASX:WA1"", ""low52"")"),9.8)</f>
        <v>9.8</v>
      </c>
      <c r="I2260" s="9">
        <f>IFERROR(__xludf.DUMMYFUNCTION("GOOGLEFINANCE(""ASX:WA1"", ""marketcap"")"),1.413298967E9)</f>
        <v>1413298967</v>
      </c>
      <c r="J2260" s="5"/>
      <c r="K2260" s="5"/>
      <c r="L2260" s="5"/>
      <c r="M2260" s="5"/>
      <c r="N2260" s="9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>
      <c r="A2261" s="6" t="s">
        <v>4475</v>
      </c>
      <c r="B2261" s="6" t="s">
        <v>4476</v>
      </c>
      <c r="C2261" s="5" t="s">
        <v>171</v>
      </c>
      <c r="D2261" s="7">
        <f>IFERROR(__xludf.DUMMYFUNCTION("GOOGLEFINANCE(""ASX:WAA"", ""price"")"),1.07)</f>
        <v>1.07</v>
      </c>
      <c r="E2261" s="8">
        <f>IFERROR(__xludf.DUMMYFUNCTION("GOOGLEFINANCE(""ASX:WAA"", ""closeyest"")"),1.06)</f>
        <v>1.06</v>
      </c>
      <c r="F2261" s="9">
        <f>IFERROR(__xludf.DUMMYFUNCTION("GOOGLEFINANCE(""ASX:WAA"", ""pe"")"),11.01)</f>
        <v>11.01</v>
      </c>
      <c r="G2261" s="9">
        <f>IFERROR(__xludf.DUMMYFUNCTION("GOOGLEFINANCE(""ASX:WAA"", ""high52"")"),1.08)</f>
        <v>1.08</v>
      </c>
      <c r="H2261" s="9">
        <f>IFERROR(__xludf.DUMMYFUNCTION("GOOGLEFINANCE(""ASX:WAA"", ""low52"")"),0.77)</f>
        <v>0.77</v>
      </c>
      <c r="I2261" s="9">
        <f>IFERROR(__xludf.DUMMYFUNCTION("GOOGLEFINANCE(""ASX:WAA"", ""marketcap"")"),8.2573369E7)</f>
        <v>82573369</v>
      </c>
      <c r="J2261" s="5"/>
      <c r="K2261" s="5"/>
      <c r="L2261" s="5"/>
      <c r="M2261" s="5"/>
      <c r="N2261" s="9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>
      <c r="A2262" s="6" t="s">
        <v>4477</v>
      </c>
      <c r="B2262" s="6" t="s">
        <v>4478</v>
      </c>
      <c r="C2262" s="5" t="s">
        <v>88</v>
      </c>
      <c r="D2262" s="7">
        <f>IFERROR(__xludf.DUMMYFUNCTION("GOOGLEFINANCE(""ASX:WAF"", ""price"")"),3.32)</f>
        <v>3.32</v>
      </c>
      <c r="E2262" s="8">
        <f>IFERROR(__xludf.DUMMYFUNCTION("GOOGLEFINANCE(""ASX:WAF"", ""closeyest"")"),3.2)</f>
        <v>3.2</v>
      </c>
      <c r="F2262" s="9">
        <f>IFERROR(__xludf.DUMMYFUNCTION("GOOGLEFINANCE(""ASX:WAF"", ""pe"")"),11.6)</f>
        <v>11.6</v>
      </c>
      <c r="G2262" s="9">
        <f>IFERROR(__xludf.DUMMYFUNCTION("GOOGLEFINANCE(""ASX:WAF"", ""high52"")"),3.38)</f>
        <v>3.38</v>
      </c>
      <c r="H2262" s="9">
        <f>IFERROR(__xludf.DUMMYFUNCTION("GOOGLEFINANCE(""ASX:WAF"", ""low52"")"),1.45)</f>
        <v>1.45</v>
      </c>
      <c r="I2262" s="9">
        <f>IFERROR(__xludf.DUMMYFUNCTION("GOOGLEFINANCE(""ASX:WAF"", ""marketcap"")"),3.792528883E9)</f>
        <v>3792528883</v>
      </c>
      <c r="J2262" s="5"/>
      <c r="K2262" s="5"/>
      <c r="L2262" s="5"/>
      <c r="M2262" s="5"/>
      <c r="N2262" s="9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>
      <c r="A2263" s="6" t="s">
        <v>4479</v>
      </c>
      <c r="B2263" s="6" t="s">
        <v>4480</v>
      </c>
      <c r="C2263" s="5" t="s">
        <v>171</v>
      </c>
      <c r="D2263" s="7">
        <f>IFERROR(__xludf.DUMMYFUNCTION("GOOGLEFINANCE(""ASX:WAG"", ""price"")"),0.59)</f>
        <v>0.59</v>
      </c>
      <c r="E2263" s="8">
        <f>IFERROR(__xludf.DUMMYFUNCTION("GOOGLEFINANCE(""ASX:WAG"", ""closeyest"")"),0.59)</f>
        <v>0.59</v>
      </c>
      <c r="F2263" s="9">
        <f>IFERROR(__xludf.DUMMYFUNCTION("GOOGLEFINANCE(""ASX:WAG"", ""pe"")"),46.09)</f>
        <v>46.09</v>
      </c>
      <c r="G2263" s="9">
        <f>IFERROR(__xludf.DUMMYFUNCTION("GOOGLEFINANCE(""ASX:WAG"", ""high52"")"),0.61)</f>
        <v>0.61</v>
      </c>
      <c r="H2263" s="9">
        <f>IFERROR(__xludf.DUMMYFUNCTION("GOOGLEFINANCE(""ASX:WAG"", ""low52"")"),0.3)</f>
        <v>0.3</v>
      </c>
      <c r="I2263" s="9">
        <f>IFERROR(__xludf.DUMMYFUNCTION("GOOGLEFINANCE(""ASX:WAG"", ""marketcap"")"),4.387535E7)</f>
        <v>43875350</v>
      </c>
      <c r="J2263" s="5"/>
      <c r="K2263" s="5"/>
      <c r="L2263" s="5"/>
      <c r="M2263" s="5"/>
      <c r="N2263" s="9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>
      <c r="A2264" s="5" t="s">
        <v>4481</v>
      </c>
      <c r="B2264" s="5" t="s">
        <v>4482</v>
      </c>
      <c r="C2264" s="5" t="s">
        <v>961</v>
      </c>
      <c r="D2264" s="7">
        <f>IFERROR(__xludf.DUMMYFUNCTION("GOOGLEFINANCE(""ASX:WAK"", ""price"")"),0.03)</f>
        <v>0.03</v>
      </c>
      <c r="E2264" s="8">
        <f>IFERROR(__xludf.DUMMYFUNCTION("GOOGLEFINANCE(""ASX:WAK"", ""closeyest"")"),0.03)</f>
        <v>0.03</v>
      </c>
      <c r="F2264" s="5" t="str">
        <f>IFERROR(__xludf.DUMMYFUNCTION("GOOGLEFINANCE(""ASX:WAK"", ""pe"")"),"#N/A")</f>
        <v>#N/A</v>
      </c>
      <c r="G2264" s="9">
        <f>IFERROR(__xludf.DUMMYFUNCTION("GOOGLEFINANCE(""ASX:WAK"", ""high52"")"),0.09)</f>
        <v>0.09</v>
      </c>
      <c r="H2264" s="9">
        <f>IFERROR(__xludf.DUMMYFUNCTION("GOOGLEFINANCE(""ASX:WAK"", ""low52"")"),0.02)</f>
        <v>0.02</v>
      </c>
      <c r="I2264" s="9">
        <f>IFERROR(__xludf.DUMMYFUNCTION("GOOGLEFINANCE(""ASX:WAK"", ""marketcap"")"),1.5732288E7)</f>
        <v>15732288</v>
      </c>
      <c r="J2264" s="5"/>
      <c r="K2264" s="5"/>
      <c r="L2264" s="5"/>
      <c r="M2264" s="5"/>
      <c r="N2264" s="9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>
      <c r="A2265" s="5" t="s">
        <v>4483</v>
      </c>
      <c r="B2265" s="5" t="s">
        <v>4484</v>
      </c>
      <c r="C2265" s="5" t="s">
        <v>171</v>
      </c>
      <c r="D2265" s="7">
        <f>IFERROR(__xludf.DUMMYFUNCTION("GOOGLEFINANCE(""ASX:WAM"", ""price"")"),1.85)</f>
        <v>1.85</v>
      </c>
      <c r="E2265" s="8">
        <f>IFERROR(__xludf.DUMMYFUNCTION("GOOGLEFINANCE(""ASX:WAM"", ""closeyest"")"),1.84)</f>
        <v>1.84</v>
      </c>
      <c r="F2265" s="9">
        <f>IFERROR(__xludf.DUMMYFUNCTION("GOOGLEFINANCE(""ASX:WAM"", ""pe"")"),9.43)</f>
        <v>9.43</v>
      </c>
      <c r="G2265" s="9">
        <f>IFERROR(__xludf.DUMMYFUNCTION("GOOGLEFINANCE(""ASX:WAM"", ""high52"")"),1.93)</f>
        <v>1.93</v>
      </c>
      <c r="H2265" s="9">
        <f>IFERROR(__xludf.DUMMYFUNCTION("GOOGLEFINANCE(""ASX:WAM"", ""low52"")"),1.49)</f>
        <v>1.49</v>
      </c>
      <c r="I2265" s="9">
        <f>IFERROR(__xludf.DUMMYFUNCTION("GOOGLEFINANCE(""ASX:WAM"", ""marketcap"")"),2.088420626E9)</f>
        <v>2088420626</v>
      </c>
      <c r="J2265" s="5"/>
      <c r="K2265" s="5"/>
      <c r="L2265" s="5"/>
      <c r="M2265" s="5"/>
      <c r="N2265" s="9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>
      <c r="A2266" s="5" t="s">
        <v>4485</v>
      </c>
      <c r="B2266" s="5" t="s">
        <v>4486</v>
      </c>
      <c r="C2266" s="5" t="s">
        <v>171</v>
      </c>
      <c r="D2266" s="7">
        <f>IFERROR(__xludf.DUMMYFUNCTION("GOOGLEFINANCE(""ASX:WAR"", ""price"")"),1.14)</f>
        <v>1.14</v>
      </c>
      <c r="E2266" s="8">
        <f>IFERROR(__xludf.DUMMYFUNCTION("GOOGLEFINANCE(""ASX:WAR"", ""closeyest"")"),1.15)</f>
        <v>1.15</v>
      </c>
      <c r="F2266" s="9">
        <f>IFERROR(__xludf.DUMMYFUNCTION("GOOGLEFINANCE(""ASX:WAR"", ""pe"")"),17.85)</f>
        <v>17.85</v>
      </c>
      <c r="G2266" s="9">
        <f>IFERROR(__xludf.DUMMYFUNCTION("GOOGLEFINANCE(""ASX:WAR"", ""high52"")"),1.16)</f>
        <v>1.16</v>
      </c>
      <c r="H2266" s="9">
        <f>IFERROR(__xludf.DUMMYFUNCTION("GOOGLEFINANCE(""ASX:WAR"", ""low52"")"),1.0)</f>
        <v>1</v>
      </c>
      <c r="I2266" s="9">
        <f>IFERROR(__xludf.DUMMYFUNCTION("GOOGLEFINANCE(""ASX:WAR"", ""marketcap"")"),2.04442695E8)</f>
        <v>204442695</v>
      </c>
      <c r="J2266" s="5"/>
      <c r="K2266" s="5"/>
      <c r="L2266" s="5"/>
      <c r="M2266" s="5"/>
      <c r="N2266" s="9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>
      <c r="A2267" s="5" t="s">
        <v>4487</v>
      </c>
      <c r="B2267" s="5" t="s">
        <v>4488</v>
      </c>
      <c r="C2267" s="5" t="s">
        <v>22</v>
      </c>
      <c r="D2267" s="7">
        <f>IFERROR(__xludf.DUMMYFUNCTION("GOOGLEFINANCE(""ASX:WAT"", ""price"")"),5.0)</f>
        <v>5</v>
      </c>
      <c r="E2267" s="8">
        <f>IFERROR(__xludf.DUMMYFUNCTION("GOOGLEFINANCE(""ASX:WAT"", ""closeyest"")"),4.9)</f>
        <v>4.9</v>
      </c>
      <c r="F2267" s="9">
        <f>IFERROR(__xludf.DUMMYFUNCTION("GOOGLEFINANCE(""ASX:WAT"", ""pe"")"),18.37)</f>
        <v>18.37</v>
      </c>
      <c r="G2267" s="9">
        <f>IFERROR(__xludf.DUMMYFUNCTION("GOOGLEFINANCE(""ASX:WAT"", ""high52"")"),8.0)</f>
        <v>8</v>
      </c>
      <c r="H2267" s="9">
        <f>IFERROR(__xludf.DUMMYFUNCTION("GOOGLEFINANCE(""ASX:WAT"", ""low52"")"),4.75)</f>
        <v>4.75</v>
      </c>
      <c r="I2267" s="9">
        <f>IFERROR(__xludf.DUMMYFUNCTION("GOOGLEFINANCE(""ASX:WAT"", ""marketcap"")"),1.7581965E8)</f>
        <v>175819650</v>
      </c>
      <c r="J2267" s="5"/>
      <c r="K2267" s="5"/>
      <c r="L2267" s="5"/>
      <c r="M2267" s="5"/>
      <c r="N2267" s="9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>
      <c r="A2268" s="5" t="s">
        <v>4489</v>
      </c>
      <c r="B2268" s="5" t="s">
        <v>4490</v>
      </c>
      <c r="C2268" s="5" t="s">
        <v>140</v>
      </c>
      <c r="D2268" s="7">
        <f>IFERROR(__xludf.DUMMYFUNCTION("GOOGLEFINANCE(""ASX:WAX"", ""price"")"),1.25)</f>
        <v>1.25</v>
      </c>
      <c r="E2268" s="8">
        <f>IFERROR(__xludf.DUMMYFUNCTION("GOOGLEFINANCE(""ASX:WAX"", ""closeyest"")"),1.23)</f>
        <v>1.23</v>
      </c>
      <c r="F2268" s="9">
        <f>IFERROR(__xludf.DUMMYFUNCTION("GOOGLEFINANCE(""ASX:WAX"", ""pe"")"),8.98)</f>
        <v>8.98</v>
      </c>
      <c r="G2268" s="9">
        <f>IFERROR(__xludf.DUMMYFUNCTION("GOOGLEFINANCE(""ASX:WAX"", ""high52"")"),1.36)</f>
        <v>1.36</v>
      </c>
      <c r="H2268" s="9">
        <f>IFERROR(__xludf.DUMMYFUNCTION("GOOGLEFINANCE(""ASX:WAX"", ""low52"")"),1.11)</f>
        <v>1.11</v>
      </c>
      <c r="I2268" s="9">
        <f>IFERROR(__xludf.DUMMYFUNCTION("GOOGLEFINANCE(""ASX:WAX"", ""marketcap"")"),2.58463121E8)</f>
        <v>258463121</v>
      </c>
      <c r="J2268" s="5"/>
      <c r="K2268" s="5"/>
      <c r="L2268" s="5"/>
      <c r="M2268" s="5"/>
      <c r="N2268" s="9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>
      <c r="A2269" s="5" t="s">
        <v>4491</v>
      </c>
      <c r="B2269" s="5" t="s">
        <v>4492</v>
      </c>
      <c r="C2269" s="5" t="s">
        <v>413</v>
      </c>
      <c r="D2269" s="7">
        <f>IFERROR(__xludf.DUMMYFUNCTION("GOOGLEFINANCE(""ASX:WBC"", ""price"")"),37.52)</f>
        <v>37.52</v>
      </c>
      <c r="E2269" s="8">
        <f>IFERROR(__xludf.DUMMYFUNCTION("GOOGLEFINANCE(""ASX:WBC"", ""closeyest"")"),38.19)</f>
        <v>38.19</v>
      </c>
      <c r="F2269" s="9">
        <f>IFERROR(__xludf.DUMMYFUNCTION("GOOGLEFINANCE(""ASX:WBC"", ""pe"")"),18.83)</f>
        <v>18.83</v>
      </c>
      <c r="G2269" s="9">
        <f>IFERROR(__xludf.DUMMYFUNCTION("GOOGLEFINANCE(""ASX:WBC"", ""high52"")"),41.0)</f>
        <v>41</v>
      </c>
      <c r="H2269" s="9">
        <f>IFERROR(__xludf.DUMMYFUNCTION("GOOGLEFINANCE(""ASX:WBC"", ""low52"")"),28.44)</f>
        <v>28.44</v>
      </c>
      <c r="I2269" s="9">
        <f>IFERROR(__xludf.DUMMYFUNCTION("GOOGLEFINANCE(""ASX:WBC"", ""marketcap"")"),1.28329732605E11)</f>
        <v>128329732605</v>
      </c>
      <c r="J2269" s="5"/>
      <c r="K2269" s="5"/>
      <c r="L2269" s="5"/>
      <c r="M2269" s="5"/>
      <c r="N2269" s="9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>
      <c r="A2270" s="5" t="s">
        <v>4493</v>
      </c>
      <c r="B2270" s="5" t="s">
        <v>4494</v>
      </c>
      <c r="C2270" s="5" t="s">
        <v>36</v>
      </c>
      <c r="D2270" s="7">
        <f>IFERROR(__xludf.DUMMYFUNCTION("GOOGLEFINANCE(""ASX:WBND"", ""price"")"),50.28)</f>
        <v>50.28</v>
      </c>
      <c r="E2270" s="8">
        <f>IFERROR(__xludf.DUMMYFUNCTION("GOOGLEFINANCE(""ASX:WBND"", ""closeyest"")"),50.21)</f>
        <v>50.21</v>
      </c>
      <c r="F2270" s="5" t="str">
        <f>IFERROR(__xludf.DUMMYFUNCTION("GOOGLEFINANCE(""ASX:WBND"", ""pe"")"),"#N/A")</f>
        <v>#N/A</v>
      </c>
      <c r="G2270" s="9">
        <f>IFERROR(__xludf.DUMMYFUNCTION("GOOGLEFINANCE(""ASX:WBND"", ""high52"")"),50.91)</f>
        <v>50.91</v>
      </c>
      <c r="H2270" s="9">
        <f>IFERROR(__xludf.DUMMYFUNCTION("GOOGLEFINANCE(""ASX:WBND"", ""low52"")"),50.05)</f>
        <v>50.05</v>
      </c>
      <c r="I2270" s="9" t="str">
        <f>IFERROR(__xludf.DUMMYFUNCTION("GOOGLEFINANCE(""ASX:WBND"", ""marketcap"")"),"#N/A")</f>
        <v>#N/A</v>
      </c>
      <c r="J2270" s="5"/>
      <c r="K2270" s="5"/>
      <c r="L2270" s="5"/>
      <c r="M2270" s="5"/>
      <c r="N2270" s="9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>
      <c r="A2271" s="5" t="s">
        <v>4495</v>
      </c>
      <c r="B2271" s="5" t="s">
        <v>4496</v>
      </c>
      <c r="C2271" s="5" t="s">
        <v>330</v>
      </c>
      <c r="D2271" s="7">
        <f>IFERROR(__xludf.DUMMYFUNCTION("GOOGLEFINANCE(""ASX:WBT"", ""price"")"),4.87)</f>
        <v>4.87</v>
      </c>
      <c r="E2271" s="8">
        <f>IFERROR(__xludf.DUMMYFUNCTION("GOOGLEFINANCE(""ASX:WBT"", ""closeyest"")"),4.7)</f>
        <v>4.7</v>
      </c>
      <c r="F2271" s="5" t="str">
        <f>IFERROR(__xludf.DUMMYFUNCTION("GOOGLEFINANCE(""ASX:WBT"", ""pe"")"),"#N/A")</f>
        <v>#N/A</v>
      </c>
      <c r="G2271" s="9">
        <f>IFERROR(__xludf.DUMMYFUNCTION("GOOGLEFINANCE(""ASX:WBT"", ""high52"")"),5.9)</f>
        <v>5.9</v>
      </c>
      <c r="H2271" s="9">
        <f>IFERROR(__xludf.DUMMYFUNCTION("GOOGLEFINANCE(""ASX:WBT"", ""low52"")"),1.38)</f>
        <v>1.38</v>
      </c>
      <c r="I2271" s="9">
        <f>IFERROR(__xludf.DUMMYFUNCTION("GOOGLEFINANCE(""ASX:WBT"", ""marketcap"")"),1.02143134E9)</f>
        <v>1021431340</v>
      </c>
      <c r="J2271" s="5"/>
      <c r="K2271" s="5"/>
      <c r="L2271" s="5"/>
      <c r="M2271" s="5"/>
      <c r="N2271" s="9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>
      <c r="A2272" s="5" t="s">
        <v>4497</v>
      </c>
      <c r="B2272" s="5" t="s">
        <v>4498</v>
      </c>
      <c r="C2272" s="5" t="s">
        <v>18</v>
      </c>
      <c r="D2272" s="7">
        <f>IFERROR(__xludf.DUMMYFUNCTION("GOOGLEFINANCE(""ASX:WC1"", ""price"")"),0.02)</f>
        <v>0.02</v>
      </c>
      <c r="E2272" s="8">
        <f>IFERROR(__xludf.DUMMYFUNCTION("GOOGLEFINANCE(""ASX:WC1"", ""closeyest"")"),0.02)</f>
        <v>0.02</v>
      </c>
      <c r="F2272" s="5" t="str">
        <f>IFERROR(__xludf.DUMMYFUNCTION("GOOGLEFINANCE(""ASX:WC1"", ""pe"")"),"#N/A")</f>
        <v>#N/A</v>
      </c>
      <c r="G2272" s="9">
        <f>IFERROR(__xludf.DUMMYFUNCTION("GOOGLEFINANCE(""ASX:WC1"", ""high52"")"),0.05)</f>
        <v>0.05</v>
      </c>
      <c r="H2272" s="9">
        <f>IFERROR(__xludf.DUMMYFUNCTION("GOOGLEFINANCE(""ASX:WC1"", ""low52"")"),0.01)</f>
        <v>0.01</v>
      </c>
      <c r="I2272" s="9">
        <f>IFERROR(__xludf.DUMMYFUNCTION("GOOGLEFINANCE(""ASX:WC1"", ""marketcap"")"),7400491.0)</f>
        <v>7400491</v>
      </c>
      <c r="J2272" s="5"/>
      <c r="K2272" s="5"/>
      <c r="L2272" s="5"/>
      <c r="M2272" s="5"/>
      <c r="N2272" s="9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>
      <c r="A2273" s="5" t="s">
        <v>4499</v>
      </c>
      <c r="B2273" s="5" t="s">
        <v>4500</v>
      </c>
      <c r="C2273" s="5" t="s">
        <v>39</v>
      </c>
      <c r="D2273" s="7">
        <f>IFERROR(__xludf.DUMMYFUNCTION("GOOGLEFINANCE(""ASX:WC8"", ""price"")"),0.39)</f>
        <v>0.39</v>
      </c>
      <c r="E2273" s="8">
        <f>IFERROR(__xludf.DUMMYFUNCTION("GOOGLEFINANCE(""ASX:WC8"", ""closeyest"")"),0.38)</f>
        <v>0.38</v>
      </c>
      <c r="F2273" s="5" t="str">
        <f>IFERROR(__xludf.DUMMYFUNCTION("GOOGLEFINANCE(""ASX:WC8"", ""pe"")"),"#N/A")</f>
        <v>#N/A</v>
      </c>
      <c r="G2273" s="9">
        <f>IFERROR(__xludf.DUMMYFUNCTION("GOOGLEFINANCE(""ASX:WC8"", ""high52"")"),0.4)</f>
        <v>0.4</v>
      </c>
      <c r="H2273" s="9">
        <f>IFERROR(__xludf.DUMMYFUNCTION("GOOGLEFINANCE(""ASX:WC8"", ""low52"")"),0.13)</f>
        <v>0.13</v>
      </c>
      <c r="I2273" s="9">
        <f>IFERROR(__xludf.DUMMYFUNCTION("GOOGLEFINANCE(""ASX:WC8"", ""marketcap"")"),5.21069767E8)</f>
        <v>521069767</v>
      </c>
      <c r="J2273" s="5"/>
      <c r="K2273" s="5"/>
      <c r="L2273" s="5"/>
      <c r="M2273" s="5"/>
      <c r="N2273" s="9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>
      <c r="A2274" s="5" t="s">
        <v>4501</v>
      </c>
      <c r="B2274" s="5" t="s">
        <v>4502</v>
      </c>
      <c r="C2274" s="5" t="s">
        <v>18</v>
      </c>
      <c r="D2274" s="7">
        <f>IFERROR(__xludf.DUMMYFUNCTION("GOOGLEFINANCE(""ASX:WCE"", ""price"")"),0.25)</f>
        <v>0.25</v>
      </c>
      <c r="E2274" s="8">
        <f>IFERROR(__xludf.DUMMYFUNCTION("GOOGLEFINANCE(""ASX:WCE"", ""closeyest"")"),0.26)</f>
        <v>0.26</v>
      </c>
      <c r="F2274" s="5" t="str">
        <f>IFERROR(__xludf.DUMMYFUNCTION("GOOGLEFINANCE(""ASX:WCE"", ""pe"")"),"#N/A")</f>
        <v>#N/A</v>
      </c>
      <c r="G2274" s="9">
        <f>IFERROR(__xludf.DUMMYFUNCTION("GOOGLEFINANCE(""ASX:WCE"", ""high52"")"),0.29)</f>
        <v>0.29</v>
      </c>
      <c r="H2274" s="9">
        <f>IFERROR(__xludf.DUMMYFUNCTION("GOOGLEFINANCE(""ASX:WCE"", ""low52"")"),0.05)</f>
        <v>0.05</v>
      </c>
      <c r="I2274" s="9">
        <f>IFERROR(__xludf.DUMMYFUNCTION("GOOGLEFINANCE(""ASX:WCE"", ""marketcap"")"),8.179695E7)</f>
        <v>81796950</v>
      </c>
      <c r="J2274" s="5"/>
      <c r="K2274" s="5"/>
      <c r="L2274" s="5"/>
      <c r="M2274" s="5"/>
      <c r="N2274" s="9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>
      <c r="A2275" s="5" t="s">
        <v>4503</v>
      </c>
      <c r="B2275" s="5" t="s">
        <v>4504</v>
      </c>
      <c r="C2275" s="5" t="s">
        <v>36</v>
      </c>
      <c r="D2275" s="7" t="str">
        <f>IFERROR(__xludf.DUMMYFUNCTION("GOOGLEFINANCE(""ASX:WCMQ"", ""price"")"),"#N/A")</f>
        <v>#N/A</v>
      </c>
      <c r="E2275" s="8" t="str">
        <f>IFERROR(__xludf.DUMMYFUNCTION("GOOGLEFINANCE(""ASX:WCMQ"", ""closeyest"")"),"#N/A")</f>
        <v>#N/A</v>
      </c>
      <c r="F2275" s="5" t="str">
        <f>IFERROR(__xludf.DUMMYFUNCTION("GOOGLEFINANCE(""ASX:WCMQ"", ""pe"")"),"#N/A")</f>
        <v>#N/A</v>
      </c>
      <c r="G2275" s="5" t="str">
        <f>IFERROR(__xludf.DUMMYFUNCTION("GOOGLEFINANCE(""ASX:WCMQ"", ""high52"")"),"#N/A")</f>
        <v>#N/A</v>
      </c>
      <c r="H2275" s="5" t="str">
        <f>IFERROR(__xludf.DUMMYFUNCTION("GOOGLEFINANCE(""ASX:WCMQ"", ""low52"")"),"#N/A")</f>
        <v>#N/A</v>
      </c>
      <c r="I2275" s="9" t="str">
        <f>IFERROR(__xludf.DUMMYFUNCTION("GOOGLEFINANCE(""ASX:WCMQ"", ""marketcap"")"),"#N/A")</f>
        <v>#N/A</v>
      </c>
      <c r="J2275" s="12">
        <v>10.49</v>
      </c>
      <c r="K2275" s="12">
        <v>10.42</v>
      </c>
      <c r="L2275" s="12">
        <v>11.59</v>
      </c>
      <c r="M2275" s="12">
        <v>9.34</v>
      </c>
      <c r="N2275" s="9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>
      <c r="A2276" s="5" t="s">
        <v>4505</v>
      </c>
      <c r="B2276" s="5" t="s">
        <v>4506</v>
      </c>
      <c r="C2276" s="5" t="s">
        <v>18</v>
      </c>
      <c r="D2276" s="7">
        <f>IFERROR(__xludf.DUMMYFUNCTION("GOOGLEFINANCE(""ASX:WCN"", ""price"")"),0.02)</f>
        <v>0.02</v>
      </c>
      <c r="E2276" s="8">
        <f>IFERROR(__xludf.DUMMYFUNCTION("GOOGLEFINANCE(""ASX:WCN"", ""closeyest"")"),0.02)</f>
        <v>0.02</v>
      </c>
      <c r="F2276" s="5" t="str">
        <f>IFERROR(__xludf.DUMMYFUNCTION("GOOGLEFINANCE(""ASX:WCN"", ""pe"")"),"#N/A")</f>
        <v>#N/A</v>
      </c>
      <c r="G2276" s="9">
        <f>IFERROR(__xludf.DUMMYFUNCTION("GOOGLEFINANCE(""ASX:WCN"", ""high52"")"),0.04)</f>
        <v>0.04</v>
      </c>
      <c r="H2276" s="9">
        <f>IFERROR(__xludf.DUMMYFUNCTION("GOOGLEFINANCE(""ASX:WCN"", ""low52"")"),0.01)</f>
        <v>0.01</v>
      </c>
      <c r="I2276" s="9">
        <f>IFERROR(__xludf.DUMMYFUNCTION("GOOGLEFINANCE(""ASX:WCN"", ""marketcap"")"),5.1097058E7)</f>
        <v>51097058</v>
      </c>
      <c r="J2276" s="5"/>
      <c r="K2276" s="5"/>
      <c r="L2276" s="5"/>
      <c r="M2276" s="5"/>
      <c r="N2276" s="9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>
      <c r="A2277" s="5" t="s">
        <v>4507</v>
      </c>
      <c r="B2277" s="5" t="s">
        <v>4508</v>
      </c>
      <c r="C2277" s="5" t="s">
        <v>36</v>
      </c>
      <c r="D2277" s="7">
        <f>IFERROR(__xludf.DUMMYFUNCTION("GOOGLEFINANCE(""ASX:WDIV"", ""price"")"),21.82)</f>
        <v>21.82</v>
      </c>
      <c r="E2277" s="8">
        <f>IFERROR(__xludf.DUMMYFUNCTION("GOOGLEFINANCE(""ASX:WDIV"", ""closeyest"")"),21.87)</f>
        <v>21.87</v>
      </c>
      <c r="F2277" s="5" t="str">
        <f>IFERROR(__xludf.DUMMYFUNCTION("GOOGLEFINANCE(""ASX:WDIV"", ""pe"")"),"#N/A")</f>
        <v>#N/A</v>
      </c>
      <c r="G2277" s="9">
        <f>IFERROR(__xludf.DUMMYFUNCTION("GOOGLEFINANCE(""ASX:WDIV"", ""high52"")"),22.49)</f>
        <v>22.49</v>
      </c>
      <c r="H2277" s="9">
        <f>IFERROR(__xludf.DUMMYFUNCTION("GOOGLEFINANCE(""ASX:WDIV"", ""low52"")"),19.46)</f>
        <v>19.46</v>
      </c>
      <c r="I2277" s="9" t="str">
        <f>IFERROR(__xludf.DUMMYFUNCTION("GOOGLEFINANCE(""ASX:WDIV"", ""marketcap"")"),"#N/A")</f>
        <v>#N/A</v>
      </c>
      <c r="J2277" s="5"/>
      <c r="K2277" s="5"/>
      <c r="L2277" s="5"/>
      <c r="M2277" s="5"/>
      <c r="N2277" s="9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>
      <c r="A2278" s="5" t="s">
        <v>4509</v>
      </c>
      <c r="B2278" s="5" t="s">
        <v>4510</v>
      </c>
      <c r="C2278" s="5" t="s">
        <v>36</v>
      </c>
      <c r="D2278" s="7">
        <f>IFERROR(__xludf.DUMMYFUNCTION("GOOGLEFINANCE(""ASX:WDMF"", ""price"")"),53.19)</f>
        <v>53.19</v>
      </c>
      <c r="E2278" s="8">
        <f>IFERROR(__xludf.DUMMYFUNCTION("GOOGLEFINANCE(""ASX:WDMF"", ""closeyest"")"),53.26)</f>
        <v>53.26</v>
      </c>
      <c r="F2278" s="5" t="str">
        <f>IFERROR(__xludf.DUMMYFUNCTION("GOOGLEFINANCE(""ASX:WDMF"", ""pe"")"),"#N/A")</f>
        <v>#N/A</v>
      </c>
      <c r="G2278" s="9">
        <f>IFERROR(__xludf.DUMMYFUNCTION("GOOGLEFINANCE(""ASX:WDMF"", ""high52"")"),53.93)</f>
        <v>53.93</v>
      </c>
      <c r="H2278" s="9">
        <f>IFERROR(__xludf.DUMMYFUNCTION("GOOGLEFINANCE(""ASX:WDMF"", ""low52"")"),42.67)</f>
        <v>42.67</v>
      </c>
      <c r="I2278" s="9" t="str">
        <f>IFERROR(__xludf.DUMMYFUNCTION("GOOGLEFINANCE(""ASX:WDMF"", ""marketcap"")"),"#N/A")</f>
        <v>#N/A</v>
      </c>
      <c r="J2278" s="5"/>
      <c r="K2278" s="5"/>
      <c r="L2278" s="5"/>
      <c r="M2278" s="5"/>
      <c r="N2278" s="9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>
      <c r="A2279" s="5" t="s">
        <v>4511</v>
      </c>
      <c r="B2279" s="5" t="s">
        <v>4512</v>
      </c>
      <c r="C2279" s="5" t="s">
        <v>78</v>
      </c>
      <c r="D2279" s="7">
        <f>IFERROR(__xludf.DUMMYFUNCTION("GOOGLEFINANCE(""ASX:WDS"", ""price"")"),22.86)</f>
        <v>22.86</v>
      </c>
      <c r="E2279" s="8">
        <f>IFERROR(__xludf.DUMMYFUNCTION("GOOGLEFINANCE(""ASX:WDS"", ""closeyest"")"),23.52)</f>
        <v>23.52</v>
      </c>
      <c r="F2279" s="9">
        <f>IFERROR(__xludf.DUMMYFUNCTION("GOOGLEFINANCE(""ASX:WDS"", ""pe"")"),9.91)</f>
        <v>9.91</v>
      </c>
      <c r="G2279" s="9">
        <f>IFERROR(__xludf.DUMMYFUNCTION("GOOGLEFINANCE(""ASX:WDS"", ""high52"")"),27.3)</f>
        <v>27.3</v>
      </c>
      <c r="H2279" s="9">
        <f>IFERROR(__xludf.DUMMYFUNCTION("GOOGLEFINANCE(""ASX:WDS"", ""low52"")"),18.61)</f>
        <v>18.61</v>
      </c>
      <c r="I2279" s="9">
        <f>IFERROR(__xludf.DUMMYFUNCTION("GOOGLEFINANCE(""ASX:WDS"", ""marketcap"")"),4.345914716E10)</f>
        <v>43459147160</v>
      </c>
      <c r="J2279" s="5"/>
      <c r="K2279" s="5"/>
      <c r="L2279" s="5"/>
      <c r="M2279" s="5"/>
      <c r="N2279" s="9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>
      <c r="A2280" s="5" t="s">
        <v>4513</v>
      </c>
      <c r="B2280" s="5" t="s">
        <v>4514</v>
      </c>
      <c r="C2280" s="5" t="s">
        <v>670</v>
      </c>
      <c r="D2280" s="7">
        <f>IFERROR(__xludf.DUMMYFUNCTION("GOOGLEFINANCE(""ASX:WEB"", ""price"")"),4.66)</f>
        <v>4.66</v>
      </c>
      <c r="E2280" s="8">
        <f>IFERROR(__xludf.DUMMYFUNCTION("GOOGLEFINANCE(""ASX:WEB"", ""closeyest"")"),4.64)</f>
        <v>4.64</v>
      </c>
      <c r="F2280" s="9">
        <f>IFERROR(__xludf.DUMMYFUNCTION("GOOGLEFINANCE(""ASX:WEB"", ""pe"")"),1021.93)</f>
        <v>1021.93</v>
      </c>
      <c r="G2280" s="9">
        <f>IFERROR(__xludf.DUMMYFUNCTION("GOOGLEFINANCE(""ASX:WEB"", ""high52"")"),5.49)</f>
        <v>5.49</v>
      </c>
      <c r="H2280" s="9">
        <f>IFERROR(__xludf.DUMMYFUNCTION("GOOGLEFINANCE(""ASX:WEB"", ""low52"")"),3.76)</f>
        <v>3.76</v>
      </c>
      <c r="I2280" s="9">
        <f>IFERROR(__xludf.DUMMYFUNCTION("GOOGLEFINANCE(""ASX:WEB"", ""marketcap"")"),1.683847606E9)</f>
        <v>1683847606</v>
      </c>
      <c r="J2280" s="5"/>
      <c r="K2280" s="5"/>
      <c r="L2280" s="5"/>
      <c r="M2280" s="5"/>
      <c r="N2280" s="9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>
      <c r="A2281" s="5" t="s">
        <v>4515</v>
      </c>
      <c r="B2281" s="5" t="s">
        <v>4516</v>
      </c>
      <c r="C2281" s="5" t="s">
        <v>314</v>
      </c>
      <c r="D2281" s="7">
        <f>IFERROR(__xludf.DUMMYFUNCTION("GOOGLEFINANCE(""ASX:WEC"", ""price"")"),0.03)</f>
        <v>0.03</v>
      </c>
      <c r="E2281" s="8">
        <f>IFERROR(__xludf.DUMMYFUNCTION("GOOGLEFINANCE(""ASX:WEC"", ""closeyest"")"),0.03)</f>
        <v>0.03</v>
      </c>
      <c r="F2281" s="5" t="str">
        <f>IFERROR(__xludf.DUMMYFUNCTION("GOOGLEFINANCE(""ASX:WEC"", ""pe"")"),"#N/A")</f>
        <v>#N/A</v>
      </c>
      <c r="G2281" s="9">
        <f>IFERROR(__xludf.DUMMYFUNCTION("GOOGLEFINANCE(""ASX:WEC"", ""high52"")"),0.04)</f>
        <v>0.04</v>
      </c>
      <c r="H2281" s="9">
        <f>IFERROR(__xludf.DUMMYFUNCTION("GOOGLEFINANCE(""ASX:WEC"", ""low52"")"),0.03)</f>
        <v>0.03</v>
      </c>
      <c r="I2281" s="9">
        <f>IFERROR(__xludf.DUMMYFUNCTION("GOOGLEFINANCE(""ASX:WEC"", ""marketcap"")"),1.318496E7)</f>
        <v>13184960</v>
      </c>
      <c r="J2281" s="5"/>
      <c r="K2281" s="5"/>
      <c r="L2281" s="5"/>
      <c r="M2281" s="5"/>
      <c r="N2281" s="9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>
      <c r="A2282" s="5" t="s">
        <v>4517</v>
      </c>
      <c r="B2282" s="5" t="s">
        <v>4518</v>
      </c>
      <c r="C2282" s="5" t="s">
        <v>78</v>
      </c>
      <c r="D2282" s="7">
        <f>IFERROR(__xludf.DUMMYFUNCTION("GOOGLEFINANCE(""ASX:WEL"", ""price"")"),0.0)</f>
        <v>0</v>
      </c>
      <c r="E2282" s="8">
        <f>IFERROR(__xludf.DUMMYFUNCTION("GOOGLEFINANCE(""ASX:WEL"", ""closeyest"")"),0.0)</f>
        <v>0</v>
      </c>
      <c r="F2282" s="5" t="str">
        <f>IFERROR(__xludf.DUMMYFUNCTION("GOOGLEFINANCE(""ASX:WEL"", ""pe"")"),"#N/A")</f>
        <v>#N/A</v>
      </c>
      <c r="G2282" s="9">
        <f>IFERROR(__xludf.DUMMYFUNCTION("GOOGLEFINANCE(""ASX:WEL"", ""high52"")"),0.0)</f>
        <v>0</v>
      </c>
      <c r="H2282" s="9">
        <f>IFERROR(__xludf.DUMMYFUNCTION("GOOGLEFINANCE(""ASX:WEL"", ""low52"")"),0.0)</f>
        <v>0</v>
      </c>
      <c r="I2282" s="9">
        <f>IFERROR(__xludf.DUMMYFUNCTION("GOOGLEFINANCE(""ASX:WEL"", ""marketcap"")"),1568020.0)</f>
        <v>1568020</v>
      </c>
      <c r="J2282" s="12">
        <v>0.001</v>
      </c>
      <c r="K2282" s="12">
        <v>0.001</v>
      </c>
      <c r="L2282" s="12">
        <v>0.004</v>
      </c>
      <c r="M2282" s="12">
        <v>0.001</v>
      </c>
      <c r="N2282" s="9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>
      <c r="A2283" s="5" t="s">
        <v>4519</v>
      </c>
      <c r="B2283" s="5" t="s">
        <v>4520</v>
      </c>
      <c r="C2283" s="5" t="s">
        <v>36</v>
      </c>
      <c r="D2283" s="7">
        <f>IFERROR(__xludf.DUMMYFUNCTION("GOOGLEFINANCE(""ASX:WEMG"", ""price"")"),30.16)</f>
        <v>30.16</v>
      </c>
      <c r="E2283" s="8">
        <f>IFERROR(__xludf.DUMMYFUNCTION("GOOGLEFINANCE(""ASX:WEMG"", ""closeyest"")"),30.26)</f>
        <v>30.26</v>
      </c>
      <c r="F2283" s="5" t="str">
        <f>IFERROR(__xludf.DUMMYFUNCTION("GOOGLEFINANCE(""ASX:WEMG"", ""pe"")"),"#N/A")</f>
        <v>#N/A</v>
      </c>
      <c r="G2283" s="9">
        <f>IFERROR(__xludf.DUMMYFUNCTION("GOOGLEFINANCE(""ASX:WEMG"", ""high52"")"),30.66)</f>
        <v>30.66</v>
      </c>
      <c r="H2283" s="9">
        <f>IFERROR(__xludf.DUMMYFUNCTION("GOOGLEFINANCE(""ASX:WEMG"", ""low52"")"),24.59)</f>
        <v>24.59</v>
      </c>
      <c r="I2283" s="9" t="str">
        <f>IFERROR(__xludf.DUMMYFUNCTION("GOOGLEFINANCE(""ASX:WEMG"", ""marketcap"")"),"#N/A")</f>
        <v>#N/A</v>
      </c>
      <c r="J2283" s="5"/>
      <c r="K2283" s="5"/>
      <c r="L2283" s="5"/>
      <c r="M2283" s="5"/>
      <c r="N2283" s="9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>
      <c r="A2284" s="5" t="s">
        <v>4521</v>
      </c>
      <c r="B2284" s="5" t="s">
        <v>4522</v>
      </c>
      <c r="C2284" s="5" t="s">
        <v>153</v>
      </c>
      <c r="D2284" s="7">
        <f>IFERROR(__xludf.DUMMYFUNCTION("GOOGLEFINANCE(""ASX:WES"", ""price"")"),79.98)</f>
        <v>79.98</v>
      </c>
      <c r="E2284" s="8">
        <f>IFERROR(__xludf.DUMMYFUNCTION("GOOGLEFINANCE(""ASX:WES"", ""closeyest"")"),79.78)</f>
        <v>79.78</v>
      </c>
      <c r="F2284" s="9">
        <f>IFERROR(__xludf.DUMMYFUNCTION("GOOGLEFINANCE(""ASX:WES"", ""pe"")"),31.0)</f>
        <v>31</v>
      </c>
      <c r="G2284" s="9">
        <f>IFERROR(__xludf.DUMMYFUNCTION("GOOGLEFINANCE(""ASX:WES"", ""high52"")"),95.18)</f>
        <v>95.18</v>
      </c>
      <c r="H2284" s="9">
        <f>IFERROR(__xludf.DUMMYFUNCTION("GOOGLEFINANCE(""ASX:WES"", ""low52"")"),67.7)</f>
        <v>67.7</v>
      </c>
      <c r="I2284" s="9">
        <f>IFERROR(__xludf.DUMMYFUNCTION("GOOGLEFINANCE(""ASX:WES"", ""marketcap"")"),9.0743072368E10)</f>
        <v>90743072368</v>
      </c>
      <c r="J2284" s="5"/>
      <c r="K2284" s="5"/>
      <c r="L2284" s="5"/>
      <c r="M2284" s="5"/>
      <c r="N2284" s="9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>
      <c r="A2285" s="5" t="s">
        <v>4523</v>
      </c>
      <c r="B2285" s="5" t="s">
        <v>4524</v>
      </c>
      <c r="C2285" s="5" t="s">
        <v>171</v>
      </c>
      <c r="D2285" s="7">
        <f>IFERROR(__xludf.DUMMYFUNCTION("GOOGLEFINANCE(""ASX:WGB"", ""price"")"),2.47)</f>
        <v>2.47</v>
      </c>
      <c r="E2285" s="8">
        <f>IFERROR(__xludf.DUMMYFUNCTION("GOOGLEFINANCE(""ASX:WGB"", ""closeyest"")"),2.47)</f>
        <v>2.47</v>
      </c>
      <c r="F2285" s="9">
        <f>IFERROR(__xludf.DUMMYFUNCTION("GOOGLEFINANCE(""ASX:WGB"", ""pe"")"),8.51)</f>
        <v>8.51</v>
      </c>
      <c r="G2285" s="9">
        <f>IFERROR(__xludf.DUMMYFUNCTION("GOOGLEFINANCE(""ASX:WGB"", ""high52"")"),2.64)</f>
        <v>2.64</v>
      </c>
      <c r="H2285" s="9">
        <f>IFERROR(__xludf.DUMMYFUNCTION("GOOGLEFINANCE(""ASX:WGB"", ""low52"")"),2.07)</f>
        <v>2.07</v>
      </c>
      <c r="I2285" s="9">
        <f>IFERROR(__xludf.DUMMYFUNCTION("GOOGLEFINANCE(""ASX:WGB"", ""marketcap"")"),8.85771403E8)</f>
        <v>885771403</v>
      </c>
      <c r="J2285" s="5"/>
      <c r="K2285" s="5"/>
      <c r="L2285" s="5"/>
      <c r="M2285" s="5"/>
      <c r="N2285" s="9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>
      <c r="A2286" s="5" t="s">
        <v>4525</v>
      </c>
      <c r="B2286" s="5" t="s">
        <v>4526</v>
      </c>
      <c r="C2286" s="5" t="s">
        <v>961</v>
      </c>
      <c r="D2286" s="7">
        <f>IFERROR(__xludf.DUMMYFUNCTION("GOOGLEFINANCE(""ASX:WGN"", ""price"")"),3.69)</f>
        <v>3.69</v>
      </c>
      <c r="E2286" s="8">
        <f>IFERROR(__xludf.DUMMYFUNCTION("GOOGLEFINANCE(""ASX:WGN"", ""closeyest"")"),3.68)</f>
        <v>3.68</v>
      </c>
      <c r="F2286" s="9">
        <f>IFERROR(__xludf.DUMMYFUNCTION("GOOGLEFINANCE(""ASX:WGN"", ""pe"")"),31.29)</f>
        <v>31.29</v>
      </c>
      <c r="G2286" s="9">
        <f>IFERROR(__xludf.DUMMYFUNCTION("GOOGLEFINANCE(""ASX:WGN"", ""high52"")"),3.79)</f>
        <v>3.79</v>
      </c>
      <c r="H2286" s="9">
        <f>IFERROR(__xludf.DUMMYFUNCTION("GOOGLEFINANCE(""ASX:WGN"", ""low52"")"),1.35)</f>
        <v>1.35</v>
      </c>
      <c r="I2286" s="9">
        <f>IFERROR(__xludf.DUMMYFUNCTION("GOOGLEFINANCE(""ASX:WGN"", ""marketcap"")"),7.36980833E8)</f>
        <v>736980833</v>
      </c>
      <c r="J2286" s="5"/>
      <c r="K2286" s="5"/>
      <c r="L2286" s="5"/>
      <c r="M2286" s="5"/>
      <c r="N2286" s="9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>
      <c r="A2287" s="5" t="s">
        <v>4527</v>
      </c>
      <c r="B2287" s="5" t="s">
        <v>4528</v>
      </c>
      <c r="C2287" s="5" t="s">
        <v>88</v>
      </c>
      <c r="D2287" s="7">
        <f>IFERROR(__xludf.DUMMYFUNCTION("GOOGLEFINANCE(""ASX:WGR"", ""price"")"),0.22)</f>
        <v>0.22</v>
      </c>
      <c r="E2287" s="8">
        <f>IFERROR(__xludf.DUMMYFUNCTION("GOOGLEFINANCE(""ASX:WGR"", ""closeyest"")"),0.22)</f>
        <v>0.22</v>
      </c>
      <c r="F2287" s="5" t="str">
        <f>IFERROR(__xludf.DUMMYFUNCTION("GOOGLEFINANCE(""ASX:WGR"", ""pe"")"),"#N/A")</f>
        <v>#N/A</v>
      </c>
      <c r="G2287" s="9">
        <f>IFERROR(__xludf.DUMMYFUNCTION("GOOGLEFINANCE(""ASX:WGR"", ""high52"")"),0.22)</f>
        <v>0.22</v>
      </c>
      <c r="H2287" s="9">
        <f>IFERROR(__xludf.DUMMYFUNCTION("GOOGLEFINANCE(""ASX:WGR"", ""low52"")"),0.04)</f>
        <v>0.04</v>
      </c>
      <c r="I2287" s="9">
        <f>IFERROR(__xludf.DUMMYFUNCTION("GOOGLEFINANCE(""ASX:WGR"", ""marketcap"")"),6.2706987E7)</f>
        <v>62706987</v>
      </c>
      <c r="J2287" s="5"/>
      <c r="K2287" s="5"/>
      <c r="L2287" s="5"/>
      <c r="M2287" s="5"/>
      <c r="N2287" s="9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>
      <c r="A2288" s="5" t="s">
        <v>4529</v>
      </c>
      <c r="B2288" s="5" t="s">
        <v>4530</v>
      </c>
      <c r="C2288" s="5" t="s">
        <v>88</v>
      </c>
      <c r="D2288" s="7">
        <f>IFERROR(__xludf.DUMMYFUNCTION("GOOGLEFINANCE(""ASX:WGX"", ""price"")"),6.41)</f>
        <v>6.41</v>
      </c>
      <c r="E2288" s="8">
        <f>IFERROR(__xludf.DUMMYFUNCTION("GOOGLEFINANCE(""ASX:WGX"", ""closeyest"")"),6.38)</f>
        <v>6.38</v>
      </c>
      <c r="F2288" s="9">
        <f>IFERROR(__xludf.DUMMYFUNCTION("GOOGLEFINANCE(""ASX:WGX"", ""pe"")"),168.37)</f>
        <v>168.37</v>
      </c>
      <c r="G2288" s="9">
        <f>IFERROR(__xludf.DUMMYFUNCTION("GOOGLEFINANCE(""ASX:WGX"", ""high52"")"),6.67)</f>
        <v>6.67</v>
      </c>
      <c r="H2288" s="9">
        <f>IFERROR(__xludf.DUMMYFUNCTION("GOOGLEFINANCE(""ASX:WGX"", ""low52"")"),2.21)</f>
        <v>2.21</v>
      </c>
      <c r="I2288" s="9">
        <f>IFERROR(__xludf.DUMMYFUNCTION("GOOGLEFINANCE(""ASX:WGX"", ""marketcap"")"),6.056370411E9)</f>
        <v>6056370411</v>
      </c>
      <c r="J2288" s="5"/>
      <c r="K2288" s="5"/>
      <c r="L2288" s="5"/>
      <c r="M2288" s="5"/>
      <c r="N2288" s="9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>
      <c r="A2289" s="5" t="s">
        <v>4531</v>
      </c>
      <c r="B2289" s="5" t="s">
        <v>4532</v>
      </c>
      <c r="C2289" s="5" t="s">
        <v>314</v>
      </c>
      <c r="D2289" s="7">
        <f>IFERROR(__xludf.DUMMYFUNCTION("GOOGLEFINANCE(""ASX:WHC"", ""price"")"),7.79)</f>
        <v>7.79</v>
      </c>
      <c r="E2289" s="8">
        <f>IFERROR(__xludf.DUMMYFUNCTION("GOOGLEFINANCE(""ASX:WHC"", ""closeyest"")"),7.82)</f>
        <v>7.82</v>
      </c>
      <c r="F2289" s="9">
        <f>IFERROR(__xludf.DUMMYFUNCTION("GOOGLEFINANCE(""ASX:WHC"", ""pe"")"),9.72)</f>
        <v>9.72</v>
      </c>
      <c r="G2289" s="9">
        <f>IFERROR(__xludf.DUMMYFUNCTION("GOOGLEFINANCE(""ASX:WHC"", ""high52"")"),8.03)</f>
        <v>8.03</v>
      </c>
      <c r="H2289" s="9">
        <f>IFERROR(__xludf.DUMMYFUNCTION("GOOGLEFINANCE(""ASX:WHC"", ""low52"")"),4.26)</f>
        <v>4.26</v>
      </c>
      <c r="I2289" s="9">
        <f>IFERROR(__xludf.DUMMYFUNCTION("GOOGLEFINANCE(""ASX:WHC"", ""marketcap"")"),6.450052195E9)</f>
        <v>6450052195</v>
      </c>
      <c r="J2289" s="5"/>
      <c r="K2289" s="5"/>
      <c r="L2289" s="5"/>
      <c r="M2289" s="5"/>
      <c r="N2289" s="9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>
      <c r="A2290" s="5" t="s">
        <v>4533</v>
      </c>
      <c r="B2290" s="5" t="s">
        <v>4534</v>
      </c>
      <c r="C2290" s="5" t="s">
        <v>83</v>
      </c>
      <c r="D2290" s="7">
        <f>IFERROR(__xludf.DUMMYFUNCTION("GOOGLEFINANCE(""ASX:WHF"", ""price"")"),5.46)</f>
        <v>5.46</v>
      </c>
      <c r="E2290" s="8">
        <f>IFERROR(__xludf.DUMMYFUNCTION("GOOGLEFINANCE(""ASX:WHF"", ""closeyest"")"),5.45)</f>
        <v>5.45</v>
      </c>
      <c r="F2290" s="9">
        <f>IFERROR(__xludf.DUMMYFUNCTION("GOOGLEFINANCE(""ASX:WHF"", ""pe"")"),29.77)</f>
        <v>29.77</v>
      </c>
      <c r="G2290" s="9">
        <f>IFERROR(__xludf.DUMMYFUNCTION("GOOGLEFINANCE(""ASX:WHF"", ""high52"")"),5.97)</f>
        <v>5.97</v>
      </c>
      <c r="H2290" s="9">
        <f>IFERROR(__xludf.DUMMYFUNCTION("GOOGLEFINANCE(""ASX:WHF"", ""low52"")"),5.16)</f>
        <v>5.16</v>
      </c>
      <c r="I2290" s="9">
        <f>IFERROR(__xludf.DUMMYFUNCTION("GOOGLEFINANCE(""ASX:WHF"", ""marketcap"")"),6.59839366E8)</f>
        <v>659839366</v>
      </c>
      <c r="J2290" s="5"/>
      <c r="K2290" s="5"/>
      <c r="L2290" s="5"/>
      <c r="M2290" s="5"/>
      <c r="N2290" s="9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>
      <c r="A2291" s="5" t="s">
        <v>4535</v>
      </c>
      <c r="B2291" s="5" t="s">
        <v>4536</v>
      </c>
      <c r="C2291" s="5" t="s">
        <v>171</v>
      </c>
      <c r="D2291" s="7">
        <f>IFERROR(__xludf.DUMMYFUNCTION("GOOGLEFINANCE(""ASX:WHI"", ""price"")"),1.41)</f>
        <v>1.41</v>
      </c>
      <c r="E2291" s="8">
        <f>IFERROR(__xludf.DUMMYFUNCTION("GOOGLEFINANCE(""ASX:WHI"", ""closeyest"")"),1.4)</f>
        <v>1.4</v>
      </c>
      <c r="F2291" s="5" t="str">
        <f>IFERROR(__xludf.DUMMYFUNCTION("GOOGLEFINANCE(""ASX:WHI"", ""pe"")"),"#N/A")</f>
        <v>#N/A</v>
      </c>
      <c r="G2291" s="9">
        <f>IFERROR(__xludf.DUMMYFUNCTION("GOOGLEFINANCE(""ASX:WHI"", ""high52"")"),1.58)</f>
        <v>1.58</v>
      </c>
      <c r="H2291" s="9">
        <f>IFERROR(__xludf.DUMMYFUNCTION("GOOGLEFINANCE(""ASX:WHI"", ""low52"")"),1.18)</f>
        <v>1.18</v>
      </c>
      <c r="I2291" s="9" t="str">
        <f>IFERROR(__xludf.DUMMYFUNCTION("GOOGLEFINANCE(""ASX:WHI"", ""marketcap"")"),"#N/A")</f>
        <v>#N/A</v>
      </c>
      <c r="J2291" s="5"/>
      <c r="K2291" s="5"/>
      <c r="L2291" s="5"/>
      <c r="M2291" s="5"/>
      <c r="N2291" s="9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>
      <c r="A2292" s="5" t="s">
        <v>4537</v>
      </c>
      <c r="B2292" s="5" t="s">
        <v>4538</v>
      </c>
      <c r="C2292" s="5" t="s">
        <v>15</v>
      </c>
      <c r="D2292" s="7">
        <f>IFERROR(__xludf.DUMMYFUNCTION("GOOGLEFINANCE(""ASX:WHK"", ""price"")"),0.01)</f>
        <v>0.01</v>
      </c>
      <c r="E2292" s="8">
        <f>IFERROR(__xludf.DUMMYFUNCTION("GOOGLEFINANCE(""ASX:WHK"", ""closeyest"")"),0.01)</f>
        <v>0.01</v>
      </c>
      <c r="F2292" s="5" t="str">
        <f>IFERROR(__xludf.DUMMYFUNCTION("GOOGLEFINANCE(""ASX:WHK"", ""pe"")"),"#N/A")</f>
        <v>#N/A</v>
      </c>
      <c r="G2292" s="9">
        <f>IFERROR(__xludf.DUMMYFUNCTION("GOOGLEFINANCE(""ASX:WHK"", ""high52"")"),0.03)</f>
        <v>0.03</v>
      </c>
      <c r="H2292" s="9">
        <f>IFERROR(__xludf.DUMMYFUNCTION("GOOGLEFINANCE(""ASX:WHK"", ""low52"")"),0.01)</f>
        <v>0.01</v>
      </c>
      <c r="I2292" s="9">
        <f>IFERROR(__xludf.DUMMYFUNCTION("GOOGLEFINANCE(""ASX:WHK"", ""marketcap"")"),5858704.0)</f>
        <v>5858704</v>
      </c>
      <c r="J2292" s="5"/>
      <c r="K2292" s="5"/>
      <c r="L2292" s="5"/>
      <c r="M2292" s="5"/>
      <c r="N2292" s="9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>
      <c r="A2293" s="5" t="s">
        <v>4539</v>
      </c>
      <c r="B2293" s="5" t="s">
        <v>4540</v>
      </c>
      <c r="C2293" s="5" t="s">
        <v>88</v>
      </c>
      <c r="D2293" s="7">
        <f>IFERROR(__xludf.DUMMYFUNCTION("GOOGLEFINANCE(""ASX:WIA"", ""price"")"),0.49)</f>
        <v>0.49</v>
      </c>
      <c r="E2293" s="8">
        <f>IFERROR(__xludf.DUMMYFUNCTION("GOOGLEFINANCE(""ASX:WIA"", ""closeyest"")"),0.47)</f>
        <v>0.47</v>
      </c>
      <c r="F2293" s="5" t="str">
        <f>IFERROR(__xludf.DUMMYFUNCTION("GOOGLEFINANCE(""ASX:WIA"", ""pe"")"),"#N/A")</f>
        <v>#N/A</v>
      </c>
      <c r="G2293" s="9">
        <f>IFERROR(__xludf.DUMMYFUNCTION("GOOGLEFINANCE(""ASX:WIA"", ""high52"")"),0.55)</f>
        <v>0.55</v>
      </c>
      <c r="H2293" s="9">
        <f>IFERROR(__xludf.DUMMYFUNCTION("GOOGLEFINANCE(""ASX:WIA"", ""low52"")"),0.12)</f>
        <v>0.12</v>
      </c>
      <c r="I2293" s="9">
        <f>IFERROR(__xludf.DUMMYFUNCTION("GOOGLEFINANCE(""ASX:WIA"", ""marketcap"")"),7.15493113E8)</f>
        <v>715493113</v>
      </c>
      <c r="J2293" s="5"/>
      <c r="K2293" s="5"/>
      <c r="L2293" s="5"/>
      <c r="M2293" s="5"/>
      <c r="N2293" s="9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>
      <c r="A2294" s="5" t="s">
        <v>4541</v>
      </c>
      <c r="B2294" s="5" t="s">
        <v>4542</v>
      </c>
      <c r="C2294" s="5" t="s">
        <v>39</v>
      </c>
      <c r="D2294" s="7">
        <f>IFERROR(__xludf.DUMMYFUNCTION("GOOGLEFINANCE(""ASX:WIN"", ""price"")"),0.03)</f>
        <v>0.03</v>
      </c>
      <c r="E2294" s="8">
        <f>IFERROR(__xludf.DUMMYFUNCTION("GOOGLEFINANCE(""ASX:WIN"", ""closeyest"")"),0.04)</f>
        <v>0.04</v>
      </c>
      <c r="F2294" s="5" t="str">
        <f>IFERROR(__xludf.DUMMYFUNCTION("GOOGLEFINANCE(""ASX:WIN"", ""pe"")"),"#N/A")</f>
        <v>#N/A</v>
      </c>
      <c r="G2294" s="9">
        <f>IFERROR(__xludf.DUMMYFUNCTION("GOOGLEFINANCE(""ASX:WIN"", ""high52"")"),0.07)</f>
        <v>0.07</v>
      </c>
      <c r="H2294" s="9">
        <f>IFERROR(__xludf.DUMMYFUNCTION("GOOGLEFINANCE(""ASX:WIN"", ""low52"")"),0.01)</f>
        <v>0.01</v>
      </c>
      <c r="I2294" s="9">
        <f>IFERROR(__xludf.DUMMYFUNCTION("GOOGLEFINANCE(""ASX:WIN"", ""marketcap"")"),3.3026602E7)</f>
        <v>33026602</v>
      </c>
      <c r="J2294" s="5"/>
      <c r="K2294" s="5"/>
      <c r="L2294" s="5"/>
      <c r="M2294" s="5"/>
      <c r="N2294" s="9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>
      <c r="A2295" s="5" t="s">
        <v>4543</v>
      </c>
      <c r="B2295" s="5" t="s">
        <v>4544</v>
      </c>
      <c r="C2295" s="5" t="s">
        <v>36</v>
      </c>
      <c r="D2295" s="7">
        <f>IFERROR(__xludf.DUMMYFUNCTION("GOOGLEFINANCE(""ASX:WIRE"", ""price"")"),23.47)</f>
        <v>23.47</v>
      </c>
      <c r="E2295" s="8">
        <f>IFERROR(__xludf.DUMMYFUNCTION("GOOGLEFINANCE(""ASX:WIRE"", ""closeyest"")"),23.76)</f>
        <v>23.76</v>
      </c>
      <c r="F2295" s="5" t="str">
        <f>IFERROR(__xludf.DUMMYFUNCTION("GOOGLEFINANCE(""ASX:WIRE"", ""pe"")"),"#N/A")</f>
        <v>#N/A</v>
      </c>
      <c r="G2295" s="9">
        <f>IFERROR(__xludf.DUMMYFUNCTION("GOOGLEFINANCE(""ASX:WIRE"", ""high52"")"),23.98)</f>
        <v>23.98</v>
      </c>
      <c r="H2295" s="9">
        <f>IFERROR(__xludf.DUMMYFUNCTION("GOOGLEFINANCE(""ASX:WIRE"", ""low52"")"),9.96)</f>
        <v>9.96</v>
      </c>
      <c r="I2295" s="9" t="str">
        <f>IFERROR(__xludf.DUMMYFUNCTION("GOOGLEFINANCE(""ASX:WIRE"", ""marketcap"")"),"#N/A")</f>
        <v>#N/A</v>
      </c>
      <c r="J2295" s="5"/>
      <c r="K2295" s="5"/>
      <c r="L2295" s="5"/>
      <c r="M2295" s="5"/>
      <c r="N2295" s="9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>
      <c r="A2296" s="5" t="s">
        <v>4545</v>
      </c>
      <c r="B2296" s="5" t="s">
        <v>4546</v>
      </c>
      <c r="C2296" s="5" t="s">
        <v>670</v>
      </c>
      <c r="D2296" s="7">
        <f>IFERROR(__xludf.DUMMYFUNCTION("GOOGLEFINANCE(""ASX:WJL"", ""price"")"),0.88)</f>
        <v>0.88</v>
      </c>
      <c r="E2296" s="8">
        <f>IFERROR(__xludf.DUMMYFUNCTION("GOOGLEFINANCE(""ASX:WJL"", ""closeyest"")"),0.87)</f>
        <v>0.87</v>
      </c>
      <c r="F2296" s="9">
        <f>IFERROR(__xludf.DUMMYFUNCTION("GOOGLEFINANCE(""ASX:WJL"", ""pe"")"),72.37)</f>
        <v>72.37</v>
      </c>
      <c r="G2296" s="9">
        <f>IFERROR(__xludf.DUMMYFUNCTION("GOOGLEFINANCE(""ASX:WJL"", ""high52"")"),1.0)</f>
        <v>1</v>
      </c>
      <c r="H2296" s="9">
        <f>IFERROR(__xludf.DUMMYFUNCTION("GOOGLEFINANCE(""ASX:WJL"", ""low52"")"),0.46)</f>
        <v>0.46</v>
      </c>
      <c r="I2296" s="9">
        <f>IFERROR(__xludf.DUMMYFUNCTION("GOOGLEFINANCE(""ASX:WJL"", ""marketcap"")"),3.43464012E8)</f>
        <v>343464012</v>
      </c>
      <c r="J2296" s="5"/>
      <c r="K2296" s="5"/>
      <c r="L2296" s="5"/>
      <c r="M2296" s="5"/>
      <c r="N2296" s="9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>
      <c r="A2297" s="5" t="s">
        <v>4547</v>
      </c>
      <c r="B2297" s="5" t="s">
        <v>4548</v>
      </c>
      <c r="C2297" s="5" t="s">
        <v>171</v>
      </c>
      <c r="D2297" s="7">
        <f>IFERROR(__xludf.DUMMYFUNCTION("GOOGLEFINANCE(""ASX:WLE"", ""price"")"),1.34)</f>
        <v>1.34</v>
      </c>
      <c r="E2297" s="8">
        <f>IFERROR(__xludf.DUMMYFUNCTION("GOOGLEFINANCE(""ASX:WLE"", ""closeyest"")"),1.32)</f>
        <v>1.32</v>
      </c>
      <c r="F2297" s="9">
        <f>IFERROR(__xludf.DUMMYFUNCTION("GOOGLEFINANCE(""ASX:WLE"", ""pe"")"),28.66)</f>
        <v>28.66</v>
      </c>
      <c r="G2297" s="9">
        <f>IFERROR(__xludf.DUMMYFUNCTION("GOOGLEFINANCE(""ASX:WLE"", ""high52"")"),1.43)</f>
        <v>1.43</v>
      </c>
      <c r="H2297" s="9">
        <f>IFERROR(__xludf.DUMMYFUNCTION("GOOGLEFINANCE(""ASX:WLE"", ""low52"")"),1.14)</f>
        <v>1.14</v>
      </c>
      <c r="I2297" s="9">
        <f>IFERROR(__xludf.DUMMYFUNCTION("GOOGLEFINANCE(""ASX:WLE"", ""marketcap"")"),1.844961625E9)</f>
        <v>1844961625</v>
      </c>
      <c r="J2297" s="5"/>
      <c r="K2297" s="5"/>
      <c r="L2297" s="5"/>
      <c r="M2297" s="5"/>
      <c r="N2297" s="9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>
      <c r="A2298" s="5" t="s">
        <v>4549</v>
      </c>
      <c r="B2298" s="5" t="s">
        <v>4550</v>
      </c>
      <c r="C2298" s="5" t="s">
        <v>171</v>
      </c>
      <c r="D2298" s="7">
        <f>IFERROR(__xludf.DUMMYFUNCTION("GOOGLEFINANCE(""ASX:WMA"", ""price"")"),1.03)</f>
        <v>1.03</v>
      </c>
      <c r="E2298" s="8">
        <f>IFERROR(__xludf.DUMMYFUNCTION("GOOGLEFINANCE(""ASX:WMA"", ""closeyest"")"),1.01)</f>
        <v>1.01</v>
      </c>
      <c r="F2298" s="9">
        <f>IFERROR(__xludf.DUMMYFUNCTION("GOOGLEFINANCE(""ASX:WMA"", ""pe"")"),32.41)</f>
        <v>32.41</v>
      </c>
      <c r="G2298" s="9">
        <f>IFERROR(__xludf.DUMMYFUNCTION("GOOGLEFINANCE(""ASX:WMA"", ""high52"")"),1.06)</f>
        <v>1.06</v>
      </c>
      <c r="H2298" s="9">
        <f>IFERROR(__xludf.DUMMYFUNCTION("GOOGLEFINANCE(""ASX:WMA"", ""low52"")"),0.86)</f>
        <v>0.86</v>
      </c>
      <c r="I2298" s="9">
        <f>IFERROR(__xludf.DUMMYFUNCTION("GOOGLEFINANCE(""ASX:WMA"", ""marketcap"")"),2.0389488E8)</f>
        <v>203894880</v>
      </c>
      <c r="J2298" s="5"/>
      <c r="K2298" s="5"/>
      <c r="L2298" s="5"/>
      <c r="M2298" s="5"/>
      <c r="N2298" s="9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>
      <c r="A2299" s="5" t="s">
        <v>4551</v>
      </c>
      <c r="B2299" s="5" t="s">
        <v>4552</v>
      </c>
      <c r="C2299" s="5" t="s">
        <v>88</v>
      </c>
      <c r="D2299" s="7">
        <f>IFERROR(__xludf.DUMMYFUNCTION("GOOGLEFINANCE(""ASX:WMG"", ""price"")"),0.28)</f>
        <v>0.28</v>
      </c>
      <c r="E2299" s="8">
        <f>IFERROR(__xludf.DUMMYFUNCTION("GOOGLEFINANCE(""ASX:WMG"", ""closeyest"")"),0.25)</f>
        <v>0.25</v>
      </c>
      <c r="F2299" s="5" t="str">
        <f>IFERROR(__xludf.DUMMYFUNCTION("GOOGLEFINANCE(""ASX:WMG"", ""pe"")"),"#N/A")</f>
        <v>#N/A</v>
      </c>
      <c r="G2299" s="9">
        <f>IFERROR(__xludf.DUMMYFUNCTION("GOOGLEFINANCE(""ASX:WMG"", ""high52"")"),0.3)</f>
        <v>0.3</v>
      </c>
      <c r="H2299" s="9">
        <f>IFERROR(__xludf.DUMMYFUNCTION("GOOGLEFINANCE(""ASX:WMG"", ""low52"")"),0.09)</f>
        <v>0.09</v>
      </c>
      <c r="I2299" s="9">
        <f>IFERROR(__xludf.DUMMYFUNCTION("GOOGLEFINANCE(""ASX:WMG"", ""marketcap"")"),3.1849524E7)</f>
        <v>31849524</v>
      </c>
      <c r="J2299" s="5"/>
      <c r="K2299" s="5"/>
      <c r="L2299" s="5"/>
      <c r="M2299" s="5"/>
      <c r="N2299" s="9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>
      <c r="A2300" s="5" t="s">
        <v>4553</v>
      </c>
      <c r="B2300" s="5" t="s">
        <v>4554</v>
      </c>
      <c r="C2300" s="5" t="s">
        <v>171</v>
      </c>
      <c r="D2300" s="7">
        <f>IFERROR(__xludf.DUMMYFUNCTION("GOOGLEFINANCE(""ASX:WMI"", ""price"")"),1.65)</f>
        <v>1.65</v>
      </c>
      <c r="E2300" s="8">
        <f>IFERROR(__xludf.DUMMYFUNCTION("GOOGLEFINANCE(""ASX:WMI"", ""closeyest"")"),1.65)</f>
        <v>1.65</v>
      </c>
      <c r="F2300" s="9">
        <f>IFERROR(__xludf.DUMMYFUNCTION("GOOGLEFINANCE(""ASX:WMI"", ""pe"")"),10.52)</f>
        <v>10.52</v>
      </c>
      <c r="G2300" s="9">
        <f>IFERROR(__xludf.DUMMYFUNCTION("GOOGLEFINANCE(""ASX:WMI"", ""high52"")"),1.85)</f>
        <v>1.85</v>
      </c>
      <c r="H2300" s="9">
        <f>IFERROR(__xludf.DUMMYFUNCTION("GOOGLEFINANCE(""ASX:WMI"", ""low52"")"),1.39)</f>
        <v>1.39</v>
      </c>
      <c r="I2300" s="9">
        <f>IFERROR(__xludf.DUMMYFUNCTION("GOOGLEFINANCE(""ASX:WMI"", ""marketcap"")"),4.62327518E8)</f>
        <v>462327518</v>
      </c>
      <c r="J2300" s="5"/>
      <c r="K2300" s="5"/>
      <c r="L2300" s="5"/>
      <c r="M2300" s="5"/>
      <c r="N2300" s="9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>
      <c r="A2301" s="5" t="s">
        <v>4555</v>
      </c>
      <c r="B2301" s="5" t="s">
        <v>4556</v>
      </c>
      <c r="C2301" s="5" t="s">
        <v>171</v>
      </c>
      <c r="D2301" s="7">
        <f>IFERROR(__xludf.DUMMYFUNCTION("GOOGLEFINANCE(""ASX:WMX"", ""price"")"),1.6)</f>
        <v>1.6</v>
      </c>
      <c r="E2301" s="8">
        <f>IFERROR(__xludf.DUMMYFUNCTION("GOOGLEFINANCE(""ASX:WMX"", ""closeyest"")"),1.6)</f>
        <v>1.6</v>
      </c>
      <c r="F2301" s="5" t="str">
        <f>IFERROR(__xludf.DUMMYFUNCTION("GOOGLEFINANCE(""ASX:WMX"", ""pe"")"),"#N/A")</f>
        <v>#N/A</v>
      </c>
      <c r="G2301" s="9">
        <f>IFERROR(__xludf.DUMMYFUNCTION("GOOGLEFINANCE(""ASX:WMX"", ""high52"")"),1.71)</f>
        <v>1.71</v>
      </c>
      <c r="H2301" s="9">
        <f>IFERROR(__xludf.DUMMYFUNCTION("GOOGLEFINANCE(""ASX:WMX"", ""low52"")"),1.52)</f>
        <v>1.52</v>
      </c>
      <c r="I2301" s="9">
        <f>IFERROR(__xludf.DUMMYFUNCTION("GOOGLEFINANCE(""ASX:WMX"", ""marketcap"")"),2.51953443E8)</f>
        <v>251953443</v>
      </c>
      <c r="J2301" s="5"/>
      <c r="K2301" s="5"/>
      <c r="L2301" s="5"/>
      <c r="M2301" s="5"/>
      <c r="N2301" s="9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>
      <c r="A2302" s="5" t="s">
        <v>4557</v>
      </c>
      <c r="B2302" s="5" t="s">
        <v>4558</v>
      </c>
      <c r="C2302" s="5" t="s">
        <v>128</v>
      </c>
      <c r="D2302" s="7">
        <f>IFERROR(__xludf.DUMMYFUNCTION("GOOGLEFINANCE(""ASX:WNR"", ""price"")"),0.01)</f>
        <v>0.01</v>
      </c>
      <c r="E2302" s="8">
        <f>IFERROR(__xludf.DUMMYFUNCTION("GOOGLEFINANCE(""ASX:WNR"", ""closeyest"")"),0.01)</f>
        <v>0.01</v>
      </c>
      <c r="F2302" s="5" t="str">
        <f>IFERROR(__xludf.DUMMYFUNCTION("GOOGLEFINANCE(""ASX:WNR"", ""pe"")"),"#N/A")</f>
        <v>#N/A</v>
      </c>
      <c r="G2302" s="9">
        <f>IFERROR(__xludf.DUMMYFUNCTION("GOOGLEFINANCE(""ASX:WNR"", ""high52"")"),0.01)</f>
        <v>0.01</v>
      </c>
      <c r="H2302" s="9">
        <f>IFERROR(__xludf.DUMMYFUNCTION("GOOGLEFINANCE(""ASX:WNR"", ""low52"")"),0.01)</f>
        <v>0.01</v>
      </c>
      <c r="I2302" s="9">
        <f>IFERROR(__xludf.DUMMYFUNCTION("GOOGLEFINANCE(""ASX:WNR"", ""marketcap"")"),860160.0)</f>
        <v>860160</v>
      </c>
      <c r="J2302" s="5"/>
      <c r="K2302" s="5"/>
      <c r="L2302" s="5"/>
      <c r="M2302" s="5"/>
      <c r="N2302" s="9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>
      <c r="A2303" s="5" t="s">
        <v>4559</v>
      </c>
      <c r="B2303" s="5" t="s">
        <v>4560</v>
      </c>
      <c r="C2303" s="5" t="s">
        <v>399</v>
      </c>
      <c r="D2303" s="7">
        <f>IFERROR(__xludf.DUMMYFUNCTION("GOOGLEFINANCE(""ASX:WNX"", ""price"")"),0.1)</f>
        <v>0.1</v>
      </c>
      <c r="E2303" s="8">
        <f>IFERROR(__xludf.DUMMYFUNCTION("GOOGLEFINANCE(""ASX:WNX"", ""closeyest"")"),0.09)</f>
        <v>0.09</v>
      </c>
      <c r="F2303" s="5" t="str">
        <f>IFERROR(__xludf.DUMMYFUNCTION("GOOGLEFINANCE(""ASX:WNX"", ""pe"")"),"#N/A")</f>
        <v>#N/A</v>
      </c>
      <c r="G2303" s="9">
        <f>IFERROR(__xludf.DUMMYFUNCTION("GOOGLEFINANCE(""ASX:WNX"", ""high52"")"),0.83)</f>
        <v>0.83</v>
      </c>
      <c r="H2303" s="9">
        <f>IFERROR(__xludf.DUMMYFUNCTION("GOOGLEFINANCE(""ASX:WNX"", ""low52"")"),0.09)</f>
        <v>0.09</v>
      </c>
      <c r="I2303" s="9">
        <f>IFERROR(__xludf.DUMMYFUNCTION("GOOGLEFINANCE(""ASX:WNX"", ""marketcap"")"),6840088.0)</f>
        <v>6840088</v>
      </c>
      <c r="J2303" s="5"/>
      <c r="K2303" s="5"/>
      <c r="L2303" s="5"/>
      <c r="M2303" s="5"/>
      <c r="N2303" s="9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>
      <c r="A2304" s="5" t="s">
        <v>4561</v>
      </c>
      <c r="B2304" s="5" t="s">
        <v>4562</v>
      </c>
      <c r="C2304" s="5" t="s">
        <v>98</v>
      </c>
      <c r="D2304" s="7">
        <f>IFERROR(__xludf.DUMMYFUNCTION("GOOGLEFINANCE(""ASX:WOA"", ""price"")"),0.02)</f>
        <v>0.02</v>
      </c>
      <c r="E2304" s="8">
        <f>IFERROR(__xludf.DUMMYFUNCTION("GOOGLEFINANCE(""ASX:WOA"", ""closeyest"")"),0.02)</f>
        <v>0.02</v>
      </c>
      <c r="F2304" s="5" t="str">
        <f>IFERROR(__xludf.DUMMYFUNCTION("GOOGLEFINANCE(""ASX:WOA"", ""pe"")"),"#N/A")</f>
        <v>#N/A</v>
      </c>
      <c r="G2304" s="9">
        <f>IFERROR(__xludf.DUMMYFUNCTION("GOOGLEFINANCE(""ASX:WOA"", ""high52"")"),0.04)</f>
        <v>0.04</v>
      </c>
      <c r="H2304" s="9">
        <f>IFERROR(__xludf.DUMMYFUNCTION("GOOGLEFINANCE(""ASX:WOA"", ""low52"")"),0.0)</f>
        <v>0</v>
      </c>
      <c r="I2304" s="9">
        <f>IFERROR(__xludf.DUMMYFUNCTION("GOOGLEFINANCE(""ASX:WOA"", ""marketcap"")"),1.1812765E7)</f>
        <v>11812765</v>
      </c>
      <c r="J2304" s="5"/>
      <c r="K2304" s="5"/>
      <c r="L2304" s="5"/>
      <c r="M2304" s="5"/>
      <c r="N2304" s="9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>
      <c r="A2305" s="5" t="s">
        <v>4563</v>
      </c>
      <c r="B2305" s="5" t="s">
        <v>4564</v>
      </c>
      <c r="C2305" s="5" t="s">
        <v>123</v>
      </c>
      <c r="D2305" s="7">
        <f>IFERROR(__xludf.DUMMYFUNCTION("GOOGLEFINANCE(""ASX:WOR"", ""price"")"),13.07)</f>
        <v>13.07</v>
      </c>
      <c r="E2305" s="8">
        <f>IFERROR(__xludf.DUMMYFUNCTION("GOOGLEFINANCE(""ASX:WOR"", ""closeyest"")"),13.11)</f>
        <v>13.11</v>
      </c>
      <c r="F2305" s="9">
        <f>IFERROR(__xludf.DUMMYFUNCTION("GOOGLEFINANCE(""ASX:WOR"", ""pe"")"),16.96)</f>
        <v>16.96</v>
      </c>
      <c r="G2305" s="9">
        <f>IFERROR(__xludf.DUMMYFUNCTION("GOOGLEFINANCE(""ASX:WOR"", ""high52"")"),15.81)</f>
        <v>15.81</v>
      </c>
      <c r="H2305" s="9">
        <f>IFERROR(__xludf.DUMMYFUNCTION("GOOGLEFINANCE(""ASX:WOR"", ""low52"")"),11.07)</f>
        <v>11.07</v>
      </c>
      <c r="I2305" s="9">
        <f>IFERROR(__xludf.DUMMYFUNCTION("GOOGLEFINANCE(""ASX:WOR"", ""marketcap"")"),6.617642762E9)</f>
        <v>6617642762</v>
      </c>
      <c r="J2305" s="5"/>
      <c r="K2305" s="5"/>
      <c r="L2305" s="5"/>
      <c r="M2305" s="5"/>
      <c r="N2305" s="9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>
      <c r="A2306" s="5" t="s">
        <v>4565</v>
      </c>
      <c r="B2306" s="5" t="s">
        <v>4566</v>
      </c>
      <c r="C2306" s="5" t="s">
        <v>418</v>
      </c>
      <c r="D2306" s="7">
        <f>IFERROR(__xludf.DUMMYFUNCTION("GOOGLEFINANCE(""ASX:WOT"", ""price"")"),0.57)</f>
        <v>0.57</v>
      </c>
      <c r="E2306" s="8">
        <f>IFERROR(__xludf.DUMMYFUNCTION("GOOGLEFINANCE(""ASX:WOT"", ""closeyest"")"),0.57)</f>
        <v>0.57</v>
      </c>
      <c r="F2306" s="5" t="str">
        <f>IFERROR(__xludf.DUMMYFUNCTION("GOOGLEFINANCE(""ASX:WOT"", ""pe"")"),"#N/A")</f>
        <v>#N/A</v>
      </c>
      <c r="G2306" s="9">
        <f>IFERROR(__xludf.DUMMYFUNCTION("GOOGLEFINANCE(""ASX:WOT"", ""high52"")"),0.82)</f>
        <v>0.82</v>
      </c>
      <c r="H2306" s="9">
        <f>IFERROR(__xludf.DUMMYFUNCTION("GOOGLEFINANCE(""ASX:WOT"", ""low52"")"),0.45)</f>
        <v>0.45</v>
      </c>
      <c r="I2306" s="9">
        <f>IFERROR(__xludf.DUMMYFUNCTION("GOOGLEFINANCE(""ASX:WOT"", ""marketcap"")"),9.220026E7)</f>
        <v>92200260</v>
      </c>
      <c r="J2306" s="5"/>
      <c r="K2306" s="5"/>
      <c r="L2306" s="5"/>
      <c r="M2306" s="5"/>
      <c r="N2306" s="9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>
      <c r="A2307" s="5" t="s">
        <v>4567</v>
      </c>
      <c r="B2307" s="5" t="s">
        <v>4568</v>
      </c>
      <c r="C2307" s="5" t="s">
        <v>580</v>
      </c>
      <c r="D2307" s="7">
        <f>IFERROR(__xludf.DUMMYFUNCTION("GOOGLEFINANCE(""ASX:WOW"", ""price"")"),29.33)</f>
        <v>29.33</v>
      </c>
      <c r="E2307" s="8">
        <f>IFERROR(__xludf.DUMMYFUNCTION("GOOGLEFINANCE(""ASX:WOW"", ""closeyest"")"),28.84)</f>
        <v>28.84</v>
      </c>
      <c r="F2307" s="9">
        <f>IFERROR(__xludf.DUMMYFUNCTION("GOOGLEFINANCE(""ASX:WOW"", ""pe"")"),37.42)</f>
        <v>37.42</v>
      </c>
      <c r="G2307" s="9">
        <f>IFERROR(__xludf.DUMMYFUNCTION("GOOGLEFINANCE(""ASX:WOW"", ""high52"")"),33.76)</f>
        <v>33.76</v>
      </c>
      <c r="H2307" s="9">
        <f>IFERROR(__xludf.DUMMYFUNCTION("GOOGLEFINANCE(""ASX:WOW"", ""low52"")"),25.51)</f>
        <v>25.51</v>
      </c>
      <c r="I2307" s="9">
        <f>IFERROR(__xludf.DUMMYFUNCTION("GOOGLEFINANCE(""ASX:WOW"", ""marketcap"")"),3.5829498576E10)</f>
        <v>35829498576</v>
      </c>
      <c r="J2307" s="5"/>
      <c r="K2307" s="5"/>
      <c r="L2307" s="5"/>
      <c r="M2307" s="5"/>
      <c r="N2307" s="9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>
      <c r="A2308" s="5" t="s">
        <v>4569</v>
      </c>
      <c r="B2308" s="5" t="s">
        <v>4570</v>
      </c>
      <c r="C2308" s="5" t="s">
        <v>418</v>
      </c>
      <c r="D2308" s="7">
        <f>IFERROR(__xludf.DUMMYFUNCTION("GOOGLEFINANCE(""ASX:WPR"", ""price"")"),2.5)</f>
        <v>2.5</v>
      </c>
      <c r="E2308" s="8">
        <f>IFERROR(__xludf.DUMMYFUNCTION("GOOGLEFINANCE(""ASX:WPR"", ""closeyest"")"),2.5)</f>
        <v>2.5</v>
      </c>
      <c r="F2308" s="9">
        <f>IFERROR(__xludf.DUMMYFUNCTION("GOOGLEFINANCE(""ASX:WPR"", ""pe"")"),9.56)</f>
        <v>9.56</v>
      </c>
      <c r="G2308" s="9">
        <f>IFERROR(__xludf.DUMMYFUNCTION("GOOGLEFINANCE(""ASX:WPR"", ""high52"")"),2.82)</f>
        <v>2.82</v>
      </c>
      <c r="H2308" s="9">
        <f>IFERROR(__xludf.DUMMYFUNCTION("GOOGLEFINANCE(""ASX:WPR"", ""low52"")"),2.31)</f>
        <v>2.31</v>
      </c>
      <c r="I2308" s="9">
        <f>IFERROR(__xludf.DUMMYFUNCTION("GOOGLEFINANCE(""ASX:WPR"", ""marketcap"")"),1.6323355E9)</f>
        <v>1632335500</v>
      </c>
      <c r="J2308" s="5"/>
      <c r="K2308" s="5"/>
      <c r="L2308" s="5"/>
      <c r="M2308" s="5"/>
      <c r="N2308" s="9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>
      <c r="A2309" s="5" t="s">
        <v>4571</v>
      </c>
      <c r="B2309" s="5" t="s">
        <v>4572</v>
      </c>
      <c r="C2309" s="5" t="s">
        <v>171</v>
      </c>
      <c r="D2309" s="7">
        <f>IFERROR(__xludf.DUMMYFUNCTION("GOOGLEFINANCE(""ASX:WQG"", ""price"")"),1.94)</f>
        <v>1.94</v>
      </c>
      <c r="E2309" s="8">
        <f>IFERROR(__xludf.DUMMYFUNCTION("GOOGLEFINANCE(""ASX:WQG"", ""closeyest"")"),1.97)</f>
        <v>1.97</v>
      </c>
      <c r="F2309" s="9">
        <f>IFERROR(__xludf.DUMMYFUNCTION("GOOGLEFINANCE(""ASX:WQG"", ""pe"")"),5.77)</f>
        <v>5.77</v>
      </c>
      <c r="G2309" s="9">
        <f>IFERROR(__xludf.DUMMYFUNCTION("GOOGLEFINANCE(""ASX:WQG"", ""high52"")"),2.17)</f>
        <v>2.17</v>
      </c>
      <c r="H2309" s="9">
        <f>IFERROR(__xludf.DUMMYFUNCTION("GOOGLEFINANCE(""ASX:WQG"", ""low52"")"),1.43)</f>
        <v>1.43</v>
      </c>
      <c r="I2309" s="9">
        <f>IFERROR(__xludf.DUMMYFUNCTION("GOOGLEFINANCE(""ASX:WQG"", ""marketcap"")"),4.40453974E8)</f>
        <v>440453974</v>
      </c>
      <c r="J2309" s="5"/>
      <c r="K2309" s="5"/>
      <c r="L2309" s="5"/>
      <c r="M2309" s="5"/>
      <c r="N2309" s="9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>
      <c r="A2310" s="5" t="s">
        <v>4573</v>
      </c>
      <c r="B2310" s="5" t="s">
        <v>4574</v>
      </c>
      <c r="C2310" s="5" t="s">
        <v>39</v>
      </c>
      <c r="D2310" s="7">
        <f>IFERROR(__xludf.DUMMYFUNCTION("GOOGLEFINANCE(""ASX:WR1"", ""price"")"),0.51)</f>
        <v>0.51</v>
      </c>
      <c r="E2310" s="8">
        <f>IFERROR(__xludf.DUMMYFUNCTION("GOOGLEFINANCE(""ASX:WR1"", ""closeyest"")"),0.51)</f>
        <v>0.51</v>
      </c>
      <c r="F2310" s="5" t="str">
        <f>IFERROR(__xludf.DUMMYFUNCTION("GOOGLEFINANCE(""ASX:WR1"", ""pe"")"),"#N/A")</f>
        <v>#N/A</v>
      </c>
      <c r="G2310" s="9">
        <f>IFERROR(__xludf.DUMMYFUNCTION("GOOGLEFINANCE(""ASX:WR1"", ""high52"")"),0.53)</f>
        <v>0.53</v>
      </c>
      <c r="H2310" s="9">
        <f>IFERROR(__xludf.DUMMYFUNCTION("GOOGLEFINANCE(""ASX:WR1"", ""low52"")"),0.12)</f>
        <v>0.12</v>
      </c>
      <c r="I2310" s="9">
        <f>IFERROR(__xludf.DUMMYFUNCTION("GOOGLEFINANCE(""ASX:WR1"", ""marketcap"")"),1.24423881E8)</f>
        <v>124423881</v>
      </c>
      <c r="J2310" s="5"/>
      <c r="K2310" s="5"/>
      <c r="L2310" s="5"/>
      <c r="M2310" s="5"/>
      <c r="N2310" s="9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>
      <c r="A2311" s="5" t="s">
        <v>4573</v>
      </c>
      <c r="B2311" s="5" t="s">
        <v>4574</v>
      </c>
      <c r="C2311" s="5" t="s">
        <v>39</v>
      </c>
      <c r="D2311" s="7">
        <f>IFERROR(__xludf.DUMMYFUNCTION("GOOGLEFINANCE(""ASX:WR1"", ""price"")"),0.51)</f>
        <v>0.51</v>
      </c>
      <c r="E2311" s="8">
        <f>IFERROR(__xludf.DUMMYFUNCTION("GOOGLEFINANCE(""ASX:WR1"", ""closeyest"")"),0.51)</f>
        <v>0.51</v>
      </c>
      <c r="F2311" s="5" t="str">
        <f>IFERROR(__xludf.DUMMYFUNCTION("GOOGLEFINANCE(""ASX:WR1"", ""pe"")"),"#N/A")</f>
        <v>#N/A</v>
      </c>
      <c r="G2311" s="9">
        <f>IFERROR(__xludf.DUMMYFUNCTION("GOOGLEFINANCE(""ASX:WR1"", ""high52"")"),0.53)</f>
        <v>0.53</v>
      </c>
      <c r="H2311" s="9">
        <f>IFERROR(__xludf.DUMMYFUNCTION("GOOGLEFINANCE(""ASX:WR1"", ""low52"")"),0.12)</f>
        <v>0.12</v>
      </c>
      <c r="I2311" s="9">
        <f>IFERROR(__xludf.DUMMYFUNCTION("GOOGLEFINANCE(""ASX:WR1"", ""marketcap"")"),1.24423881E8)</f>
        <v>124423881</v>
      </c>
      <c r="J2311" s="5"/>
      <c r="K2311" s="5"/>
      <c r="L2311" s="5"/>
      <c r="M2311" s="5"/>
      <c r="N2311" s="9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>
      <c r="A2312" s="5" t="s">
        <v>4575</v>
      </c>
      <c r="B2312" s="5" t="s">
        <v>4576</v>
      </c>
      <c r="C2312" s="5" t="s">
        <v>15</v>
      </c>
      <c r="D2312" s="7">
        <f>IFERROR(__xludf.DUMMYFUNCTION("GOOGLEFINANCE(""ASX:WRK"", ""price"")"),0.14)</f>
        <v>0.14</v>
      </c>
      <c r="E2312" s="8">
        <f>IFERROR(__xludf.DUMMYFUNCTION("GOOGLEFINANCE(""ASX:WRK"", ""closeyest"")"),0.14)</f>
        <v>0.14</v>
      </c>
      <c r="F2312" s="5" t="str">
        <f>IFERROR(__xludf.DUMMYFUNCTION("GOOGLEFINANCE(""ASX:WRK"", ""pe"")"),"#N/A")</f>
        <v>#N/A</v>
      </c>
      <c r="G2312" s="9">
        <f>IFERROR(__xludf.DUMMYFUNCTION("GOOGLEFINANCE(""ASX:WRK"", ""high52"")"),0.15)</f>
        <v>0.15</v>
      </c>
      <c r="H2312" s="9">
        <f>IFERROR(__xludf.DUMMYFUNCTION("GOOGLEFINANCE(""ASX:WRK"", ""low52"")"),0.05)</f>
        <v>0.05</v>
      </c>
      <c r="I2312" s="9">
        <f>IFERROR(__xludf.DUMMYFUNCTION("GOOGLEFINANCE(""ASX:WRK"", ""marketcap"")"),2.47349034E8)</f>
        <v>247349034</v>
      </c>
      <c r="J2312" s="5"/>
      <c r="K2312" s="5"/>
      <c r="L2312" s="5"/>
      <c r="M2312" s="5"/>
      <c r="N2312" s="9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>
      <c r="A2313" s="5" t="s">
        <v>4577</v>
      </c>
      <c r="B2313" s="5" t="s">
        <v>4578</v>
      </c>
      <c r="C2313" s="5" t="s">
        <v>36</v>
      </c>
      <c r="D2313" s="7" t="str">
        <f>IFERROR(__xludf.DUMMYFUNCTION("GOOGLEFINANCE(""ASX:WRLD"", ""price"")"),"#N/A")</f>
        <v>#N/A</v>
      </c>
      <c r="E2313" s="8" t="str">
        <f>IFERROR(__xludf.DUMMYFUNCTION("GOOGLEFINANCE(""ASX:WRLD"", ""closeyest"")"),"#N/A")</f>
        <v>#N/A</v>
      </c>
      <c r="F2313" s="5" t="str">
        <f>IFERROR(__xludf.DUMMYFUNCTION("GOOGLEFINANCE(""ASX:WRLD"", ""pe"")"),"#N/A")</f>
        <v>#N/A</v>
      </c>
      <c r="G2313" s="5" t="str">
        <f>IFERROR(__xludf.DUMMYFUNCTION("GOOGLEFINANCE(""ASX:WRLD"", ""high52"")"),"#N/A")</f>
        <v>#N/A</v>
      </c>
      <c r="H2313" s="5" t="str">
        <f>IFERROR(__xludf.DUMMYFUNCTION("GOOGLEFINANCE(""ASX:WRLD"", ""low52"")"),"#N/A")</f>
        <v>#N/A</v>
      </c>
      <c r="I2313" s="9" t="str">
        <f>IFERROR(__xludf.DUMMYFUNCTION("GOOGLEFINANCE(""ASX:WRLD"", ""marketcap"")"),"#N/A")</f>
        <v>#N/A</v>
      </c>
      <c r="J2313" s="12">
        <v>22.71</v>
      </c>
      <c r="K2313" s="12">
        <v>22.74</v>
      </c>
      <c r="L2313" s="12">
        <v>23.11</v>
      </c>
      <c r="M2313" s="12">
        <v>18.68</v>
      </c>
      <c r="N2313" s="9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>
      <c r="A2314" s="5" t="s">
        <v>4579</v>
      </c>
      <c r="B2314" s="5" t="s">
        <v>4580</v>
      </c>
      <c r="C2314" s="5" t="s">
        <v>123</v>
      </c>
      <c r="D2314" s="7">
        <f>IFERROR(__xludf.DUMMYFUNCTION("GOOGLEFINANCE(""ASX:WSI"", ""price"")"),0.09)</f>
        <v>0.09</v>
      </c>
      <c r="E2314" s="8">
        <f>IFERROR(__xludf.DUMMYFUNCTION("GOOGLEFINANCE(""ASX:WSI"", ""closeyest"")"),0.08)</f>
        <v>0.08</v>
      </c>
      <c r="F2314" s="5" t="str">
        <f>IFERROR(__xludf.DUMMYFUNCTION("GOOGLEFINANCE(""ASX:WSI"", ""pe"")"),"#N/A")</f>
        <v>#N/A</v>
      </c>
      <c r="G2314" s="9">
        <f>IFERROR(__xludf.DUMMYFUNCTION("GOOGLEFINANCE(""ASX:WSI"", ""high52"")"),0.11)</f>
        <v>0.11</v>
      </c>
      <c r="H2314" s="9">
        <f>IFERROR(__xludf.DUMMYFUNCTION("GOOGLEFINANCE(""ASX:WSI"", ""low52"")"),0.05)</f>
        <v>0.05</v>
      </c>
      <c r="I2314" s="9">
        <f>IFERROR(__xludf.DUMMYFUNCTION("GOOGLEFINANCE(""ASX:WSI"", ""marketcap"")"),1.0671418E7)</f>
        <v>10671418</v>
      </c>
      <c r="J2314" s="5"/>
      <c r="K2314" s="5"/>
      <c r="L2314" s="5"/>
      <c r="M2314" s="5"/>
      <c r="N2314" s="9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>
      <c r="A2315" s="5" t="s">
        <v>4581</v>
      </c>
      <c r="B2315" s="5" t="s">
        <v>4582</v>
      </c>
      <c r="C2315" s="5" t="s">
        <v>18</v>
      </c>
      <c r="D2315" s="7">
        <f>IFERROR(__xludf.DUMMYFUNCTION("GOOGLEFINANCE(""ASX:WSR"", ""price"")"),0.01)</f>
        <v>0.01</v>
      </c>
      <c r="E2315" s="8">
        <f>IFERROR(__xludf.DUMMYFUNCTION("GOOGLEFINANCE(""ASX:WSR"", ""closeyest"")"),0.01)</f>
        <v>0.01</v>
      </c>
      <c r="F2315" s="5" t="str">
        <f>IFERROR(__xludf.DUMMYFUNCTION("GOOGLEFINANCE(""ASX:WSR"", ""pe"")"),"#N/A")</f>
        <v>#N/A</v>
      </c>
      <c r="G2315" s="9">
        <f>IFERROR(__xludf.DUMMYFUNCTION("GOOGLEFINANCE(""ASX:WSR"", ""high52"")"),0.01)</f>
        <v>0.01</v>
      </c>
      <c r="H2315" s="9">
        <f>IFERROR(__xludf.DUMMYFUNCTION("GOOGLEFINANCE(""ASX:WSR"", ""low52"")"),0.0)</f>
        <v>0</v>
      </c>
      <c r="I2315" s="9">
        <f>IFERROR(__xludf.DUMMYFUNCTION("GOOGLEFINANCE(""ASX:WSR"", ""marketcap"")"),1787520.0)</f>
        <v>1787520</v>
      </c>
      <c r="J2315" s="5"/>
      <c r="K2315" s="5"/>
      <c r="L2315" s="5"/>
      <c r="M2315" s="5"/>
      <c r="N2315" s="9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>
      <c r="A2316" s="5" t="s">
        <v>4583</v>
      </c>
      <c r="B2316" s="5" t="s">
        <v>4584</v>
      </c>
      <c r="C2316" s="5" t="s">
        <v>15</v>
      </c>
      <c r="D2316" s="7">
        <f>IFERROR(__xludf.DUMMYFUNCTION("GOOGLEFINANCE(""ASX:WTC"", ""price"")"),66.8)</f>
        <v>66.8</v>
      </c>
      <c r="E2316" s="8">
        <f>IFERROR(__xludf.DUMMYFUNCTION("GOOGLEFINANCE(""ASX:WTC"", ""closeyest"")"),65.5)</f>
        <v>65.5</v>
      </c>
      <c r="F2316" s="9">
        <f>IFERROR(__xludf.DUMMYFUNCTION("GOOGLEFINANCE(""ASX:WTC"", ""pe"")"),74.49)</f>
        <v>74.49</v>
      </c>
      <c r="G2316" s="9">
        <f>IFERROR(__xludf.DUMMYFUNCTION("GOOGLEFINANCE(""ASX:WTC"", ""high52"")"),130.5)</f>
        <v>130.5</v>
      </c>
      <c r="H2316" s="9">
        <f>IFERROR(__xludf.DUMMYFUNCTION("GOOGLEFINANCE(""ASX:WTC"", ""low52"")"),61.49)</f>
        <v>61.49</v>
      </c>
      <c r="I2316" s="9">
        <f>IFERROR(__xludf.DUMMYFUNCTION("GOOGLEFINANCE(""ASX:WTC"", ""marketcap"")"),2.2446938625E10)</f>
        <v>22446938625</v>
      </c>
      <c r="J2316" s="5"/>
      <c r="K2316" s="5"/>
      <c r="L2316" s="5"/>
      <c r="M2316" s="5"/>
      <c r="N2316" s="9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>
      <c r="A2317" s="5" t="s">
        <v>4585</v>
      </c>
      <c r="B2317" s="5" t="s">
        <v>4586</v>
      </c>
      <c r="C2317" s="5" t="s">
        <v>389</v>
      </c>
      <c r="D2317" s="7">
        <f>IFERROR(__xludf.DUMMYFUNCTION("GOOGLEFINANCE(""ASX:WTL"", ""price"")"),0.14)</f>
        <v>0.14</v>
      </c>
      <c r="E2317" s="8">
        <f>IFERROR(__xludf.DUMMYFUNCTION("GOOGLEFINANCE(""ASX:WTL"", ""closeyest"")"),0.14)</f>
        <v>0.14</v>
      </c>
      <c r="F2317" s="9">
        <f>IFERROR(__xludf.DUMMYFUNCTION("GOOGLEFINANCE(""ASX:WTL"", ""pe"")"),10.37)</f>
        <v>10.37</v>
      </c>
      <c r="G2317" s="9">
        <f>IFERROR(__xludf.DUMMYFUNCTION("GOOGLEFINANCE(""ASX:WTL"", ""high52"")"),0.16)</f>
        <v>0.16</v>
      </c>
      <c r="H2317" s="9">
        <f>IFERROR(__xludf.DUMMYFUNCTION("GOOGLEFINANCE(""ASX:WTL"", ""low52"")"),0.09)</f>
        <v>0.09</v>
      </c>
      <c r="I2317" s="9">
        <f>IFERROR(__xludf.DUMMYFUNCTION("GOOGLEFINANCE(""ASX:WTL"", ""marketcap"")"),4.7905998E7)</f>
        <v>47905998</v>
      </c>
      <c r="J2317" s="5"/>
      <c r="K2317" s="5"/>
      <c r="L2317" s="5"/>
      <c r="M2317" s="5"/>
      <c r="N2317" s="9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>
      <c r="A2318" s="5" t="s">
        <v>4587</v>
      </c>
      <c r="B2318" s="5" t="s">
        <v>4588</v>
      </c>
      <c r="C2318" s="5" t="s">
        <v>39</v>
      </c>
      <c r="D2318" s="7">
        <f>IFERROR(__xludf.DUMMYFUNCTION("GOOGLEFINANCE(""ASX:WTM"", ""price"")"),0.56)</f>
        <v>0.56</v>
      </c>
      <c r="E2318" s="8">
        <f>IFERROR(__xludf.DUMMYFUNCTION("GOOGLEFINANCE(""ASX:WTM"", ""closeyest"")"),0.56)</f>
        <v>0.56</v>
      </c>
      <c r="F2318" s="5" t="str">
        <f>IFERROR(__xludf.DUMMYFUNCTION("GOOGLEFINANCE(""ASX:WTM"", ""pe"")"),"#N/A")</f>
        <v>#N/A</v>
      </c>
      <c r="G2318" s="9">
        <f>IFERROR(__xludf.DUMMYFUNCTION("GOOGLEFINANCE(""ASX:WTM"", ""high52"")"),0.84)</f>
        <v>0.84</v>
      </c>
      <c r="H2318" s="9">
        <f>IFERROR(__xludf.DUMMYFUNCTION("GOOGLEFINANCE(""ASX:WTM"", ""low52"")"),0.14)</f>
        <v>0.14</v>
      </c>
      <c r="I2318" s="9">
        <f>IFERROR(__xludf.DUMMYFUNCTION("GOOGLEFINANCE(""ASX:WTM"", ""marketcap"")"),1.73186272E8)</f>
        <v>173186272</v>
      </c>
      <c r="J2318" s="5"/>
      <c r="K2318" s="5"/>
      <c r="L2318" s="5"/>
      <c r="M2318" s="5"/>
      <c r="N2318" s="9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>
      <c r="A2319" s="5" t="s">
        <v>4587</v>
      </c>
      <c r="B2319" s="5" t="s">
        <v>4588</v>
      </c>
      <c r="C2319" s="5" t="s">
        <v>39</v>
      </c>
      <c r="D2319" s="7">
        <f>IFERROR(__xludf.DUMMYFUNCTION("GOOGLEFINANCE(""ASX:WTM"", ""price"")"),0.56)</f>
        <v>0.56</v>
      </c>
      <c r="E2319" s="8">
        <f>IFERROR(__xludf.DUMMYFUNCTION("GOOGLEFINANCE(""ASX:WTM"", ""closeyest"")"),0.56)</f>
        <v>0.56</v>
      </c>
      <c r="F2319" s="5" t="str">
        <f>IFERROR(__xludf.DUMMYFUNCTION("GOOGLEFINANCE(""ASX:WTM"", ""pe"")"),"#N/A")</f>
        <v>#N/A</v>
      </c>
      <c r="G2319" s="9">
        <f>IFERROR(__xludf.DUMMYFUNCTION("GOOGLEFINANCE(""ASX:WTM"", ""high52"")"),0.84)</f>
        <v>0.84</v>
      </c>
      <c r="H2319" s="9">
        <f>IFERROR(__xludf.DUMMYFUNCTION("GOOGLEFINANCE(""ASX:WTM"", ""low52"")"),0.14)</f>
        <v>0.14</v>
      </c>
      <c r="I2319" s="9">
        <f>IFERROR(__xludf.DUMMYFUNCTION("GOOGLEFINANCE(""ASX:WTM"", ""marketcap"")"),1.73186272E8)</f>
        <v>173186272</v>
      </c>
      <c r="J2319" s="5"/>
      <c r="K2319" s="5"/>
      <c r="L2319" s="5"/>
      <c r="M2319" s="5"/>
      <c r="N2319" s="9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>
      <c r="A2320" s="5" t="s">
        <v>4589</v>
      </c>
      <c r="B2320" s="5" t="s">
        <v>4590</v>
      </c>
      <c r="C2320" s="5" t="s">
        <v>4591</v>
      </c>
      <c r="D2320" s="7">
        <f>IFERROR(__xludf.DUMMYFUNCTION("GOOGLEFINANCE(""ASX:WTN"", ""price"")"),2.27)</f>
        <v>2.27</v>
      </c>
      <c r="E2320" s="8">
        <f>IFERROR(__xludf.DUMMYFUNCTION("GOOGLEFINANCE(""ASX:WTN"", ""closeyest"")"),2.27)</f>
        <v>2.27</v>
      </c>
      <c r="F2320" s="5" t="str">
        <f>IFERROR(__xludf.DUMMYFUNCTION("GOOGLEFINANCE(""ASX:WTN"", ""pe"")"),"#N/A")</f>
        <v>#N/A</v>
      </c>
      <c r="G2320" s="9">
        <f>IFERROR(__xludf.DUMMYFUNCTION("GOOGLEFINANCE(""ASX:WTN"", ""high52"")"),2.27)</f>
        <v>2.27</v>
      </c>
      <c r="H2320" s="9">
        <f>IFERROR(__xludf.DUMMYFUNCTION("GOOGLEFINANCE(""ASX:WTN"", ""low52"")"),1.61)</f>
        <v>1.61</v>
      </c>
      <c r="I2320" s="9">
        <f>IFERROR(__xludf.DUMMYFUNCTION("GOOGLEFINANCE(""ASX:WTN"", ""marketcap"")"),6.430153E8)</f>
        <v>643015300</v>
      </c>
      <c r="J2320" s="5"/>
      <c r="K2320" s="5"/>
      <c r="L2320" s="5"/>
      <c r="M2320" s="5"/>
      <c r="N2320" s="9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>
      <c r="A2321" s="5" t="s">
        <v>4592</v>
      </c>
      <c r="B2321" s="5" t="s">
        <v>4593</v>
      </c>
      <c r="C2321" s="5" t="s">
        <v>36</v>
      </c>
      <c r="D2321" s="7">
        <f>IFERROR(__xludf.DUMMYFUNCTION("GOOGLEFINANCE(""ASX:WVOL"", ""price"")"),44.69)</f>
        <v>44.69</v>
      </c>
      <c r="E2321" s="8">
        <f>IFERROR(__xludf.DUMMYFUNCTION("GOOGLEFINANCE(""ASX:WVOL"", ""closeyest"")"),44.81)</f>
        <v>44.81</v>
      </c>
      <c r="F2321" s="5" t="str">
        <f>IFERROR(__xludf.DUMMYFUNCTION("GOOGLEFINANCE(""ASX:WVOL"", ""pe"")"),"#N/A")</f>
        <v>#N/A</v>
      </c>
      <c r="G2321" s="9">
        <f>IFERROR(__xludf.DUMMYFUNCTION("GOOGLEFINANCE(""ASX:WVOL"", ""high52"")"),46.12)</f>
        <v>46.12</v>
      </c>
      <c r="H2321" s="9">
        <f>IFERROR(__xludf.DUMMYFUNCTION("GOOGLEFINANCE(""ASX:WVOL"", ""low52"")"),41.58)</f>
        <v>41.58</v>
      </c>
      <c r="I2321" s="9" t="str">
        <f>IFERROR(__xludf.DUMMYFUNCTION("GOOGLEFINANCE(""ASX:WVOL"", ""marketcap"")"),"#N/A")</f>
        <v>#N/A</v>
      </c>
      <c r="J2321" s="5"/>
      <c r="K2321" s="5"/>
      <c r="L2321" s="5"/>
      <c r="M2321" s="5"/>
      <c r="N2321" s="9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>
      <c r="A2322" s="5" t="s">
        <v>4594</v>
      </c>
      <c r="B2322" s="5" t="s">
        <v>4595</v>
      </c>
      <c r="C2322" s="5" t="s">
        <v>783</v>
      </c>
      <c r="D2322" s="7">
        <f>IFERROR(__xludf.DUMMYFUNCTION("GOOGLEFINANCE(""ASX:WWG"", ""price"")"),0.26)</f>
        <v>0.26</v>
      </c>
      <c r="E2322" s="8">
        <f>IFERROR(__xludf.DUMMYFUNCTION("GOOGLEFINANCE(""ASX:WWG"", ""closeyest"")"),0.25)</f>
        <v>0.25</v>
      </c>
      <c r="F2322" s="9">
        <f>IFERROR(__xludf.DUMMYFUNCTION("GOOGLEFINANCE(""ASX:WWG"", ""pe"")"),9.8)</f>
        <v>9.8</v>
      </c>
      <c r="G2322" s="9">
        <f>IFERROR(__xludf.DUMMYFUNCTION("GOOGLEFINANCE(""ASX:WWG"", ""high52"")"),0.28)</f>
        <v>0.28</v>
      </c>
      <c r="H2322" s="9">
        <f>IFERROR(__xludf.DUMMYFUNCTION("GOOGLEFINANCE(""ASX:WWG"", ""low52"")"),0.1)</f>
        <v>0.1</v>
      </c>
      <c r="I2322" s="9">
        <f>IFERROR(__xludf.DUMMYFUNCTION("GOOGLEFINANCE(""ASX:WWG"", ""marketcap"")"),4.3058432E7)</f>
        <v>43058432</v>
      </c>
      <c r="J2322" s="5"/>
      <c r="K2322" s="5"/>
      <c r="L2322" s="5"/>
      <c r="M2322" s="5"/>
      <c r="N2322" s="9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>
      <c r="A2323" s="5" t="s">
        <v>4596</v>
      </c>
      <c r="B2323" s="5" t="s">
        <v>4597</v>
      </c>
      <c r="C2323" s="5" t="s">
        <v>18</v>
      </c>
      <c r="D2323" s="7">
        <f>IFERROR(__xludf.DUMMYFUNCTION("GOOGLEFINANCE(""ASX:WWI"", ""price"")"),0.09)</f>
        <v>0.09</v>
      </c>
      <c r="E2323" s="8">
        <f>IFERROR(__xludf.DUMMYFUNCTION("GOOGLEFINANCE(""ASX:WWI"", ""closeyest"")"),0.09)</f>
        <v>0.09</v>
      </c>
      <c r="F2323" s="5" t="str">
        <f>IFERROR(__xludf.DUMMYFUNCTION("GOOGLEFINANCE(""ASX:WWI"", ""pe"")"),"#N/A")</f>
        <v>#N/A</v>
      </c>
      <c r="G2323" s="9">
        <f>IFERROR(__xludf.DUMMYFUNCTION("GOOGLEFINANCE(""ASX:WWI"", ""high52"")"),0.09)</f>
        <v>0.09</v>
      </c>
      <c r="H2323" s="9">
        <f>IFERROR(__xludf.DUMMYFUNCTION("GOOGLEFINANCE(""ASX:WWI"", ""low52"")"),0.01)</f>
        <v>0.01</v>
      </c>
      <c r="I2323" s="9">
        <f>IFERROR(__xludf.DUMMYFUNCTION("GOOGLEFINANCE(""ASX:WWI"", ""marketcap"")"),3.26554392E8)</f>
        <v>326554392</v>
      </c>
      <c r="J2323" s="5"/>
      <c r="K2323" s="5"/>
      <c r="L2323" s="5"/>
      <c r="M2323" s="5"/>
      <c r="N2323" s="9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>
      <c r="A2324" s="5" t="s">
        <v>4598</v>
      </c>
      <c r="B2324" s="5" t="s">
        <v>4599</v>
      </c>
      <c r="C2324" s="5" t="s">
        <v>36</v>
      </c>
      <c r="D2324" s="7">
        <f>IFERROR(__xludf.DUMMYFUNCTION("GOOGLEFINANCE(""ASX:WWWW"", ""price"")"),13.08)</f>
        <v>13.08</v>
      </c>
      <c r="E2324" s="8">
        <f>IFERROR(__xludf.DUMMYFUNCTION("GOOGLEFINANCE(""ASX:WWWW"", ""closeyest"")"),13.12)</f>
        <v>13.12</v>
      </c>
      <c r="F2324" s="5" t="str">
        <f>IFERROR(__xludf.DUMMYFUNCTION("GOOGLEFINANCE(""ASX:WWWW"", ""pe"")"),"#N/A")</f>
        <v>#N/A</v>
      </c>
      <c r="G2324" s="9">
        <f>IFERROR(__xludf.DUMMYFUNCTION("GOOGLEFINANCE(""ASX:WWWW"", ""high52"")"),13.64)</f>
        <v>13.64</v>
      </c>
      <c r="H2324" s="9">
        <f>IFERROR(__xludf.DUMMYFUNCTION("GOOGLEFINANCE(""ASX:WWWW"", ""low52"")"),13.0)</f>
        <v>13</v>
      </c>
      <c r="I2324" s="9" t="str">
        <f>IFERROR(__xludf.DUMMYFUNCTION("GOOGLEFINANCE(""ASX:WWWW"", ""marketcap"")"),"#N/A")</f>
        <v>#N/A</v>
      </c>
      <c r="J2324" s="5"/>
      <c r="K2324" s="5"/>
      <c r="L2324" s="5"/>
      <c r="M2324" s="5"/>
      <c r="N2324" s="9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>
      <c r="A2325" s="5" t="s">
        <v>4600</v>
      </c>
      <c r="B2325" s="5" t="s">
        <v>4601</v>
      </c>
      <c r="C2325" s="5" t="s">
        <v>36</v>
      </c>
      <c r="D2325" s="7">
        <f>IFERROR(__xludf.DUMMYFUNCTION("GOOGLEFINANCE(""ASX:WXHG"", ""price"")"),28.77)</f>
        <v>28.77</v>
      </c>
      <c r="E2325" s="8">
        <f>IFERROR(__xludf.DUMMYFUNCTION("GOOGLEFINANCE(""ASX:WXHG"", ""closeyest"")"),28.62)</f>
        <v>28.62</v>
      </c>
      <c r="F2325" s="5" t="str">
        <f>IFERROR(__xludf.DUMMYFUNCTION("GOOGLEFINANCE(""ASX:WXHG"", ""pe"")"),"#N/A")</f>
        <v>#N/A</v>
      </c>
      <c r="G2325" s="9">
        <f>IFERROR(__xludf.DUMMYFUNCTION("GOOGLEFINANCE(""ASX:WXHG"", ""high52"")"),28.79)</f>
        <v>28.79</v>
      </c>
      <c r="H2325" s="9">
        <f>IFERROR(__xludf.DUMMYFUNCTION("GOOGLEFINANCE(""ASX:WXHG"", ""low52"")"),21.86)</f>
        <v>21.86</v>
      </c>
      <c r="I2325" s="9" t="str">
        <f>IFERROR(__xludf.DUMMYFUNCTION("GOOGLEFINANCE(""ASX:WXHG"", ""marketcap"")"),"#N/A")</f>
        <v>#N/A</v>
      </c>
      <c r="J2325" s="5"/>
      <c r="K2325" s="5"/>
      <c r="L2325" s="5"/>
      <c r="M2325" s="5"/>
      <c r="N2325" s="9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>
      <c r="A2326" s="5" t="s">
        <v>4602</v>
      </c>
      <c r="B2326" s="5" t="s">
        <v>4603</v>
      </c>
      <c r="C2326" s="5" t="s">
        <v>36</v>
      </c>
      <c r="D2326" s="7">
        <f>IFERROR(__xludf.DUMMYFUNCTION("GOOGLEFINANCE(""ASX:WXOZ"", ""price"")"),51.75)</f>
        <v>51.75</v>
      </c>
      <c r="E2326" s="8">
        <f>IFERROR(__xludf.DUMMYFUNCTION("GOOGLEFINANCE(""ASX:WXOZ"", ""closeyest"")"),51.94)</f>
        <v>51.94</v>
      </c>
      <c r="F2326" s="5" t="str">
        <f>IFERROR(__xludf.DUMMYFUNCTION("GOOGLEFINANCE(""ASX:WXOZ"", ""pe"")"),"#N/A")</f>
        <v>#N/A</v>
      </c>
      <c r="G2326" s="9">
        <f>IFERROR(__xludf.DUMMYFUNCTION("GOOGLEFINANCE(""ASX:WXOZ"", ""high52"")"),53.5)</f>
        <v>53.5</v>
      </c>
      <c r="H2326" s="9">
        <f>IFERROR(__xludf.DUMMYFUNCTION("GOOGLEFINANCE(""ASX:WXOZ"", ""low52"")"),44.43)</f>
        <v>44.43</v>
      </c>
      <c r="I2326" s="9" t="str">
        <f>IFERROR(__xludf.DUMMYFUNCTION("GOOGLEFINANCE(""ASX:WXOZ"", ""marketcap"")"),"#N/A")</f>
        <v>#N/A</v>
      </c>
      <c r="J2326" s="5"/>
      <c r="K2326" s="5"/>
      <c r="L2326" s="5"/>
      <c r="M2326" s="5"/>
      <c r="N2326" s="9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>
      <c r="A2327" s="5" t="s">
        <v>4604</v>
      </c>
      <c r="B2327" s="5" t="s">
        <v>4605</v>
      </c>
      <c r="C2327" s="5" t="s">
        <v>18</v>
      </c>
      <c r="D2327" s="7">
        <f>IFERROR(__xludf.DUMMYFUNCTION("GOOGLEFINANCE(""ASX:WYX"", ""price"")"),0.03)</f>
        <v>0.03</v>
      </c>
      <c r="E2327" s="8">
        <f>IFERROR(__xludf.DUMMYFUNCTION("GOOGLEFINANCE(""ASX:WYX"", ""closeyest"")"),0.03)</f>
        <v>0.03</v>
      </c>
      <c r="F2327" s="5" t="str">
        <f>IFERROR(__xludf.DUMMYFUNCTION("GOOGLEFINANCE(""ASX:WYX"", ""pe"")"),"#N/A")</f>
        <v>#N/A</v>
      </c>
      <c r="G2327" s="9">
        <f>IFERROR(__xludf.DUMMYFUNCTION("GOOGLEFINANCE(""ASX:WYX"", ""high52"")"),0.08)</f>
        <v>0.08</v>
      </c>
      <c r="H2327" s="9">
        <f>IFERROR(__xludf.DUMMYFUNCTION("GOOGLEFINANCE(""ASX:WYX"", ""low52"")"),0.02)</f>
        <v>0.02</v>
      </c>
      <c r="I2327" s="9">
        <f>IFERROR(__xludf.DUMMYFUNCTION("GOOGLEFINANCE(""ASX:WYX"", ""marketcap"")"),5710923.0)</f>
        <v>5710923</v>
      </c>
      <c r="J2327" s="5"/>
      <c r="K2327" s="5"/>
      <c r="L2327" s="5"/>
      <c r="M2327" s="5"/>
      <c r="N2327" s="9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>
      <c r="A2328" s="5" t="s">
        <v>4606</v>
      </c>
      <c r="B2328" s="5" t="s">
        <v>4607</v>
      </c>
      <c r="C2328" s="5" t="s">
        <v>241</v>
      </c>
      <c r="D2328" s="7">
        <f>IFERROR(__xludf.DUMMYFUNCTION("GOOGLEFINANCE(""ASX:WZR"", ""price"")"),0.03)</f>
        <v>0.03</v>
      </c>
      <c r="E2328" s="8">
        <f>IFERROR(__xludf.DUMMYFUNCTION("GOOGLEFINANCE(""ASX:WZR"", ""closeyest"")"),0.03)</f>
        <v>0.03</v>
      </c>
      <c r="F2328" s="5" t="str">
        <f>IFERROR(__xludf.DUMMYFUNCTION("GOOGLEFINANCE(""ASX:WZR"", ""pe"")"),"#N/A")</f>
        <v>#N/A</v>
      </c>
      <c r="G2328" s="9">
        <f>IFERROR(__xludf.DUMMYFUNCTION("GOOGLEFINANCE(""ASX:WZR"", ""high52"")"),0.04)</f>
        <v>0.04</v>
      </c>
      <c r="H2328" s="9">
        <f>IFERROR(__xludf.DUMMYFUNCTION("GOOGLEFINANCE(""ASX:WZR"", ""low52"")"),0.02)</f>
        <v>0.02</v>
      </c>
      <c r="I2328" s="9">
        <f>IFERROR(__xludf.DUMMYFUNCTION("GOOGLEFINANCE(""ASX:WZR"", ""marketcap"")"),4702009.0)</f>
        <v>4702009</v>
      </c>
      <c r="J2328" s="5"/>
      <c r="K2328" s="5"/>
      <c r="L2328" s="5"/>
      <c r="M2328" s="5"/>
      <c r="N2328" s="9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>
      <c r="A2329" s="5" t="s">
        <v>4608</v>
      </c>
      <c r="B2329" s="5" t="s">
        <v>4609</v>
      </c>
      <c r="C2329" s="5" t="s">
        <v>184</v>
      </c>
      <c r="D2329" s="7">
        <f>IFERROR(__xludf.DUMMYFUNCTION("GOOGLEFINANCE(""ASX:X2M"", ""price"")"),0.01)</f>
        <v>0.01</v>
      </c>
      <c r="E2329" s="8">
        <f>IFERROR(__xludf.DUMMYFUNCTION("GOOGLEFINANCE(""ASX:X2M"", ""closeyest"")"),0.01)</f>
        <v>0.01</v>
      </c>
      <c r="F2329" s="5" t="str">
        <f>IFERROR(__xludf.DUMMYFUNCTION("GOOGLEFINANCE(""ASX:X2M"", ""pe"")"),"#N/A")</f>
        <v>#N/A</v>
      </c>
      <c r="G2329" s="9">
        <f>IFERROR(__xludf.DUMMYFUNCTION("GOOGLEFINANCE(""ASX:X2M"", ""high52"")"),0.03)</f>
        <v>0.03</v>
      </c>
      <c r="H2329" s="9">
        <f>IFERROR(__xludf.DUMMYFUNCTION("GOOGLEFINANCE(""ASX:X2M"", ""low52"")"),0.01)</f>
        <v>0.01</v>
      </c>
      <c r="I2329" s="9">
        <f>IFERROR(__xludf.DUMMYFUNCTION("GOOGLEFINANCE(""ASX:X2M"", ""marketcap"")"),6484080.0)</f>
        <v>6484080</v>
      </c>
      <c r="J2329" s="5"/>
      <c r="K2329" s="5"/>
      <c r="L2329" s="5"/>
      <c r="M2329" s="5"/>
      <c r="N2329" s="9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>
      <c r="A2330" s="5" t="s">
        <v>4610</v>
      </c>
      <c r="B2330" s="5" t="s">
        <v>4611</v>
      </c>
      <c r="C2330" s="5" t="s">
        <v>36</v>
      </c>
      <c r="D2330" s="7" t="str">
        <f>IFERROR(__xludf.DUMMYFUNCTION("GOOGLEFINANCE(""ASX:XALG"", ""price"")"),"#N/A")</f>
        <v>#N/A</v>
      </c>
      <c r="E2330" s="8" t="str">
        <f>IFERROR(__xludf.DUMMYFUNCTION("GOOGLEFINANCE(""ASX:XALG"", ""closeyest"")"),"#N/A")</f>
        <v>#N/A</v>
      </c>
      <c r="F2330" s="5" t="str">
        <f>IFERROR(__xludf.DUMMYFUNCTION("GOOGLEFINANCE(""ASX:XALG"", ""pe"")"),"#N/A")</f>
        <v>#N/A</v>
      </c>
      <c r="G2330" s="5" t="str">
        <f>IFERROR(__xludf.DUMMYFUNCTION("GOOGLEFINANCE(""ASX:XALG"", ""high52"")"),"#N/A")</f>
        <v>#N/A</v>
      </c>
      <c r="H2330" s="5" t="str">
        <f>IFERROR(__xludf.DUMMYFUNCTION("GOOGLEFINANCE(""ASX:XALG"", ""low52"")"),"#N/A")</f>
        <v>#N/A</v>
      </c>
      <c r="I2330" s="9" t="str">
        <f>IFERROR(__xludf.DUMMYFUNCTION("GOOGLEFINANCE(""ASX:XALG"", ""marketcap"")"),"#N/A")</f>
        <v>#N/A</v>
      </c>
      <c r="J2330" s="12">
        <v>10.92</v>
      </c>
      <c r="K2330" s="12">
        <v>10.84</v>
      </c>
      <c r="L2330" s="12">
        <v>12.51</v>
      </c>
      <c r="M2330" s="12">
        <v>10.17</v>
      </c>
      <c r="N2330" s="9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>
      <c r="A2331" s="5" t="s">
        <v>4612</v>
      </c>
      <c r="B2331" s="5" t="s">
        <v>4613</v>
      </c>
      <c r="C2331" s="5" t="s">
        <v>36</v>
      </c>
      <c r="D2331" s="7" t="str">
        <f>IFERROR(__xludf.DUMMYFUNCTION("GOOGLEFINANCE(""ASX:XARO"", ""price"")"),"#N/A")</f>
        <v>#N/A</v>
      </c>
      <c r="E2331" s="8" t="str">
        <f>IFERROR(__xludf.DUMMYFUNCTION("GOOGLEFINANCE(""ASX:XARO"", ""closeyest"")"),"#N/A")</f>
        <v>#N/A</v>
      </c>
      <c r="F2331" s="5" t="str">
        <f>IFERROR(__xludf.DUMMYFUNCTION("GOOGLEFINANCE(""ASX:XARO"", ""pe"")"),"#N/A")</f>
        <v>#N/A</v>
      </c>
      <c r="G2331" s="5" t="str">
        <f>IFERROR(__xludf.DUMMYFUNCTION("GOOGLEFINANCE(""ASX:XARO"", ""high52"")"),"#N/A")</f>
        <v>#N/A</v>
      </c>
      <c r="H2331" s="5" t="str">
        <f>IFERROR(__xludf.DUMMYFUNCTION("GOOGLEFINANCE(""ASX:XARO"", ""low52"")"),"#N/A")</f>
        <v>#N/A</v>
      </c>
      <c r="I2331" s="9" t="str">
        <f>IFERROR(__xludf.DUMMYFUNCTION("GOOGLEFINANCE(""ASX:XARO"", ""marketcap"")"),"#N/A")</f>
        <v>#N/A</v>
      </c>
      <c r="J2331" s="12">
        <v>24.89</v>
      </c>
      <c r="K2331" s="12">
        <v>24.89</v>
      </c>
      <c r="L2331" s="12">
        <v>25.0</v>
      </c>
      <c r="M2331" s="12">
        <v>23.55</v>
      </c>
      <c r="N2331" s="9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>
      <c r="A2332" s="5" t="s">
        <v>4614</v>
      </c>
      <c r="B2332" s="5" t="s">
        <v>4615</v>
      </c>
      <c r="C2332" s="5" t="s">
        <v>36</v>
      </c>
      <c r="D2332" s="7" t="str">
        <f>IFERROR(__xludf.DUMMYFUNCTION("GOOGLEFINANCE(""ASX:XASG"", ""price"")"),"#N/A")</f>
        <v>#N/A</v>
      </c>
      <c r="E2332" s="8" t="str">
        <f>IFERROR(__xludf.DUMMYFUNCTION("GOOGLEFINANCE(""ASX:XASG"", ""closeyest"")"),"#N/A")</f>
        <v>#N/A</v>
      </c>
      <c r="F2332" s="5" t="str">
        <f>IFERROR(__xludf.DUMMYFUNCTION("GOOGLEFINANCE(""ASX:XASG"", ""pe"")"),"#N/A")</f>
        <v>#N/A</v>
      </c>
      <c r="G2332" s="5" t="str">
        <f>IFERROR(__xludf.DUMMYFUNCTION("GOOGLEFINANCE(""ASX:XASG"", ""high52"")"),"#N/A")</f>
        <v>#N/A</v>
      </c>
      <c r="H2332" s="5" t="str">
        <f>IFERROR(__xludf.DUMMYFUNCTION("GOOGLEFINANCE(""ASX:XASG"", ""low52"")"),"#N/A")</f>
        <v>#N/A</v>
      </c>
      <c r="I2332" s="9" t="str">
        <f>IFERROR(__xludf.DUMMYFUNCTION("GOOGLEFINANCE(""ASX:XASG"", ""marketcap"")"),"#N/A")</f>
        <v>#N/A</v>
      </c>
      <c r="J2332" s="12">
        <v>7.1</v>
      </c>
      <c r="K2332" s="12">
        <v>7.06</v>
      </c>
      <c r="L2332" s="12">
        <v>7.74</v>
      </c>
      <c r="M2332" s="12">
        <v>6.33</v>
      </c>
      <c r="N2332" s="9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>
      <c r="A2333" s="5" t="s">
        <v>4616</v>
      </c>
      <c r="B2333" s="5" t="s">
        <v>4617</v>
      </c>
      <c r="C2333" s="5" t="s">
        <v>509</v>
      </c>
      <c r="D2333" s="7">
        <f>IFERROR(__xludf.DUMMYFUNCTION("GOOGLEFINANCE(""ASX:XF1"", ""price"")"),0.14)</f>
        <v>0.14</v>
      </c>
      <c r="E2333" s="8">
        <f>IFERROR(__xludf.DUMMYFUNCTION("GOOGLEFINANCE(""ASX:XF1"", ""closeyest"")"),0.15)</f>
        <v>0.15</v>
      </c>
      <c r="F2333" s="5" t="str">
        <f>IFERROR(__xludf.DUMMYFUNCTION("GOOGLEFINANCE(""ASX:XF1"", ""pe"")"),"#N/A")</f>
        <v>#N/A</v>
      </c>
      <c r="G2333" s="9">
        <f>IFERROR(__xludf.DUMMYFUNCTION("GOOGLEFINANCE(""ASX:XF1"", ""high52"")"),0.22)</f>
        <v>0.22</v>
      </c>
      <c r="H2333" s="9">
        <f>IFERROR(__xludf.DUMMYFUNCTION("GOOGLEFINANCE(""ASX:XF1"", ""low52"")"),0.1)</f>
        <v>0.1</v>
      </c>
      <c r="I2333" s="9">
        <f>IFERROR(__xludf.DUMMYFUNCTION("GOOGLEFINANCE(""ASX:XF1"", ""marketcap"")"),3.0812558E7)</f>
        <v>30812558</v>
      </c>
      <c r="J2333" s="5"/>
      <c r="K2333" s="5"/>
      <c r="L2333" s="5"/>
      <c r="M2333" s="5"/>
      <c r="N2333" s="9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>
      <c r="A2334" s="5" t="s">
        <v>4618</v>
      </c>
      <c r="B2334" s="5" t="s">
        <v>4619</v>
      </c>
      <c r="C2334" s="5" t="s">
        <v>1470</v>
      </c>
      <c r="D2334" s="7">
        <f>IFERROR(__xludf.DUMMYFUNCTION("GOOGLEFINANCE(""ASX:XGL"", ""price"")"),0.01)</f>
        <v>0.01</v>
      </c>
      <c r="E2334" s="8">
        <f>IFERROR(__xludf.DUMMYFUNCTION("GOOGLEFINANCE(""ASX:XGL"", ""closeyest"")"),0.01)</f>
        <v>0.01</v>
      </c>
      <c r="F2334" s="5" t="str">
        <f>IFERROR(__xludf.DUMMYFUNCTION("GOOGLEFINANCE(""ASX:XGL"", ""pe"")"),"#N/A")</f>
        <v>#N/A</v>
      </c>
      <c r="G2334" s="9">
        <f>IFERROR(__xludf.DUMMYFUNCTION("GOOGLEFINANCE(""ASX:XGL"", ""high52"")"),0.04)</f>
        <v>0.04</v>
      </c>
      <c r="H2334" s="9">
        <f>IFERROR(__xludf.DUMMYFUNCTION("GOOGLEFINANCE(""ASX:XGL"", ""low52"")"),0.01)</f>
        <v>0.01</v>
      </c>
      <c r="I2334" s="9">
        <f>IFERROR(__xludf.DUMMYFUNCTION("GOOGLEFINANCE(""ASX:XGL"", ""marketcap"")"),5062610.0)</f>
        <v>5062610</v>
      </c>
      <c r="J2334" s="5"/>
      <c r="K2334" s="5"/>
      <c r="L2334" s="5"/>
      <c r="M2334" s="5"/>
      <c r="N2334" s="9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>
      <c r="A2335" s="5" t="s">
        <v>4620</v>
      </c>
      <c r="B2335" s="5" t="s">
        <v>4621</v>
      </c>
      <c r="C2335" s="5" t="s">
        <v>36</v>
      </c>
      <c r="D2335" s="7">
        <f>IFERROR(__xludf.DUMMYFUNCTION("GOOGLEFINANCE(""ASX:XGOV"", ""price"")"),50.34)</f>
        <v>50.34</v>
      </c>
      <c r="E2335" s="8">
        <f>IFERROR(__xludf.DUMMYFUNCTION("GOOGLEFINANCE(""ASX:XGOV"", ""closeyest"")"),50.24)</f>
        <v>50.24</v>
      </c>
      <c r="F2335" s="5" t="str">
        <f>IFERROR(__xludf.DUMMYFUNCTION("GOOGLEFINANCE(""ASX:XGOV"", ""pe"")"),"#N/A")</f>
        <v>#N/A</v>
      </c>
      <c r="G2335" s="9">
        <f>IFERROR(__xludf.DUMMYFUNCTION("GOOGLEFINANCE(""ASX:XGOV"", ""high52"")"),53.04)</f>
        <v>53.04</v>
      </c>
      <c r="H2335" s="9">
        <f>IFERROR(__xludf.DUMMYFUNCTION("GOOGLEFINANCE(""ASX:XGOV"", ""low52"")"),49.69)</f>
        <v>49.69</v>
      </c>
      <c r="I2335" s="9" t="str">
        <f>IFERROR(__xludf.DUMMYFUNCTION("GOOGLEFINANCE(""ASX:XGOV"", ""marketcap"")"),"#N/A")</f>
        <v>#N/A</v>
      </c>
      <c r="J2335" s="5"/>
      <c r="K2335" s="5"/>
      <c r="L2335" s="5"/>
      <c r="M2335" s="5"/>
      <c r="N2335" s="9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>
      <c r="A2336" s="5" t="s">
        <v>4622</v>
      </c>
      <c r="B2336" s="5" t="s">
        <v>4623</v>
      </c>
      <c r="C2336" s="5" t="s">
        <v>36</v>
      </c>
      <c r="D2336" s="7">
        <f>IFERROR(__xludf.DUMMYFUNCTION("GOOGLEFINANCE(""ASX:XMET"", ""price"")"),15.94)</f>
        <v>15.94</v>
      </c>
      <c r="E2336" s="8">
        <f>IFERROR(__xludf.DUMMYFUNCTION("GOOGLEFINANCE(""ASX:XMET"", ""closeyest"")"),15.53)</f>
        <v>15.53</v>
      </c>
      <c r="F2336" s="5" t="str">
        <f>IFERROR(__xludf.DUMMYFUNCTION("GOOGLEFINANCE(""ASX:XMET"", ""pe"")"),"#N/A")</f>
        <v>#N/A</v>
      </c>
      <c r="G2336" s="9">
        <f>IFERROR(__xludf.DUMMYFUNCTION("GOOGLEFINANCE(""ASX:XMET"", ""high52"")"),16.38)</f>
        <v>16.38</v>
      </c>
      <c r="H2336" s="9">
        <f>IFERROR(__xludf.DUMMYFUNCTION("GOOGLEFINANCE(""ASX:XMET"", ""low52"")"),6.4)</f>
        <v>6.4</v>
      </c>
      <c r="I2336" s="9" t="str">
        <f>IFERROR(__xludf.DUMMYFUNCTION("GOOGLEFINANCE(""ASX:XMET"", ""marketcap"")"),"#N/A")</f>
        <v>#N/A</v>
      </c>
      <c r="J2336" s="5"/>
      <c r="K2336" s="5"/>
      <c r="L2336" s="5"/>
      <c r="M2336" s="5"/>
      <c r="N2336" s="9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>
      <c r="A2337" s="5" t="s">
        <v>4624</v>
      </c>
      <c r="B2337" s="5" t="s">
        <v>4625</v>
      </c>
      <c r="C2337" s="5" t="s">
        <v>18</v>
      </c>
      <c r="D2337" s="7">
        <f>IFERROR(__xludf.DUMMYFUNCTION("GOOGLEFINANCE(""ASX:XPD"", ""price"")"),0.02)</f>
        <v>0.02</v>
      </c>
      <c r="E2337" s="8">
        <f>IFERROR(__xludf.DUMMYFUNCTION("GOOGLEFINANCE(""ASX:XPD"", ""closeyest"")"),0.02)</f>
        <v>0.02</v>
      </c>
      <c r="F2337" s="5" t="str">
        <f>IFERROR(__xludf.DUMMYFUNCTION("GOOGLEFINANCE(""ASX:XPD"", ""pe"")"),"#N/A")</f>
        <v>#N/A</v>
      </c>
      <c r="G2337" s="9">
        <f>IFERROR(__xludf.DUMMYFUNCTION("GOOGLEFINANCE(""ASX:XPD"", ""high52"")"),0.02)</f>
        <v>0.02</v>
      </c>
      <c r="H2337" s="9">
        <f>IFERROR(__xludf.DUMMYFUNCTION("GOOGLEFINANCE(""ASX:XPD"", ""low52"")"),0.02)</f>
        <v>0.02</v>
      </c>
      <c r="I2337" s="9">
        <f>IFERROR(__xludf.DUMMYFUNCTION("GOOGLEFINANCE(""ASX:XPD"", ""marketcap"")"),1.0397806E7)</f>
        <v>10397806</v>
      </c>
      <c r="J2337" s="5"/>
      <c r="K2337" s="5"/>
      <c r="L2337" s="5"/>
      <c r="M2337" s="5"/>
      <c r="N2337" s="9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>
      <c r="A2338" s="5" t="s">
        <v>4626</v>
      </c>
      <c r="B2338" s="5" t="s">
        <v>4627</v>
      </c>
      <c r="C2338" s="5" t="s">
        <v>184</v>
      </c>
      <c r="D2338" s="7">
        <f>IFERROR(__xludf.DUMMYFUNCTION("GOOGLEFINANCE(""ASX:XPN"", ""price"")"),0.01)</f>
        <v>0.01</v>
      </c>
      <c r="E2338" s="8">
        <f>IFERROR(__xludf.DUMMYFUNCTION("GOOGLEFINANCE(""ASX:XPN"", ""closeyest"")"),0.01)</f>
        <v>0.01</v>
      </c>
      <c r="F2338" s="5" t="str">
        <f>IFERROR(__xludf.DUMMYFUNCTION("GOOGLEFINANCE(""ASX:XPN"", ""pe"")"),"#N/A")</f>
        <v>#N/A</v>
      </c>
      <c r="G2338" s="9">
        <f>IFERROR(__xludf.DUMMYFUNCTION("GOOGLEFINANCE(""ASX:XPN"", ""high52"")"),0.03)</f>
        <v>0.03</v>
      </c>
      <c r="H2338" s="9">
        <f>IFERROR(__xludf.DUMMYFUNCTION("GOOGLEFINANCE(""ASX:XPN"", ""low52"")"),0.01)</f>
        <v>0.01</v>
      </c>
      <c r="I2338" s="9">
        <f>IFERROR(__xludf.DUMMYFUNCTION("GOOGLEFINANCE(""ASX:XPN"", ""marketcap"")"),7551488.0)</f>
        <v>7551488</v>
      </c>
      <c r="J2338" s="5"/>
      <c r="K2338" s="5"/>
      <c r="L2338" s="5"/>
      <c r="M2338" s="5"/>
      <c r="N2338" s="9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>
      <c r="A2339" s="5" t="s">
        <v>4628</v>
      </c>
      <c r="B2339" s="5" t="s">
        <v>4629</v>
      </c>
      <c r="C2339" s="5" t="s">
        <v>39</v>
      </c>
      <c r="D2339" s="7">
        <f>IFERROR(__xludf.DUMMYFUNCTION("GOOGLEFINANCE(""ASX:XRA"", ""price"")"),0.23)</f>
        <v>0.23</v>
      </c>
      <c r="E2339" s="8">
        <f>IFERROR(__xludf.DUMMYFUNCTION("GOOGLEFINANCE(""ASX:XRA"", ""closeyest"")"),0.24)</f>
        <v>0.24</v>
      </c>
      <c r="F2339" s="5" t="str">
        <f>IFERROR(__xludf.DUMMYFUNCTION("GOOGLEFINANCE(""ASX:XRA"", ""pe"")"),"#N/A")</f>
        <v>#N/A</v>
      </c>
      <c r="G2339" s="9">
        <f>IFERROR(__xludf.DUMMYFUNCTION("GOOGLEFINANCE(""ASX:XRA"", ""high52"")"),0.25)</f>
        <v>0.25</v>
      </c>
      <c r="H2339" s="9">
        <f>IFERROR(__xludf.DUMMYFUNCTION("GOOGLEFINANCE(""ASX:XRA"", ""low52"")"),0.14)</f>
        <v>0.14</v>
      </c>
      <c r="I2339" s="9">
        <f>IFERROR(__xludf.DUMMYFUNCTION("GOOGLEFINANCE(""ASX:XRA"", ""marketcap"")"),1.3613995E7)</f>
        <v>13613995</v>
      </c>
      <c r="J2339" s="5"/>
      <c r="K2339" s="5"/>
      <c r="L2339" s="5"/>
      <c r="M2339" s="5"/>
      <c r="N2339" s="9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>
      <c r="A2340" s="5" t="s">
        <v>4628</v>
      </c>
      <c r="B2340" s="5" t="s">
        <v>4629</v>
      </c>
      <c r="C2340" s="5" t="s">
        <v>39</v>
      </c>
      <c r="D2340" s="7">
        <f>IFERROR(__xludf.DUMMYFUNCTION("GOOGLEFINANCE(""ASX:XRA"", ""price"")"),0.23)</f>
        <v>0.23</v>
      </c>
      <c r="E2340" s="8">
        <f>IFERROR(__xludf.DUMMYFUNCTION("GOOGLEFINANCE(""ASX:XRA"", ""closeyest"")"),0.24)</f>
        <v>0.24</v>
      </c>
      <c r="F2340" s="5" t="str">
        <f>IFERROR(__xludf.DUMMYFUNCTION("GOOGLEFINANCE(""ASX:XRA"", ""pe"")"),"#N/A")</f>
        <v>#N/A</v>
      </c>
      <c r="G2340" s="9">
        <f>IFERROR(__xludf.DUMMYFUNCTION("GOOGLEFINANCE(""ASX:XRA"", ""high52"")"),0.25)</f>
        <v>0.25</v>
      </c>
      <c r="H2340" s="9">
        <f>IFERROR(__xludf.DUMMYFUNCTION("GOOGLEFINANCE(""ASX:XRA"", ""low52"")"),0.14)</f>
        <v>0.14</v>
      </c>
      <c r="I2340" s="9">
        <f>IFERROR(__xludf.DUMMYFUNCTION("GOOGLEFINANCE(""ASX:XRA"", ""marketcap"")"),1.3613995E7)</f>
        <v>13613995</v>
      </c>
      <c r="J2340" s="5"/>
      <c r="K2340" s="5"/>
      <c r="L2340" s="5"/>
      <c r="M2340" s="5"/>
      <c r="N2340" s="9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>
      <c r="A2341" s="5" t="s">
        <v>4630</v>
      </c>
      <c r="B2341" s="5" t="s">
        <v>4631</v>
      </c>
      <c r="C2341" s="5" t="s">
        <v>4239</v>
      </c>
      <c r="D2341" s="7">
        <f>IFERROR(__xludf.DUMMYFUNCTION("GOOGLEFINANCE(""ASX:XRF"", ""price"")"),2.13)</f>
        <v>2.13</v>
      </c>
      <c r="E2341" s="8">
        <f>IFERROR(__xludf.DUMMYFUNCTION("GOOGLEFINANCE(""ASX:XRF"", ""closeyest"")"),2.09)</f>
        <v>2.09</v>
      </c>
      <c r="F2341" s="9">
        <f>IFERROR(__xludf.DUMMYFUNCTION("GOOGLEFINANCE(""ASX:XRF"", ""pe"")"),28.75)</f>
        <v>28.75</v>
      </c>
      <c r="G2341" s="9">
        <f>IFERROR(__xludf.DUMMYFUNCTION("GOOGLEFINANCE(""ASX:XRF"", ""high52"")"),2.4)</f>
        <v>2.4</v>
      </c>
      <c r="H2341" s="9">
        <f>IFERROR(__xludf.DUMMYFUNCTION("GOOGLEFINANCE(""ASX:XRF"", ""low52"")"),1.44)</f>
        <v>1.44</v>
      </c>
      <c r="I2341" s="9">
        <f>IFERROR(__xludf.DUMMYFUNCTION("GOOGLEFINANCE(""ASX:XRF"", ""marketcap"")"),3.04573615E8)</f>
        <v>304573615</v>
      </c>
      <c r="J2341" s="5"/>
      <c r="K2341" s="5"/>
      <c r="L2341" s="5"/>
      <c r="M2341" s="5"/>
      <c r="N2341" s="9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>
      <c r="A2342" s="5" t="s">
        <v>4632</v>
      </c>
      <c r="B2342" s="5" t="s">
        <v>4633</v>
      </c>
      <c r="C2342" s="5" t="s">
        <v>670</v>
      </c>
      <c r="D2342" s="7">
        <f>IFERROR(__xludf.DUMMYFUNCTION("GOOGLEFINANCE(""ASX:XRG"", ""price"")"),0.05)</f>
        <v>0.05</v>
      </c>
      <c r="E2342" s="8">
        <f>IFERROR(__xludf.DUMMYFUNCTION("GOOGLEFINANCE(""ASX:XRG"", ""closeyest"")"),0.05)</f>
        <v>0.05</v>
      </c>
      <c r="F2342" s="5" t="str">
        <f>IFERROR(__xludf.DUMMYFUNCTION("GOOGLEFINANCE(""ASX:XRG"", ""pe"")"),"#N/A")</f>
        <v>#N/A</v>
      </c>
      <c r="G2342" s="9">
        <f>IFERROR(__xludf.DUMMYFUNCTION("GOOGLEFINANCE(""ASX:XRG"", ""high52"")"),0.07)</f>
        <v>0.07</v>
      </c>
      <c r="H2342" s="9">
        <f>IFERROR(__xludf.DUMMYFUNCTION("GOOGLEFINANCE(""ASX:XRG"", ""low52"")"),0.02)</f>
        <v>0.02</v>
      </c>
      <c r="I2342" s="9">
        <f>IFERROR(__xludf.DUMMYFUNCTION("GOOGLEFINANCE(""ASX:XRG"", ""marketcap"")"),3.8269557E7)</f>
        <v>38269557</v>
      </c>
      <c r="J2342" s="5"/>
      <c r="K2342" s="5"/>
      <c r="L2342" s="5"/>
      <c r="M2342" s="5"/>
      <c r="N2342" s="9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>
      <c r="A2343" s="5" t="s">
        <v>4634</v>
      </c>
      <c r="B2343" s="5" t="s">
        <v>4635</v>
      </c>
      <c r="C2343" s="5" t="s">
        <v>15</v>
      </c>
      <c r="D2343" s="7">
        <f>IFERROR(__xludf.DUMMYFUNCTION("GOOGLEFINANCE(""ASX:XRO"", ""price"")"),108.6)</f>
        <v>108.6</v>
      </c>
      <c r="E2343" s="8">
        <f>IFERROR(__xludf.DUMMYFUNCTION("GOOGLEFINANCE(""ASX:XRO"", ""closeyest"")"),107.14)</f>
        <v>107.14</v>
      </c>
      <c r="F2343" s="9">
        <f>IFERROR(__xludf.DUMMYFUNCTION("GOOGLEFINANCE(""ASX:XRO"", ""pe"")"),74.68)</f>
        <v>74.68</v>
      </c>
      <c r="G2343" s="9">
        <f>IFERROR(__xludf.DUMMYFUNCTION("GOOGLEFINANCE(""ASX:XRO"", ""high52"")"),196.52)</f>
        <v>196.52</v>
      </c>
      <c r="H2343" s="9">
        <f>IFERROR(__xludf.DUMMYFUNCTION("GOOGLEFINANCE(""ASX:XRO"", ""low52"")"),107.14)</f>
        <v>107.14</v>
      </c>
      <c r="I2343" s="9">
        <f>IFERROR(__xludf.DUMMYFUNCTION("GOOGLEFINANCE(""ASX:XRO"", ""marketcap"")"),1.845242122E10)</f>
        <v>18452421220</v>
      </c>
      <c r="J2343" s="5"/>
      <c r="K2343" s="5"/>
      <c r="L2343" s="5"/>
      <c r="M2343" s="5"/>
      <c r="N2343" s="9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>
      <c r="A2344" s="5" t="s">
        <v>4636</v>
      </c>
      <c r="B2344" s="5" t="s">
        <v>4637</v>
      </c>
      <c r="C2344" s="5" t="s">
        <v>78</v>
      </c>
      <c r="D2344" s="7">
        <f>IFERROR(__xludf.DUMMYFUNCTION("GOOGLEFINANCE(""ASX:XST"", ""price"")"),0.02)</f>
        <v>0.02</v>
      </c>
      <c r="E2344" s="8">
        <f>IFERROR(__xludf.DUMMYFUNCTION("GOOGLEFINANCE(""ASX:XST"", ""closeyest"")"),0.02)</f>
        <v>0.02</v>
      </c>
      <c r="F2344" s="5" t="str">
        <f>IFERROR(__xludf.DUMMYFUNCTION("GOOGLEFINANCE(""ASX:XST"", ""pe"")"),"#N/A")</f>
        <v>#N/A</v>
      </c>
      <c r="G2344" s="9">
        <f>IFERROR(__xludf.DUMMYFUNCTION("GOOGLEFINANCE(""ASX:XST"", ""high52"")"),0.07)</f>
        <v>0.07</v>
      </c>
      <c r="H2344" s="9">
        <f>IFERROR(__xludf.DUMMYFUNCTION("GOOGLEFINANCE(""ASX:XST"", ""low52"")"),0.02)</f>
        <v>0.02</v>
      </c>
      <c r="I2344" s="9">
        <f>IFERROR(__xludf.DUMMYFUNCTION("GOOGLEFINANCE(""ASX:XST"", ""marketcap"")"),6944624.0)</f>
        <v>6944624</v>
      </c>
      <c r="J2344" s="5"/>
      <c r="K2344" s="5"/>
      <c r="L2344" s="5"/>
      <c r="M2344" s="5"/>
      <c r="N2344" s="9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>
      <c r="A2345" s="5" t="s">
        <v>4638</v>
      </c>
      <c r="B2345" s="5" t="s">
        <v>4639</v>
      </c>
      <c r="C2345" s="5" t="s">
        <v>36</v>
      </c>
      <c r="D2345" s="7">
        <f>IFERROR(__xludf.DUMMYFUNCTION("GOOGLEFINANCE(""ASX:XX20"", ""price"")"),1.47)</f>
        <v>1.47</v>
      </c>
      <c r="E2345" s="8">
        <f>IFERROR(__xludf.DUMMYFUNCTION("GOOGLEFINANCE(""ASX:XX20"", ""closeyest"")"),1.5)</f>
        <v>1.5</v>
      </c>
      <c r="F2345" s="5" t="str">
        <f>IFERROR(__xludf.DUMMYFUNCTION("GOOGLEFINANCE(""ASX:XX20"", ""pe"")"),"#N/A")</f>
        <v>#N/A</v>
      </c>
      <c r="G2345" s="9">
        <f>IFERROR(__xludf.DUMMYFUNCTION("GOOGLEFINANCE(""ASX:XX20"", ""high52"")"),1.53)</f>
        <v>1.53</v>
      </c>
      <c r="H2345" s="9">
        <f>IFERROR(__xludf.DUMMYFUNCTION("GOOGLEFINANCE(""ASX:XX20"", ""low52"")"),1.47)</f>
        <v>1.47</v>
      </c>
      <c r="I2345" s="9" t="str">
        <f>IFERROR(__xludf.DUMMYFUNCTION("GOOGLEFINANCE(""ASX:XX20"", ""marketcap"")"),"#N/A")</f>
        <v>#N/A</v>
      </c>
      <c r="J2345" s="5"/>
      <c r="K2345" s="5"/>
      <c r="L2345" s="5"/>
      <c r="M2345" s="5"/>
      <c r="N2345" s="9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>
      <c r="A2346" s="5" t="s">
        <v>4640</v>
      </c>
      <c r="B2346" s="5" t="s">
        <v>4641</v>
      </c>
      <c r="C2346" s="5" t="s">
        <v>161</v>
      </c>
      <c r="D2346" s="7">
        <f>IFERROR(__xludf.DUMMYFUNCTION("GOOGLEFINANCE(""ASX:XYZ"", ""price"")"),103.06)</f>
        <v>103.06</v>
      </c>
      <c r="E2346" s="8">
        <f>IFERROR(__xludf.DUMMYFUNCTION("GOOGLEFINANCE(""ASX:XYZ"", ""closeyest"")"),101.58)</f>
        <v>101.58</v>
      </c>
      <c r="F2346" s="5" t="str">
        <f>IFERROR(__xludf.DUMMYFUNCTION("GOOGLEFINANCE(""ASX:XYZ"", ""pe"")"),"#N/A")</f>
        <v>#N/A</v>
      </c>
      <c r="G2346" s="9">
        <f>IFERROR(__xludf.DUMMYFUNCTION("GOOGLEFINANCE(""ASX:XYZ"", ""high52"")"),151.33)</f>
        <v>151.33</v>
      </c>
      <c r="H2346" s="9">
        <f>IFERROR(__xludf.DUMMYFUNCTION("GOOGLEFINANCE(""ASX:XYZ"", ""low52"")"),61.42)</f>
        <v>61.42</v>
      </c>
      <c r="I2346" s="9">
        <f>IFERROR(__xludf.DUMMYFUNCTION("GOOGLEFINANCE(""ASX:XYZ"", ""marketcap"")"),4.159467E10)</f>
        <v>41594670000</v>
      </c>
      <c r="J2346" s="5"/>
      <c r="K2346" s="5"/>
      <c r="L2346" s="5"/>
      <c r="M2346" s="5"/>
      <c r="N2346" s="9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>
      <c r="A2347" s="5" t="s">
        <v>4642</v>
      </c>
      <c r="B2347" s="5" t="s">
        <v>4643</v>
      </c>
      <c r="C2347" s="5" t="s">
        <v>314</v>
      </c>
      <c r="D2347" s="7">
        <f>IFERROR(__xludf.DUMMYFUNCTION("GOOGLEFINANCE(""ASX:YAL"", ""price"")"),5.1)</f>
        <v>5.1</v>
      </c>
      <c r="E2347" s="8">
        <f>IFERROR(__xludf.DUMMYFUNCTION("GOOGLEFINANCE(""ASX:YAL"", ""closeyest"")"),5.08)</f>
        <v>5.08</v>
      </c>
      <c r="F2347" s="9">
        <f>IFERROR(__xludf.DUMMYFUNCTION("GOOGLEFINANCE(""ASX:YAL"", ""pe"")"),7.02)</f>
        <v>7.02</v>
      </c>
      <c r="G2347" s="9">
        <f>IFERROR(__xludf.DUMMYFUNCTION("GOOGLEFINANCE(""ASX:YAL"", ""high52"")"),6.73)</f>
        <v>6.73</v>
      </c>
      <c r="H2347" s="9">
        <f>IFERROR(__xludf.DUMMYFUNCTION("GOOGLEFINANCE(""ASX:YAL"", ""low52"")"),4.36)</f>
        <v>4.36</v>
      </c>
      <c r="I2347" s="9">
        <f>IFERROR(__xludf.DUMMYFUNCTION("GOOGLEFINANCE(""ASX:YAL"", ""marketcap"")"),3.5679351602E10)</f>
        <v>35679351602</v>
      </c>
      <c r="J2347" s="5"/>
      <c r="K2347" s="5"/>
      <c r="L2347" s="5"/>
      <c r="M2347" s="5"/>
      <c r="N2347" s="9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>
      <c r="A2348" s="5" t="s">
        <v>4644</v>
      </c>
      <c r="B2348" s="5" t="s">
        <v>4645</v>
      </c>
      <c r="C2348" s="5" t="s">
        <v>36</v>
      </c>
      <c r="D2348" s="7" t="str">
        <f>IFERROR(__xludf.DUMMYFUNCTION("GOOGLEFINANCE(""ASX:YANK"", ""price"")"),"#N/A")</f>
        <v>#N/A</v>
      </c>
      <c r="E2348" s="8" t="str">
        <f>IFERROR(__xludf.DUMMYFUNCTION("GOOGLEFINANCE(""ASX:YANK"", ""closeyest"")"),"#N/A")</f>
        <v>#N/A</v>
      </c>
      <c r="F2348" s="5" t="str">
        <f>IFERROR(__xludf.DUMMYFUNCTION("GOOGLEFINANCE(""ASX:YANK"", ""pe"")"),"#N/A")</f>
        <v>#N/A</v>
      </c>
      <c r="G2348" s="5" t="str">
        <f>IFERROR(__xludf.DUMMYFUNCTION("GOOGLEFINANCE(""ASX:YANK"", ""high52"")"),"#N/A")</f>
        <v>#N/A</v>
      </c>
      <c r="H2348" s="5" t="str">
        <f>IFERROR(__xludf.DUMMYFUNCTION("GOOGLEFINANCE(""ASX:YANK"", ""low52"")"),"#N/A")</f>
        <v>#N/A</v>
      </c>
      <c r="I2348" s="9" t="str">
        <f>IFERROR(__xludf.DUMMYFUNCTION("GOOGLEFINANCE(""ASX:YANK"", ""marketcap"")"),"#N/A")</f>
        <v>#N/A</v>
      </c>
      <c r="J2348" s="12">
        <v>11.325</v>
      </c>
      <c r="K2348" s="12">
        <v>11.48</v>
      </c>
      <c r="L2348" s="12">
        <v>15.59</v>
      </c>
      <c r="M2348" s="12">
        <v>11.32</v>
      </c>
      <c r="N2348" s="9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>
      <c r="A2349" s="5" t="s">
        <v>4646</v>
      </c>
      <c r="B2349" s="5" t="s">
        <v>4647</v>
      </c>
      <c r="C2349" s="5" t="s">
        <v>39</v>
      </c>
      <c r="D2349" s="7">
        <f>IFERROR(__xludf.DUMMYFUNCTION("GOOGLEFINANCE(""ASX:YAR"", ""price"")"),0.01)</f>
        <v>0.01</v>
      </c>
      <c r="E2349" s="8">
        <f>IFERROR(__xludf.DUMMYFUNCTION("GOOGLEFINANCE(""ASX:YAR"", ""closeyest"")"),0.01)</f>
        <v>0.01</v>
      </c>
      <c r="F2349" s="5" t="str">
        <f>IFERROR(__xludf.DUMMYFUNCTION("GOOGLEFINANCE(""ASX:YAR"", ""pe"")"),"#N/A")</f>
        <v>#N/A</v>
      </c>
      <c r="G2349" s="9">
        <f>IFERROR(__xludf.DUMMYFUNCTION("GOOGLEFINANCE(""ASX:YAR"", ""high52"")"),0.02)</f>
        <v>0.02</v>
      </c>
      <c r="H2349" s="9">
        <f>IFERROR(__xludf.DUMMYFUNCTION("GOOGLEFINANCE(""ASX:YAR"", ""low52"")"),0.0)</f>
        <v>0</v>
      </c>
      <c r="I2349" s="9">
        <f>IFERROR(__xludf.DUMMYFUNCTION("GOOGLEFINANCE(""ASX:YAR"", ""marketcap"")"),8394639.0)</f>
        <v>8394639</v>
      </c>
      <c r="J2349" s="5"/>
      <c r="K2349" s="5"/>
      <c r="L2349" s="5"/>
      <c r="M2349" s="5"/>
      <c r="N2349" s="9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>
      <c r="A2350" s="5" t="s">
        <v>4646</v>
      </c>
      <c r="B2350" s="5" t="s">
        <v>4647</v>
      </c>
      <c r="C2350" s="5" t="s">
        <v>39</v>
      </c>
      <c r="D2350" s="7">
        <f>IFERROR(__xludf.DUMMYFUNCTION("GOOGLEFINANCE(""ASX:YAR"", ""price"")"),0.01)</f>
        <v>0.01</v>
      </c>
      <c r="E2350" s="8">
        <f>IFERROR(__xludf.DUMMYFUNCTION("GOOGLEFINANCE(""ASX:YAR"", ""closeyest"")"),0.01)</f>
        <v>0.01</v>
      </c>
      <c r="F2350" s="5" t="str">
        <f>IFERROR(__xludf.DUMMYFUNCTION("GOOGLEFINANCE(""ASX:YAR"", ""pe"")"),"#N/A")</f>
        <v>#N/A</v>
      </c>
      <c r="G2350" s="9">
        <f>IFERROR(__xludf.DUMMYFUNCTION("GOOGLEFINANCE(""ASX:YAR"", ""high52"")"),0.02)</f>
        <v>0.02</v>
      </c>
      <c r="H2350" s="9">
        <f>IFERROR(__xludf.DUMMYFUNCTION("GOOGLEFINANCE(""ASX:YAR"", ""low52"")"),0.0)</f>
        <v>0</v>
      </c>
      <c r="I2350" s="9">
        <f>IFERROR(__xludf.DUMMYFUNCTION("GOOGLEFINANCE(""ASX:YAR"", ""marketcap"")"),8394639.0)</f>
        <v>8394639</v>
      </c>
      <c r="J2350" s="5"/>
      <c r="K2350" s="5"/>
      <c r="L2350" s="5"/>
      <c r="M2350" s="5"/>
      <c r="N2350" s="9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>
      <c r="A2351" s="5" t="s">
        <v>4648</v>
      </c>
      <c r="B2351" s="5" t="s">
        <v>4649</v>
      </c>
      <c r="C2351" s="5" t="s">
        <v>36</v>
      </c>
      <c r="D2351" s="7" t="str">
        <f>IFERROR(__xludf.DUMMYFUNCTION("GOOGLEFINANCE(""ASX:YMAX"", ""price"")"),"#N/A")</f>
        <v>#N/A</v>
      </c>
      <c r="E2351" s="8" t="str">
        <f>IFERROR(__xludf.DUMMYFUNCTION("GOOGLEFINANCE(""ASX:YMAX"", ""closeyest"")"),"#N/A")</f>
        <v>#N/A</v>
      </c>
      <c r="F2351" s="5" t="str">
        <f>IFERROR(__xludf.DUMMYFUNCTION("GOOGLEFINANCE(""ASX:YMAX"", ""pe"")"),"#N/A")</f>
        <v>#N/A</v>
      </c>
      <c r="G2351" s="5" t="str">
        <f>IFERROR(__xludf.DUMMYFUNCTION("GOOGLEFINANCE(""ASX:YMAX"", ""high52"")"),"#N/A")</f>
        <v>#N/A</v>
      </c>
      <c r="H2351" s="5" t="str">
        <f>IFERROR(__xludf.DUMMYFUNCTION("GOOGLEFINANCE(""ASX:YMAX"", ""low52"")"),"#N/A")</f>
        <v>#N/A</v>
      </c>
      <c r="I2351" s="9" t="str">
        <f>IFERROR(__xludf.DUMMYFUNCTION("GOOGLEFINANCE(""ASX:YMAX"", ""marketcap"")"),"#N/A")</f>
        <v>#N/A</v>
      </c>
      <c r="J2351" s="12">
        <v>7.34</v>
      </c>
      <c r="K2351" s="12">
        <v>7.36</v>
      </c>
      <c r="L2351" s="12">
        <v>8.07</v>
      </c>
      <c r="M2351" s="12">
        <v>6.79</v>
      </c>
      <c r="N2351" s="9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>
      <c r="A2352" s="5" t="s">
        <v>4650</v>
      </c>
      <c r="B2352" s="5" t="s">
        <v>4651</v>
      </c>
      <c r="C2352" s="5" t="s">
        <v>15</v>
      </c>
      <c r="D2352" s="7">
        <f>IFERROR(__xludf.DUMMYFUNCTION("GOOGLEFINANCE(""ASX:YOJ"", ""price"")"),0.36)</f>
        <v>0.36</v>
      </c>
      <c r="E2352" s="8">
        <f>IFERROR(__xludf.DUMMYFUNCTION("GOOGLEFINANCE(""ASX:YOJ"", ""closeyest"")"),0.37)</f>
        <v>0.37</v>
      </c>
      <c r="F2352" s="5" t="str">
        <f>IFERROR(__xludf.DUMMYFUNCTION("GOOGLEFINANCE(""ASX:YOJ"", ""pe"")"),"#N/A")</f>
        <v>#N/A</v>
      </c>
      <c r="G2352" s="9">
        <f>IFERROR(__xludf.DUMMYFUNCTION("GOOGLEFINANCE(""ASX:YOJ"", ""high52"")"),0.54)</f>
        <v>0.54</v>
      </c>
      <c r="H2352" s="9">
        <f>IFERROR(__xludf.DUMMYFUNCTION("GOOGLEFINANCE(""ASX:YOJ"", ""low52"")"),0.11)</f>
        <v>0.11</v>
      </c>
      <c r="I2352" s="9">
        <f>IFERROR(__xludf.DUMMYFUNCTION("GOOGLEFINANCE(""ASX:YOJ"", ""marketcap"")"),1.25120988E8)</f>
        <v>125120988</v>
      </c>
      <c r="J2352" s="5"/>
      <c r="K2352" s="5"/>
      <c r="L2352" s="5"/>
      <c r="M2352" s="5"/>
      <c r="N2352" s="9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>
      <c r="A2353" s="5" t="s">
        <v>4652</v>
      </c>
      <c r="B2353" s="5" t="s">
        <v>4653</v>
      </c>
      <c r="C2353" s="5" t="s">
        <v>98</v>
      </c>
      <c r="D2353" s="7">
        <f>IFERROR(__xludf.DUMMYFUNCTION("GOOGLEFINANCE(""ASX:YOW"", ""price"")"),0.01)</f>
        <v>0.01</v>
      </c>
      <c r="E2353" s="8">
        <f>IFERROR(__xludf.DUMMYFUNCTION("GOOGLEFINANCE(""ASX:YOW"", ""closeyest"")"),0.01)</f>
        <v>0.01</v>
      </c>
      <c r="F2353" s="5" t="str">
        <f>IFERROR(__xludf.DUMMYFUNCTION("GOOGLEFINANCE(""ASX:YOW"", ""pe"")"),"#N/A")</f>
        <v>#N/A</v>
      </c>
      <c r="G2353" s="9">
        <f>IFERROR(__xludf.DUMMYFUNCTION("GOOGLEFINANCE(""ASX:YOW"", ""high52"")"),0.03)</f>
        <v>0.03</v>
      </c>
      <c r="H2353" s="9">
        <f>IFERROR(__xludf.DUMMYFUNCTION("GOOGLEFINANCE(""ASX:YOW"", ""low52"")"),0.01)</f>
        <v>0.01</v>
      </c>
      <c r="I2353" s="9">
        <f>IFERROR(__xludf.DUMMYFUNCTION("GOOGLEFINANCE(""ASX:YOW"", ""marketcap"")"),3211150.0)</f>
        <v>3211150</v>
      </c>
      <c r="J2353" s="5"/>
      <c r="K2353" s="5"/>
      <c r="L2353" s="5"/>
      <c r="M2353" s="5"/>
      <c r="N2353" s="9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>
      <c r="A2354" s="5" t="s">
        <v>4654</v>
      </c>
      <c r="B2354" s="5" t="s">
        <v>4655</v>
      </c>
      <c r="C2354" s="5" t="s">
        <v>88</v>
      </c>
      <c r="D2354" s="7">
        <f>IFERROR(__xludf.DUMMYFUNCTION("GOOGLEFINANCE(""ASX:YRL"", ""price"")"),0.26)</f>
        <v>0.26</v>
      </c>
      <c r="E2354" s="8">
        <f>IFERROR(__xludf.DUMMYFUNCTION("GOOGLEFINANCE(""ASX:YRL"", ""closeyest"")"),0.25)</f>
        <v>0.25</v>
      </c>
      <c r="F2354" s="5" t="str">
        <f>IFERROR(__xludf.DUMMYFUNCTION("GOOGLEFINANCE(""ASX:YRL"", ""pe"")"),"#N/A")</f>
        <v>#N/A</v>
      </c>
      <c r="G2354" s="9">
        <f>IFERROR(__xludf.DUMMYFUNCTION("GOOGLEFINANCE(""ASX:YRL"", ""high52"")"),0.43)</f>
        <v>0.43</v>
      </c>
      <c r="H2354" s="9">
        <f>IFERROR(__xludf.DUMMYFUNCTION("GOOGLEFINANCE(""ASX:YRL"", ""low52"")"),0.08)</f>
        <v>0.08</v>
      </c>
      <c r="I2354" s="9">
        <f>IFERROR(__xludf.DUMMYFUNCTION("GOOGLEFINANCE(""ASX:YRL"", ""marketcap"")"),9.6698858E7)</f>
        <v>96698858</v>
      </c>
      <c r="J2354" s="5"/>
      <c r="K2354" s="5"/>
      <c r="L2354" s="5"/>
      <c r="M2354" s="5"/>
      <c r="N2354" s="9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>
      <c r="A2355" s="5" t="s">
        <v>4656</v>
      </c>
      <c r="B2355" s="5" t="s">
        <v>4657</v>
      </c>
      <c r="C2355" s="5" t="s">
        <v>18</v>
      </c>
      <c r="D2355" s="7">
        <f>IFERROR(__xludf.DUMMYFUNCTION("GOOGLEFINANCE(""ASX:YUG"", ""price"")"),0.07)</f>
        <v>0.07</v>
      </c>
      <c r="E2355" s="8">
        <f>IFERROR(__xludf.DUMMYFUNCTION("GOOGLEFINANCE(""ASX:YUG"", ""closeyest"")"),0.07)</f>
        <v>0.07</v>
      </c>
      <c r="F2355" s="5" t="str">
        <f>IFERROR(__xludf.DUMMYFUNCTION("GOOGLEFINANCE(""ASX:YUG"", ""pe"")"),"#N/A")</f>
        <v>#N/A</v>
      </c>
      <c r="G2355" s="9">
        <f>IFERROR(__xludf.DUMMYFUNCTION("GOOGLEFINANCE(""ASX:YUG"", ""high52"")"),0.07)</f>
        <v>0.07</v>
      </c>
      <c r="H2355" s="9">
        <f>IFERROR(__xludf.DUMMYFUNCTION("GOOGLEFINANCE(""ASX:YUG"", ""low52"")"),0.03)</f>
        <v>0.03</v>
      </c>
      <c r="I2355" s="9">
        <f>IFERROR(__xludf.DUMMYFUNCTION("GOOGLEFINANCE(""ASX:YUG"", ""marketcap"")"),2.185645E7)</f>
        <v>21856450</v>
      </c>
      <c r="J2355" s="5"/>
      <c r="K2355" s="5"/>
      <c r="L2355" s="5"/>
      <c r="M2355" s="5"/>
      <c r="N2355" s="9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>
      <c r="A2356" s="5" t="s">
        <v>4658</v>
      </c>
      <c r="B2356" s="5" t="s">
        <v>4659</v>
      </c>
      <c r="C2356" s="5" t="s">
        <v>88</v>
      </c>
      <c r="D2356" s="7">
        <f>IFERROR(__xludf.DUMMYFUNCTION("GOOGLEFINANCE(""ASX:ZAG"", ""price"")"),0.05)</f>
        <v>0.05</v>
      </c>
      <c r="E2356" s="8">
        <f>IFERROR(__xludf.DUMMYFUNCTION("GOOGLEFINANCE(""ASX:ZAG"", ""closeyest"")"),0.05)</f>
        <v>0.05</v>
      </c>
      <c r="F2356" s="5" t="str">
        <f>IFERROR(__xludf.DUMMYFUNCTION("GOOGLEFINANCE(""ASX:ZAG"", ""pe"")"),"#N/A")</f>
        <v>#N/A</v>
      </c>
      <c r="G2356" s="9">
        <f>IFERROR(__xludf.DUMMYFUNCTION("GOOGLEFINANCE(""ASX:ZAG"", ""high52"")"),0.06)</f>
        <v>0.06</v>
      </c>
      <c r="H2356" s="9">
        <f>IFERROR(__xludf.DUMMYFUNCTION("GOOGLEFINANCE(""ASX:ZAG"", ""low52"")"),0.01)</f>
        <v>0.01</v>
      </c>
      <c r="I2356" s="9">
        <f>IFERROR(__xludf.DUMMYFUNCTION("GOOGLEFINANCE(""ASX:ZAG"", ""marketcap"")"),3.7538641E7)</f>
        <v>37538641</v>
      </c>
      <c r="J2356" s="5"/>
      <c r="K2356" s="5"/>
      <c r="L2356" s="5"/>
      <c r="M2356" s="5"/>
      <c r="N2356" s="9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>
      <c r="A2357" s="5" t="s">
        <v>4660</v>
      </c>
      <c r="B2357" s="5" t="s">
        <v>4661</v>
      </c>
      <c r="C2357" s="5" t="s">
        <v>396</v>
      </c>
      <c r="D2357" s="7">
        <f>IFERROR(__xludf.DUMMYFUNCTION("GOOGLEFINANCE(""ASX:ZEO"", ""price"")"),0.08)</f>
        <v>0.08</v>
      </c>
      <c r="E2357" s="8">
        <f>IFERROR(__xludf.DUMMYFUNCTION("GOOGLEFINANCE(""ASX:ZEO"", ""closeyest"")"),0.08)</f>
        <v>0.08</v>
      </c>
      <c r="F2357" s="5" t="str">
        <f>IFERROR(__xludf.DUMMYFUNCTION("GOOGLEFINANCE(""ASX:ZEO"", ""pe"")"),"#N/A")</f>
        <v>#N/A</v>
      </c>
      <c r="G2357" s="9">
        <f>IFERROR(__xludf.DUMMYFUNCTION("GOOGLEFINANCE(""ASX:ZEO"", ""high52"")"),0.12)</f>
        <v>0.12</v>
      </c>
      <c r="H2357" s="9">
        <f>IFERROR(__xludf.DUMMYFUNCTION("GOOGLEFINANCE(""ASX:ZEO"", ""low52"")"),0.04)</f>
        <v>0.04</v>
      </c>
      <c r="I2357" s="9">
        <f>IFERROR(__xludf.DUMMYFUNCTION("GOOGLEFINANCE(""ASX:ZEO"", ""marketcap"")"),1.68700236E8)</f>
        <v>168700236</v>
      </c>
      <c r="J2357" s="5"/>
      <c r="K2357" s="5"/>
      <c r="L2357" s="5"/>
      <c r="M2357" s="5"/>
      <c r="N2357" s="9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>
      <c r="A2358" s="5" t="s">
        <v>4662</v>
      </c>
      <c r="B2358" s="5" t="s">
        <v>4663</v>
      </c>
      <c r="C2358" s="5" t="s">
        <v>28</v>
      </c>
      <c r="D2358" s="7">
        <f>IFERROR(__xludf.DUMMYFUNCTION("GOOGLEFINANCE(""ASX:ZEU"", ""price"")"),0.01)</f>
        <v>0.01</v>
      </c>
      <c r="E2358" s="8">
        <f>IFERROR(__xludf.DUMMYFUNCTION("GOOGLEFINANCE(""ASX:ZEU"", ""closeyest"")"),0.01)</f>
        <v>0.01</v>
      </c>
      <c r="F2358" s="5" t="str">
        <f>IFERROR(__xludf.DUMMYFUNCTION("GOOGLEFINANCE(""ASX:ZEU"", ""pe"")"),"#N/A")</f>
        <v>#N/A</v>
      </c>
      <c r="G2358" s="9">
        <f>IFERROR(__xludf.DUMMYFUNCTION("GOOGLEFINANCE(""ASX:ZEU"", ""high52"")"),0.02)</f>
        <v>0.02</v>
      </c>
      <c r="H2358" s="9">
        <f>IFERROR(__xludf.DUMMYFUNCTION("GOOGLEFINANCE(""ASX:ZEU"", ""low52"")"),0.01)</f>
        <v>0.01</v>
      </c>
      <c r="I2358" s="9">
        <f>IFERROR(__xludf.DUMMYFUNCTION("GOOGLEFINANCE(""ASX:ZEU"", ""marketcap"")"),8684543.0)</f>
        <v>8684543</v>
      </c>
      <c r="J2358" s="5"/>
      <c r="K2358" s="5"/>
      <c r="L2358" s="5"/>
      <c r="M2358" s="5"/>
      <c r="N2358" s="9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>
      <c r="A2359" s="5" t="s">
        <v>4662</v>
      </c>
      <c r="B2359" s="5" t="s">
        <v>4663</v>
      </c>
      <c r="C2359" s="5" t="s">
        <v>28</v>
      </c>
      <c r="D2359" s="7">
        <f>IFERROR(__xludf.DUMMYFUNCTION("GOOGLEFINANCE(""ASX:ZEU"", ""price"")"),0.01)</f>
        <v>0.01</v>
      </c>
      <c r="E2359" s="8">
        <f>IFERROR(__xludf.DUMMYFUNCTION("GOOGLEFINANCE(""ASX:ZEU"", ""closeyest"")"),0.01)</f>
        <v>0.01</v>
      </c>
      <c r="F2359" s="5" t="str">
        <f>IFERROR(__xludf.DUMMYFUNCTION("GOOGLEFINANCE(""ASX:ZEU"", ""pe"")"),"#N/A")</f>
        <v>#N/A</v>
      </c>
      <c r="G2359" s="9">
        <f>IFERROR(__xludf.DUMMYFUNCTION("GOOGLEFINANCE(""ASX:ZEU"", ""high52"")"),0.02)</f>
        <v>0.02</v>
      </c>
      <c r="H2359" s="9">
        <f>IFERROR(__xludf.DUMMYFUNCTION("GOOGLEFINANCE(""ASX:ZEU"", ""low52"")"),0.01)</f>
        <v>0.01</v>
      </c>
      <c r="I2359" s="9">
        <f>IFERROR(__xludf.DUMMYFUNCTION("GOOGLEFINANCE(""ASX:ZEU"", ""marketcap"")"),8684543.0)</f>
        <v>8684543</v>
      </c>
      <c r="J2359" s="5"/>
      <c r="K2359" s="5"/>
      <c r="L2359" s="5"/>
      <c r="M2359" s="5"/>
      <c r="N2359" s="9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>
      <c r="A2360" s="14" t="s">
        <v>4662</v>
      </c>
      <c r="B2360" s="14" t="s">
        <v>4663</v>
      </c>
      <c r="C2360" s="14" t="s">
        <v>28</v>
      </c>
      <c r="D2360" s="15">
        <f>IFERROR(__xludf.DUMMYFUNCTION("GOOGLEFINANCE(""ASX:ZEU"", ""price"")"),0.01)</f>
        <v>0.01</v>
      </c>
      <c r="E2360" s="8">
        <f>IFERROR(__xludf.DUMMYFUNCTION("GOOGLEFINANCE(""ASX:ZEU"", ""closeyest"")"),0.01)</f>
        <v>0.01</v>
      </c>
      <c r="F2360" s="5" t="str">
        <f>IFERROR(__xludf.DUMMYFUNCTION("GOOGLEFINANCE(""ASX:ZEU"", ""pe"")"),"#N/A")</f>
        <v>#N/A</v>
      </c>
      <c r="G2360" s="9">
        <f>IFERROR(__xludf.DUMMYFUNCTION("GOOGLEFINANCE(""ASX:ZEU"", ""high52"")"),0.02)</f>
        <v>0.02</v>
      </c>
      <c r="H2360" s="9">
        <f>IFERROR(__xludf.DUMMYFUNCTION("GOOGLEFINANCE(""ASX:ZEU"", ""low52"")"),0.01)</f>
        <v>0.01</v>
      </c>
      <c r="I2360" s="9">
        <f>IFERROR(__xludf.DUMMYFUNCTION("GOOGLEFINANCE(""ASX:ZEU"", ""marketcap"")"),8684543.0)</f>
        <v>8684543</v>
      </c>
      <c r="J2360" s="5"/>
      <c r="K2360" s="5"/>
      <c r="L2360" s="5"/>
      <c r="M2360" s="5"/>
      <c r="N2360" s="9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>
      <c r="A2361" s="5" t="s">
        <v>4664</v>
      </c>
      <c r="B2361" s="5" t="s">
        <v>4665</v>
      </c>
      <c r="C2361" s="5" t="s">
        <v>2765</v>
      </c>
      <c r="D2361" s="7">
        <f>IFERROR(__xludf.DUMMYFUNCTION("GOOGLEFINANCE(""ASX:ZGL"", ""price"")"),0.17)</f>
        <v>0.17</v>
      </c>
      <c r="E2361" s="8">
        <f>IFERROR(__xludf.DUMMYFUNCTION("GOOGLEFINANCE(""ASX:ZGL"", ""closeyest"")"),0.17)</f>
        <v>0.17</v>
      </c>
      <c r="F2361" s="9">
        <f>IFERROR(__xludf.DUMMYFUNCTION("GOOGLEFINANCE(""ASX:ZGL"", ""pe"")"),3.93)</f>
        <v>3.93</v>
      </c>
      <c r="G2361" s="9">
        <f>IFERROR(__xludf.DUMMYFUNCTION("GOOGLEFINANCE(""ASX:ZGL"", ""high52"")"),0.18)</f>
        <v>0.18</v>
      </c>
      <c r="H2361" s="9">
        <f>IFERROR(__xludf.DUMMYFUNCTION("GOOGLEFINANCE(""ASX:ZGL"", ""low52"")"),0.06)</f>
        <v>0.06</v>
      </c>
      <c r="I2361" s="9">
        <f>IFERROR(__xludf.DUMMYFUNCTION("GOOGLEFINANCE(""ASX:ZGL"", ""marketcap"")"),3.557073E7)</f>
        <v>35570730</v>
      </c>
      <c r="J2361" s="5"/>
      <c r="K2361" s="5"/>
      <c r="L2361" s="5"/>
      <c r="M2361" s="5"/>
      <c r="N2361" s="9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>
      <c r="A2362" s="5" t="s">
        <v>4666</v>
      </c>
      <c r="B2362" s="5" t="s">
        <v>4667</v>
      </c>
      <c r="C2362" s="5" t="s">
        <v>450</v>
      </c>
      <c r="D2362" s="7">
        <f>IFERROR(__xludf.DUMMYFUNCTION("GOOGLEFINANCE(""ASX:ZIM"", ""price"")"),24.32)</f>
        <v>24.32</v>
      </c>
      <c r="E2362" s="8">
        <f>IFERROR(__xludf.DUMMYFUNCTION("GOOGLEFINANCE(""ASX:ZIM"", ""closeyest"")"),23.6)</f>
        <v>23.6</v>
      </c>
      <c r="F2362" s="9">
        <f>IFERROR(__xludf.DUMMYFUNCTION("GOOGLEFINANCE(""ASX:ZIM"", ""pe"")"),43.26)</f>
        <v>43.26</v>
      </c>
      <c r="G2362" s="9">
        <f>IFERROR(__xludf.DUMMYFUNCTION("GOOGLEFINANCE(""ASX:ZIM"", ""high52"")"),25.6)</f>
        <v>25.6</v>
      </c>
      <c r="H2362" s="9">
        <f>IFERROR(__xludf.DUMMYFUNCTION("GOOGLEFINANCE(""ASX:ZIM"", ""low52"")"),10.4)</f>
        <v>10.4</v>
      </c>
      <c r="I2362" s="9">
        <f>IFERROR(__xludf.DUMMYFUNCTION("GOOGLEFINANCE(""ASX:ZIM"", ""marketcap"")"),2.617746399E9)</f>
        <v>2617746399</v>
      </c>
      <c r="J2362" s="5"/>
      <c r="K2362" s="5"/>
      <c r="L2362" s="5"/>
      <c r="M2362" s="5"/>
      <c r="N2362" s="9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>
      <c r="A2363" s="5" t="s">
        <v>4668</v>
      </c>
      <c r="B2363" s="5" t="s">
        <v>4669</v>
      </c>
      <c r="C2363" s="5" t="s">
        <v>241</v>
      </c>
      <c r="D2363" s="7">
        <f>IFERROR(__xludf.DUMMYFUNCTION("GOOGLEFINANCE(""ASX:ZIP"", ""price"")"),3.19)</f>
        <v>3.19</v>
      </c>
      <c r="E2363" s="8">
        <f>IFERROR(__xludf.DUMMYFUNCTION("GOOGLEFINANCE(""ASX:ZIP"", ""closeyest"")"),3.18)</f>
        <v>3.18</v>
      </c>
      <c r="F2363" s="9">
        <f>IFERROR(__xludf.DUMMYFUNCTION("GOOGLEFINANCE(""ASX:ZIP"", ""pe"")"),52.25)</f>
        <v>52.25</v>
      </c>
      <c r="G2363" s="9">
        <f>IFERROR(__xludf.DUMMYFUNCTION("GOOGLEFINANCE(""ASX:ZIP"", ""high52"")"),4.93)</f>
        <v>4.93</v>
      </c>
      <c r="H2363" s="9">
        <f>IFERROR(__xludf.DUMMYFUNCTION("GOOGLEFINANCE(""ASX:ZIP"", ""low52"")"),1.09)</f>
        <v>1.09</v>
      </c>
      <c r="I2363" s="9">
        <f>IFERROR(__xludf.DUMMYFUNCTION("GOOGLEFINANCE(""ASX:ZIP"", ""marketcap"")"),4.053478842E9)</f>
        <v>4053478842</v>
      </c>
      <c r="J2363" s="5"/>
      <c r="K2363" s="5"/>
      <c r="L2363" s="5"/>
      <c r="M2363" s="5"/>
      <c r="N2363" s="9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>
      <c r="A2364" s="5" t="s">
        <v>4670</v>
      </c>
      <c r="B2364" s="5" t="s">
        <v>4671</v>
      </c>
      <c r="C2364" s="5" t="s">
        <v>174</v>
      </c>
      <c r="D2364" s="7">
        <f>IFERROR(__xludf.DUMMYFUNCTION("GOOGLEFINANCE(""ASX:ZLD"", ""price"")"),0.37)</f>
        <v>0.37</v>
      </c>
      <c r="E2364" s="8">
        <f>IFERROR(__xludf.DUMMYFUNCTION("GOOGLEFINANCE(""ASX:ZLD"", ""closeyest"")"),0.37)</f>
        <v>0.37</v>
      </c>
      <c r="F2364" s="5" t="str">
        <f>IFERROR(__xludf.DUMMYFUNCTION("GOOGLEFINANCE(""ASX:ZLD"", ""pe"")"),"#N/A")</f>
        <v>#N/A</v>
      </c>
      <c r="G2364" s="9">
        <f>IFERROR(__xludf.DUMMYFUNCTION("GOOGLEFINANCE(""ASX:ZLD"", ""high52"")"),0.65)</f>
        <v>0.65</v>
      </c>
      <c r="H2364" s="9">
        <f>IFERROR(__xludf.DUMMYFUNCTION("GOOGLEFINANCE(""ASX:ZLD"", ""low52"")"),0.31)</f>
        <v>0.31</v>
      </c>
      <c r="I2364" s="9">
        <f>IFERROR(__xludf.DUMMYFUNCTION("GOOGLEFINANCE(""ASX:ZLD"", ""marketcap"")"),4348265.0)</f>
        <v>4348265</v>
      </c>
      <c r="J2364" s="5"/>
      <c r="K2364" s="5"/>
      <c r="L2364" s="5"/>
      <c r="M2364" s="5"/>
      <c r="N2364" s="9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>
      <c r="A2365" s="5" t="s">
        <v>4672</v>
      </c>
      <c r="B2365" s="5" t="s">
        <v>4673</v>
      </c>
      <c r="C2365" s="5" t="s">
        <v>18</v>
      </c>
      <c r="D2365" s="7">
        <f>IFERROR(__xludf.DUMMYFUNCTION("GOOGLEFINANCE(""ASX:ZMI"", ""price"")"),0.01)</f>
        <v>0.01</v>
      </c>
      <c r="E2365" s="8">
        <f>IFERROR(__xludf.DUMMYFUNCTION("GOOGLEFINANCE(""ASX:ZMI"", ""closeyest"")"),0.01)</f>
        <v>0.01</v>
      </c>
      <c r="F2365" s="5" t="str">
        <f>IFERROR(__xludf.DUMMYFUNCTION("GOOGLEFINANCE(""ASX:ZMI"", ""pe"")"),"#N/A")</f>
        <v>#N/A</v>
      </c>
      <c r="G2365" s="9">
        <f>IFERROR(__xludf.DUMMYFUNCTION("GOOGLEFINANCE(""ASX:ZMI"", ""high52"")"),0.02)</f>
        <v>0.02</v>
      </c>
      <c r="H2365" s="9">
        <f>IFERROR(__xludf.DUMMYFUNCTION("GOOGLEFINANCE(""ASX:ZMI"", ""low52"")"),0.01)</f>
        <v>0.01</v>
      </c>
      <c r="I2365" s="9">
        <f>IFERROR(__xludf.DUMMYFUNCTION("GOOGLEFINANCE(""ASX:ZMI"", ""marketcap"")"),5820109.0)</f>
        <v>5820109</v>
      </c>
      <c r="J2365" s="5"/>
      <c r="K2365" s="5"/>
      <c r="L2365" s="5"/>
      <c r="M2365" s="5"/>
      <c r="N2365" s="9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>
      <c r="A2366" s="5" t="s">
        <v>4674</v>
      </c>
      <c r="B2366" s="5" t="s">
        <v>4675</v>
      </c>
      <c r="C2366" s="5" t="s">
        <v>22</v>
      </c>
      <c r="D2366" s="7">
        <f>IFERROR(__xludf.DUMMYFUNCTION("GOOGLEFINANCE(""ASX:ZMM"", ""price"")"),0.01)</f>
        <v>0.01</v>
      </c>
      <c r="E2366" s="8">
        <f>IFERROR(__xludf.DUMMYFUNCTION("GOOGLEFINANCE(""ASX:ZMM"", ""closeyest"")"),0.01)</f>
        <v>0.01</v>
      </c>
      <c r="F2366" s="5" t="str">
        <f>IFERROR(__xludf.DUMMYFUNCTION("GOOGLEFINANCE(""ASX:ZMM"", ""pe"")"),"#N/A")</f>
        <v>#N/A</v>
      </c>
      <c r="G2366" s="9">
        <f>IFERROR(__xludf.DUMMYFUNCTION("GOOGLEFINANCE(""ASX:ZMM"", ""high52"")"),0.02)</f>
        <v>0.02</v>
      </c>
      <c r="H2366" s="9">
        <f>IFERROR(__xludf.DUMMYFUNCTION("GOOGLEFINANCE(""ASX:ZMM"", ""low52"")"),0.01)</f>
        <v>0.01</v>
      </c>
      <c r="I2366" s="9">
        <f>IFERROR(__xludf.DUMMYFUNCTION("GOOGLEFINANCE(""ASX:ZMM"", ""marketcap"")"),3705352.0)</f>
        <v>3705352</v>
      </c>
      <c r="J2366" s="5"/>
      <c r="K2366" s="5"/>
      <c r="L2366" s="5"/>
      <c r="M2366" s="5"/>
      <c r="N2366" s="9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>
      <c r="A2367" s="5" t="s">
        <v>4676</v>
      </c>
      <c r="B2367" s="5" t="s">
        <v>4677</v>
      </c>
      <c r="C2367" s="5" t="s">
        <v>18</v>
      </c>
      <c r="D2367" s="7">
        <f>IFERROR(__xludf.DUMMYFUNCTION("GOOGLEFINANCE(""ASX:ZNC"", ""price"")"),0.09)</f>
        <v>0.09</v>
      </c>
      <c r="E2367" s="8">
        <f>IFERROR(__xludf.DUMMYFUNCTION("GOOGLEFINANCE(""ASX:ZNC"", ""closeyest"")"),0.09)</f>
        <v>0.09</v>
      </c>
      <c r="F2367" s="5" t="str">
        <f>IFERROR(__xludf.DUMMYFUNCTION("GOOGLEFINANCE(""ASX:ZNC"", ""pe"")"),"#N/A")</f>
        <v>#N/A</v>
      </c>
      <c r="G2367" s="9">
        <f>IFERROR(__xludf.DUMMYFUNCTION("GOOGLEFINANCE(""ASX:ZNC"", ""high52"")"),0.18)</f>
        <v>0.18</v>
      </c>
      <c r="H2367" s="9">
        <f>IFERROR(__xludf.DUMMYFUNCTION("GOOGLEFINANCE(""ASX:ZNC"", ""low52"")"),0.03)</f>
        <v>0.03</v>
      </c>
      <c r="I2367" s="9">
        <f>IFERROR(__xludf.DUMMYFUNCTION("GOOGLEFINANCE(""ASX:ZNC"", ""marketcap"")"),4.8734138E7)</f>
        <v>48734138</v>
      </c>
      <c r="J2367" s="5"/>
      <c r="K2367" s="5"/>
      <c r="L2367" s="5"/>
      <c r="M2367" s="5"/>
      <c r="N2367" s="9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>
      <c r="A2368" s="5" t="s">
        <v>4678</v>
      </c>
      <c r="B2368" s="5" t="s">
        <v>4679</v>
      </c>
      <c r="C2368" s="5" t="s">
        <v>2774</v>
      </c>
      <c r="D2368" s="7">
        <f>IFERROR(__xludf.DUMMYFUNCTION("GOOGLEFINANCE(""ASX:ZNO"", ""price"")"),0.07)</f>
        <v>0.07</v>
      </c>
      <c r="E2368" s="8">
        <f>IFERROR(__xludf.DUMMYFUNCTION("GOOGLEFINANCE(""ASX:ZNO"", ""closeyest"")"),0.07)</f>
        <v>0.07</v>
      </c>
      <c r="F2368" s="5" t="str">
        <f>IFERROR(__xludf.DUMMYFUNCTION("GOOGLEFINANCE(""ASX:ZNO"", ""pe"")"),"#N/A")</f>
        <v>#N/A</v>
      </c>
      <c r="G2368" s="9">
        <f>IFERROR(__xludf.DUMMYFUNCTION("GOOGLEFINANCE(""ASX:ZNO"", ""high52"")"),0.18)</f>
        <v>0.18</v>
      </c>
      <c r="H2368" s="9">
        <f>IFERROR(__xludf.DUMMYFUNCTION("GOOGLEFINANCE(""ASX:ZNO"", ""low52"")"),0.02)</f>
        <v>0.02</v>
      </c>
      <c r="I2368" s="9">
        <f>IFERROR(__xludf.DUMMYFUNCTION("GOOGLEFINANCE(""ASX:ZNO"", ""marketcap"")"),2.8028606E7)</f>
        <v>28028606</v>
      </c>
      <c r="J2368" s="5"/>
      <c r="K2368" s="5"/>
      <c r="L2368" s="5"/>
      <c r="M2368" s="5"/>
      <c r="N2368" s="9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>
      <c r="A2369" s="5" t="s">
        <v>4680</v>
      </c>
      <c r="B2369" s="5" t="s">
        <v>4681</v>
      </c>
      <c r="C2369" s="5" t="s">
        <v>36</v>
      </c>
      <c r="D2369" s="7">
        <f>IFERROR(__xludf.DUMMYFUNCTION("GOOGLEFINANCE(""ASX:ZYAU"", ""price"")"),9.61)</f>
        <v>9.61</v>
      </c>
      <c r="E2369" s="8">
        <f>IFERROR(__xludf.DUMMYFUNCTION("GOOGLEFINANCE(""ASX:ZYAU"", ""closeyest"")"),9.65)</f>
        <v>9.65</v>
      </c>
      <c r="F2369" s="5" t="str">
        <f>IFERROR(__xludf.DUMMYFUNCTION("GOOGLEFINANCE(""ASX:ZYAU"", ""pe"")"),"#N/A")</f>
        <v>#N/A</v>
      </c>
      <c r="G2369" s="9">
        <f>IFERROR(__xludf.DUMMYFUNCTION("GOOGLEFINANCE(""ASX:ZYAU"", ""high52"")"),10.08)</f>
        <v>10.08</v>
      </c>
      <c r="H2369" s="9">
        <f>IFERROR(__xludf.DUMMYFUNCTION("GOOGLEFINANCE(""ASX:ZYAU"", ""low52"")"),7.73)</f>
        <v>7.73</v>
      </c>
      <c r="I2369" s="9" t="str">
        <f>IFERROR(__xludf.DUMMYFUNCTION("GOOGLEFINANCE(""ASX:ZYAU"", ""marketcap"")"),"#N/A")</f>
        <v>#N/A</v>
      </c>
      <c r="J2369" s="5"/>
      <c r="K2369" s="5"/>
      <c r="L2369" s="5"/>
      <c r="M2369" s="5"/>
      <c r="N2369" s="9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>
      <c r="A2370" s="5" t="s">
        <v>4682</v>
      </c>
      <c r="B2370" s="5" t="s">
        <v>4683</v>
      </c>
      <c r="C2370" s="5" t="s">
        <v>36</v>
      </c>
      <c r="D2370" s="7">
        <f>IFERROR(__xludf.DUMMYFUNCTION("GOOGLEFINANCE(""ASX:ZYUS"", ""price"")"),14.19)</f>
        <v>14.19</v>
      </c>
      <c r="E2370" s="8">
        <f>IFERROR(__xludf.DUMMYFUNCTION("GOOGLEFINANCE(""ASX:ZYUS"", ""closeyest"")"),14.2)</f>
        <v>14.2</v>
      </c>
      <c r="F2370" s="5" t="str">
        <f>IFERROR(__xludf.DUMMYFUNCTION("GOOGLEFINANCE(""ASX:ZYUS"", ""pe"")"),"#N/A")</f>
        <v>#N/A</v>
      </c>
      <c r="G2370" s="9">
        <f>IFERROR(__xludf.DUMMYFUNCTION("GOOGLEFINANCE(""ASX:ZYUS"", ""high52"")"),16.68)</f>
        <v>16.68</v>
      </c>
      <c r="H2370" s="9">
        <f>IFERROR(__xludf.DUMMYFUNCTION("GOOGLEFINANCE(""ASX:ZYUS"", ""low52"")"),14.19)</f>
        <v>14.19</v>
      </c>
      <c r="I2370" s="9" t="str">
        <f>IFERROR(__xludf.DUMMYFUNCTION("GOOGLEFINANCE(""ASX:ZYUS"", ""marketcap"")"),"#N/A")</f>
        <v>#N/A</v>
      </c>
      <c r="J2370" s="5"/>
      <c r="K2370" s="5"/>
      <c r="L2370" s="5"/>
      <c r="M2370" s="5"/>
      <c r="N2370" s="9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</sheetData>
  <mergeCells count="14">
    <mergeCell ref="O658:P658"/>
    <mergeCell ref="O789:Q789"/>
    <mergeCell ref="O790:Q790"/>
    <mergeCell ref="O791:Q791"/>
    <mergeCell ref="O792:Q792"/>
    <mergeCell ref="O876:P876"/>
    <mergeCell ref="O927:P927"/>
    <mergeCell ref="O43:Q43"/>
    <mergeCell ref="O46:P46"/>
    <mergeCell ref="O95:Q95"/>
    <mergeCell ref="O129:Q129"/>
    <mergeCell ref="O359:P359"/>
    <mergeCell ref="O385:Q385"/>
    <mergeCell ref="O563:P56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28.13"/>
    <col customWidth="1" min="4" max="4" width="16.75"/>
    <col customWidth="1" min="5" max="5" width="16.25"/>
  </cols>
  <sheetData>
    <row r="1">
      <c r="A1" s="17" t="s">
        <v>4684</v>
      </c>
      <c r="B1" s="17" t="s">
        <v>4685</v>
      </c>
      <c r="C1" s="17" t="s">
        <v>3</v>
      </c>
      <c r="D1" s="18" t="s">
        <v>4686</v>
      </c>
      <c r="E1" s="18" t="s">
        <v>4687</v>
      </c>
      <c r="F1" s="17" t="s">
        <v>4</v>
      </c>
      <c r="G1" s="17" t="s">
        <v>6</v>
      </c>
      <c r="H1" s="17" t="s">
        <v>7</v>
      </c>
      <c r="I1" s="17" t="s">
        <v>9</v>
      </c>
      <c r="J1" s="17" t="s">
        <v>10</v>
      </c>
      <c r="K1" s="17" t="s">
        <v>11</v>
      </c>
      <c r="L1" s="17" t="s">
        <v>12</v>
      </c>
    </row>
    <row r="2">
      <c r="A2" s="19" t="s">
        <v>4688</v>
      </c>
      <c r="B2" s="19" t="s">
        <v>4689</v>
      </c>
      <c r="C2" s="20" t="str">
        <f>IFERROR(__xludf.DUMMYFUNCTION("GOOGLEFINANCE(""ASX:^AXJO"", ""price"")"),"#N/A")</f>
        <v>#N/A</v>
      </c>
      <c r="D2" s="21"/>
      <c r="E2" s="21"/>
      <c r="F2" s="20" t="str">
        <f>IFERROR(__xludf.DUMMYFUNCTION("GOOGLEFINANCE(""ASX:^AXJO"", ""closeyest"")"),"#N/A")</f>
        <v>#N/A</v>
      </c>
      <c r="G2" s="20" t="str">
        <f>IFERROR(__xludf.DUMMYFUNCTION("GOOGLEFINANCE(""ASX:^AXJO"", ""high52"")"),"#N/A")</f>
        <v>#N/A</v>
      </c>
      <c r="H2" s="20" t="str">
        <f>IFERROR(__xludf.DUMMYFUNCTION("GOOGLEFINANCE(""ASX:^AXJO"", ""low52"")"),"#N/A")</f>
        <v>#N/A</v>
      </c>
      <c r="I2" s="22">
        <v>8695.6</v>
      </c>
      <c r="J2" s="22">
        <v>8682.8</v>
      </c>
      <c r="K2" s="22">
        <v>9115.2</v>
      </c>
      <c r="L2" s="22">
        <v>7169.2</v>
      </c>
    </row>
    <row r="3">
      <c r="A3" s="19" t="s">
        <v>4690</v>
      </c>
      <c r="B3" s="19" t="s">
        <v>4691</v>
      </c>
      <c r="C3" s="21" t="str">
        <f>IFERROR(__xludf.DUMMYFUNCTION("GOOGLEFINANCE(""ASX:^AORD"", ""price"")"),"#N/A")</f>
        <v>#N/A</v>
      </c>
      <c r="F3" s="21" t="str">
        <f>IFERROR(__xludf.DUMMYFUNCTION("GOOGLEFINANCE(""ASX:^AORD"", ""closeyest"")"),"#N/A")</f>
        <v>#N/A</v>
      </c>
      <c r="G3" s="20" t="str">
        <f>IFERROR(__xludf.DUMMYFUNCTION("GOOGLEFINANCE(""ASX:^AORD"", ""high52"")"),"#N/A")</f>
        <v>#N/A</v>
      </c>
      <c r="H3" s="20" t="str">
        <f>IFERROR(__xludf.DUMMYFUNCTION("GOOGLEFINANCE(""ASX:^AORD"", ""low52"")"),"#N/A")</f>
        <v>#N/A</v>
      </c>
      <c r="I3" s="22">
        <v>9018.0</v>
      </c>
      <c r="J3" s="22">
        <v>8996.9</v>
      </c>
      <c r="K3" s="22">
        <v>9414.6</v>
      </c>
      <c r="L3" s="22">
        <v>7343.7</v>
      </c>
    </row>
    <row r="4">
      <c r="A4" s="19" t="s">
        <v>4692</v>
      </c>
      <c r="B4" s="19" t="s">
        <v>4693</v>
      </c>
      <c r="C4" s="20" t="str">
        <f>IFERROR(__xludf.DUMMYFUNCTION("GOOGLEFINANCE(""ASX:XKO"", ""price"")"),"#N/A")</f>
        <v>#N/A</v>
      </c>
      <c r="D4" s="21"/>
      <c r="E4" s="21"/>
      <c r="F4" s="20" t="str">
        <f>IFERROR(__xludf.DUMMYFUNCTION("GOOGLEFINANCE(""ASX:XKO"", ""closeyest"")"),"#N/A")</f>
        <v>#N/A</v>
      </c>
      <c r="G4" s="20" t="str">
        <f>IFERROR(__xludf.DUMMYFUNCTION("GOOGLEFINANCE(""ASX:XKO"", ""high52"")"),"#N/A")</f>
        <v>#N/A</v>
      </c>
      <c r="H4" s="20" t="str">
        <f>IFERROR(__xludf.DUMMYFUNCTION("GOOGLEFINANCE(""ASX:XKO"", ""low52"")"),"#N/A")</f>
        <v>#N/A</v>
      </c>
      <c r="I4" s="19" t="s">
        <v>3776</v>
      </c>
    </row>
    <row r="5">
      <c r="A5" s="19" t="s">
        <v>4694</v>
      </c>
      <c r="B5" s="19" t="s">
        <v>4695</v>
      </c>
      <c r="C5" s="20" t="str">
        <f>IFERROR(__xludf.DUMMYFUNCTION("GOOGLEFINANCE(""ASX:YAP=F"", ""price"")"),"#N/A")</f>
        <v>#N/A</v>
      </c>
      <c r="D5" s="21"/>
      <c r="E5" s="21"/>
      <c r="F5" s="20" t="str">
        <f>IFERROR(__xludf.DUMMYFUNCTION("GOOGLEFINANCE(""ASX:YAP=F"", ""closeyest"")"),"#N/A")</f>
        <v>#N/A</v>
      </c>
      <c r="G5" s="20" t="str">
        <f>IFERROR(__xludf.DUMMYFUNCTION("GOOGLEFINANCE(""ASX:YAP=F"", ""high52"")"),"#N/A")</f>
        <v>#N/A</v>
      </c>
      <c r="H5" s="20" t="str">
        <f>IFERROR(__xludf.DUMMYFUNCTION("GOOGLEFINANCE(""ASX:YAP=F"", ""low52"")"),"#N/A")</f>
        <v>#N/A</v>
      </c>
      <c r="I5" s="19" t="s">
        <v>3776</v>
      </c>
    </row>
    <row r="6">
      <c r="A6" s="19" t="s">
        <v>4696</v>
      </c>
      <c r="B6" s="19" t="s">
        <v>4697</v>
      </c>
      <c r="C6" s="20" t="str">
        <f>IFERROR(__xludf.DUMMYFUNCTION("GOOGLEFINANCE(""ASX:^GSPC"", ""price"")"),"#N/A")</f>
        <v>#N/A</v>
      </c>
      <c r="D6" s="21"/>
      <c r="E6" s="21"/>
      <c r="F6" s="20" t="str">
        <f>IFERROR(__xludf.DUMMYFUNCTION("GOOGLEFINANCE(""ASX:^GSPC"", ""closeyest"")"),"#N/A")</f>
        <v>#N/A</v>
      </c>
      <c r="G6" s="20" t="str">
        <f>IFERROR(__xludf.DUMMYFUNCTION("GOOGLEFINANCE(""ASX:^GSPC"", ""high52"")"),"#N/A")</f>
        <v>#N/A</v>
      </c>
      <c r="H6" s="20" t="str">
        <f>IFERROR(__xludf.DUMMYFUNCTION("GOOGLEFINANCE(""ASX:^GSPC"", ""low52"")"),"#N/A")</f>
        <v>#N/A</v>
      </c>
      <c r="I6" s="22">
        <v>6944.82</v>
      </c>
      <c r="J6" s="22">
        <v>6902.05</v>
      </c>
      <c r="K6" s="22">
        <v>6948.69</v>
      </c>
      <c r="L6" s="22">
        <v>4835.04</v>
      </c>
    </row>
    <row r="7">
      <c r="A7" s="19" t="s">
        <v>4698</v>
      </c>
      <c r="B7" s="19" t="s">
        <v>4699</v>
      </c>
      <c r="C7" s="20" t="str">
        <f>IFERROR(__xludf.DUMMYFUNCTION("GOOGLEFINANCE(""ASX:^DJI"", ""price"")"),"#N/A")</f>
        <v>#N/A</v>
      </c>
      <c r="D7" s="23"/>
      <c r="E7" s="23"/>
      <c r="F7" s="23" t="str">
        <f>IFERROR(__xludf.DUMMYFUNCTION("GOOGLEFINANCE(""ASX:^DJI"", ""closeyest"")"),"#N/A")</f>
        <v>#N/A</v>
      </c>
      <c r="G7" s="23" t="str">
        <f>IFERROR(__xludf.DUMMYFUNCTION("GOOGLEFINANCE(""ASX:^DJI"", ""high52"")"),"#N/A")</f>
        <v>#N/A</v>
      </c>
      <c r="H7" s="20" t="str">
        <f>IFERROR(__xludf.DUMMYFUNCTION("GOOGLEFINANCE(""ASX:^DJI"", ""low52"")"),"#N/A")</f>
        <v>#N/A</v>
      </c>
      <c r="I7" s="22">
        <v>49462.08</v>
      </c>
      <c r="J7" s="22">
        <v>48977.18</v>
      </c>
      <c r="K7" s="22">
        <v>49509.92</v>
      </c>
      <c r="L7" s="22">
        <v>36611.78</v>
      </c>
    </row>
    <row r="8">
      <c r="A8" s="19" t="s">
        <v>4700</v>
      </c>
      <c r="B8" s="19" t="s">
        <v>4701</v>
      </c>
      <c r="C8" s="20" t="str">
        <f>IFERROR(__xludf.DUMMYFUNCTION("GOOGLEFINANCE(""ASX:^IXIC"", ""price"")"),"#N/A")</f>
        <v>#N/A</v>
      </c>
      <c r="D8" s="23"/>
      <c r="E8" s="23"/>
      <c r="F8" s="23" t="str">
        <f>IFERROR(__xludf.DUMMYFUNCTION("GOOGLEFINANCE(""ASX:^IXIC"", ""closeyest"")"),"#N/A")</f>
        <v>#N/A</v>
      </c>
      <c r="G8" s="23" t="str">
        <f>IFERROR(__xludf.DUMMYFUNCTION("GOOGLEFINANCE(""ASX:^IXIC"", ""high52"")"),"#N/A")</f>
        <v>#N/A</v>
      </c>
      <c r="H8" s="20" t="str">
        <f>IFERROR(__xludf.DUMMYFUNCTION("GOOGLEFINANCE(""ASX:^IXIC"", ""low52"")"),"#N/A")</f>
        <v>#N/A</v>
      </c>
      <c r="I8" s="22">
        <v>23547.172</v>
      </c>
      <c r="J8" s="22">
        <v>23395.822</v>
      </c>
      <c r="K8" s="22">
        <v>24019.99</v>
      </c>
      <c r="L8" s="22">
        <v>14784.03</v>
      </c>
    </row>
    <row r="9">
      <c r="A9" s="19" t="s">
        <v>4702</v>
      </c>
      <c r="B9" s="19" t="s">
        <v>4703</v>
      </c>
      <c r="C9" s="21" t="str">
        <f>IFERROR(__xludf.DUMMYFUNCTION("GOOGLEFINANCE(""ASX:^VIX"", ""price"")"),"#N/A")</f>
        <v>#N/A</v>
      </c>
      <c r="D9" s="21"/>
      <c r="F9" s="20" t="str">
        <f>IFERROR(__xludf.DUMMYFUNCTION("GOOGLEFINANCE(""ASX:^VIX"", ""closeyest"")"),"#N/A")</f>
        <v>#N/A</v>
      </c>
      <c r="G9" s="20" t="str">
        <f>IFERROR(__xludf.DUMMYFUNCTION("GOOGLEFINANCE(""ASX:^VIX"", ""high52"")"),"#N/A")</f>
        <v>#N/A</v>
      </c>
      <c r="H9" s="20" t="str">
        <f>IFERROR(__xludf.DUMMYFUNCTION("GOOGLEFINANCE(""ASX:^VIX"", ""low52"")"),"#N/A")</f>
        <v>#N/A</v>
      </c>
      <c r="I9" s="22">
        <v>14.75</v>
      </c>
      <c r="J9" s="22">
        <v>14.9</v>
      </c>
      <c r="K9" s="22">
        <v>60.13</v>
      </c>
      <c r="L9" s="22">
        <v>0.0</v>
      </c>
    </row>
    <row r="10">
      <c r="A10" s="19" t="s">
        <v>4704</v>
      </c>
      <c r="B10" s="19" t="s">
        <v>4705</v>
      </c>
      <c r="C10" s="20" t="str">
        <f>IFERROR(__xludf.DUMMYFUNCTION("GOOGLEFINANCE(""ASX:^FTSE"", ""price"")"),"#N/A")</f>
        <v>#N/A</v>
      </c>
      <c r="D10" s="21"/>
      <c r="E10" s="21"/>
      <c r="F10" s="20" t="str">
        <f>IFERROR(__xludf.DUMMYFUNCTION("GOOGLEFINANCE(""ASX:^FTSE"", ""closeyest"")"),"#N/A")</f>
        <v>#N/A</v>
      </c>
      <c r="G10" s="20" t="str">
        <f>IFERROR(__xludf.DUMMYFUNCTION("GOOGLEFINANCE(""ASX:^FTSE"", ""high52"")"),"#N/A")</f>
        <v>#N/A</v>
      </c>
      <c r="H10" s="20" t="str">
        <f>IFERROR(__xludf.DUMMYFUNCTION("GOOGLEFINANCE(""ASX:^FTSE"", ""low52"")"),"#N/A")</f>
        <v>#N/A</v>
      </c>
      <c r="I10" s="22">
        <v>10122.73</v>
      </c>
      <c r="J10" s="22">
        <v>10004.57</v>
      </c>
      <c r="K10" s="22">
        <v>10158.37</v>
      </c>
      <c r="L10" s="22">
        <v>7544.8</v>
      </c>
    </row>
    <row r="11">
      <c r="A11" s="19" t="s">
        <v>4706</v>
      </c>
      <c r="B11" s="19" t="s">
        <v>4707</v>
      </c>
      <c r="C11" s="21" t="str">
        <f>IFERROR(__xludf.DUMMYFUNCTION("GOOGLEFINANCE(""ASX:^STOXX50E"", ""price"")"),"#N/A")</f>
        <v>#N/A</v>
      </c>
      <c r="D11" s="21"/>
      <c r="F11" s="20" t="str">
        <f>IFERROR(__xludf.DUMMYFUNCTION("GOOGLEFINANCE(""ASX:^STOXX50E"", ""closeyest"")"),"#N/A")</f>
        <v>#N/A</v>
      </c>
      <c r="G11" s="20" t="str">
        <f>IFERROR(__xludf.DUMMYFUNCTION("GOOGLEFINANCE(""ASX:^STOXX50E"", ""high52"")"),"#N/A")</f>
        <v>#N/A</v>
      </c>
      <c r="H11" s="20" t="str">
        <f>IFERROR(__xludf.DUMMYFUNCTION("GOOGLEFINANCE(""ASX:^STOXX50E"", ""low52"")"),"#N/A")</f>
        <v>#N/A</v>
      </c>
      <c r="I11" s="22">
        <v>5931.79</v>
      </c>
      <c r="J11" s="22">
        <v>5923.69</v>
      </c>
      <c r="K11" s="22">
        <v>5924.6</v>
      </c>
      <c r="L11" s="22">
        <v>0.0</v>
      </c>
    </row>
    <row r="12">
      <c r="A12" s="19" t="s">
        <v>4708</v>
      </c>
      <c r="B12" s="19" t="s">
        <v>4709</v>
      </c>
      <c r="C12" s="24" t="str">
        <f>IFERROR(__xludf.DUMMYFUNCTION("GOOGLEFINANCE(""ASX:^N225"", ""price"")"),"#N/A")</f>
        <v>#N/A</v>
      </c>
      <c r="D12" s="24"/>
      <c r="E12" s="25"/>
      <c r="F12" s="25" t="str">
        <f>IFERROR(__xludf.DUMMYFUNCTION("GOOGLEFINANCE(""ASX:^N225"", ""closeyest"")"),"#N/A")</f>
        <v>#N/A</v>
      </c>
      <c r="G12" s="25" t="str">
        <f>IFERROR(__xludf.DUMMYFUNCTION("GOOGLEFINANCE(""ASX:^N225"", ""high52"")"),"#N/A")</f>
        <v>#N/A</v>
      </c>
      <c r="H12" s="20" t="str">
        <f>IFERROR(__xludf.DUMMYFUNCTION("GOOGLEFINANCE(""ASX:^N225"", ""low52"")"),"#N/A")</f>
        <v>#N/A</v>
      </c>
      <c r="I12" s="22">
        <v>51961.98</v>
      </c>
      <c r="J12" s="22">
        <v>52518.08</v>
      </c>
      <c r="K12" s="26">
        <v>52636.87</v>
      </c>
      <c r="L12" s="26">
        <v>30792.74</v>
      </c>
    </row>
    <row r="13">
      <c r="A13" s="19" t="s">
        <v>4710</v>
      </c>
      <c r="B13" s="19" t="s">
        <v>4711</v>
      </c>
      <c r="C13" s="24" t="str">
        <f>IFERROR(__xludf.DUMMYFUNCTION("GOOGLEFINANCE(""ASX:^HSI"", ""price"")"),"#N/A")</f>
        <v>#N/A</v>
      </c>
      <c r="D13" s="24"/>
      <c r="E13" s="25"/>
      <c r="F13" s="25" t="str">
        <f>IFERROR(__xludf.DUMMYFUNCTION("GOOGLEFINANCE(""ASX:^HSI"", ""closeyest"")"),"#N/A")</f>
        <v>#N/A</v>
      </c>
      <c r="G13" s="25" t="str">
        <f>IFERROR(__xludf.DUMMYFUNCTION("GOOGLEFINANCE(""ASX:^HSI"", ""high52"")"),"#N/A")</f>
        <v>#N/A</v>
      </c>
      <c r="H13" s="20" t="str">
        <f>IFERROR(__xludf.DUMMYFUNCTION("GOOGLEFINANCE(""ASX:^HSI"", ""low52"")"),"#N/A")</f>
        <v>#N/A</v>
      </c>
      <c r="I13" s="22">
        <v>26432.04</v>
      </c>
      <c r="J13" s="22">
        <v>26710.45</v>
      </c>
      <c r="K13" s="26">
        <v>27381.84</v>
      </c>
      <c r="L13" s="26">
        <v>18671.49</v>
      </c>
    </row>
    <row r="14">
      <c r="A14" s="19" t="s">
        <v>4712</v>
      </c>
      <c r="B14" s="19" t="s">
        <v>4713</v>
      </c>
      <c r="C14" s="24" t="str">
        <f>IFERROR(__xludf.DUMMYFUNCTION("GOOGLEFINANCE(""ASX:AUDUSD=X"", ""price"")"),"#N/A")</f>
        <v>#N/A</v>
      </c>
      <c r="D14" s="24"/>
      <c r="E14" s="25"/>
      <c r="F14" s="25" t="str">
        <f>IFERROR(__xludf.DUMMYFUNCTION("GOOGLEFINANCE(""ASX:AUDUSD=X"", ""closeyest"")"),"#N/A")</f>
        <v>#N/A</v>
      </c>
      <c r="G14" s="25" t="str">
        <f>IFERROR(__xludf.DUMMYFUNCTION("GOOGLEFINANCE(""ASX:AUDUSD=X"", ""high52"")"),"#N/A")</f>
        <v>#N/A</v>
      </c>
      <c r="H14" s="20" t="str">
        <f>IFERROR(__xludf.DUMMYFUNCTION("GOOGLEFINANCE(""ASX:AUDUSD=X"", ""low52"")"),"#N/A")</f>
        <v>#N/A</v>
      </c>
      <c r="I14" s="22">
        <v>0.6743</v>
      </c>
      <c r="J14" s="22">
        <v>0.6739</v>
      </c>
      <c r="K14" s="26">
        <v>0.6769</v>
      </c>
      <c r="L14" s="26">
        <v>0.5923</v>
      </c>
    </row>
    <row r="15">
      <c r="A15" s="19" t="s">
        <v>4714</v>
      </c>
      <c r="B15" s="19" t="s">
        <v>4715</v>
      </c>
      <c r="C15" s="24" t="str">
        <f>IFERROR(__xludf.DUMMYFUNCTION("GOOGLEFINANCE(""ASX:AUDTHB=X"", ""price"")"),"#N/A")</f>
        <v>#N/A</v>
      </c>
      <c r="D15" s="24"/>
      <c r="E15" s="25"/>
      <c r="F15" s="25" t="str">
        <f>IFERROR(__xludf.DUMMYFUNCTION("GOOGLEFINANCE(""ASX:AUDTHB=X"", ""closeyest"")"),"#N/A")</f>
        <v>#N/A</v>
      </c>
      <c r="G15" s="25" t="str">
        <f>IFERROR(__xludf.DUMMYFUNCTION("GOOGLEFINANCE(""ASX:AUDTHB=X"", ""high52"")"),"#N/A")</f>
        <v>#N/A</v>
      </c>
      <c r="H15" s="20" t="str">
        <f>IFERROR(__xludf.DUMMYFUNCTION("GOOGLEFINANCE(""ASX:AUDTHB=X"", ""low52"")"),"#N/A")</f>
        <v>#N/A</v>
      </c>
      <c r="I15" s="22">
        <v>21.082</v>
      </c>
      <c r="J15" s="22">
        <v>21.018</v>
      </c>
      <c r="K15" s="26">
        <v>21.8402</v>
      </c>
      <c r="L15" s="26">
        <v>20.1133</v>
      </c>
    </row>
    <row r="16">
      <c r="A16" s="19" t="s">
        <v>4716</v>
      </c>
      <c r="B16" s="19" t="s">
        <v>4717</v>
      </c>
      <c r="C16" s="24" t="str">
        <f>IFERROR(__xludf.DUMMYFUNCTION("GOOGLEFINANCE(""ASX:AUDGBP=X"", ""price"")"),"#N/A")</f>
        <v>#N/A</v>
      </c>
      <c r="D16" s="21"/>
      <c r="F16" s="20" t="str">
        <f>IFERROR(__xludf.DUMMYFUNCTION("GOOGLEFINANCE(""ASX:AUDGBP=X"", ""closeyest"")"),"#N/A")</f>
        <v>#N/A</v>
      </c>
      <c r="G16" s="20" t="str">
        <f>IFERROR(__xludf.DUMMYFUNCTION("GOOGLEFINANCE(""ASX:AUDGBP=X"", ""high52"")"),"#N/A")</f>
        <v>#N/A</v>
      </c>
      <c r="H16" s="20" t="str">
        <f>IFERROR(__xludf.DUMMYFUNCTION("GOOGLEFINANCE(""ASX:AUDGBP=X"", ""low52"")"),"#N/A")</f>
        <v>#N/A</v>
      </c>
      <c r="I16" s="22">
        <v>0.499</v>
      </c>
      <c r="J16" s="22">
        <v>0.4985</v>
      </c>
      <c r="K16" s="22">
        <v>0.5103</v>
      </c>
      <c r="L16" s="22">
        <v>0.4621</v>
      </c>
    </row>
    <row r="17">
      <c r="A17" s="19" t="s">
        <v>4718</v>
      </c>
      <c r="B17" s="19" t="s">
        <v>4719</v>
      </c>
      <c r="C17" s="24" t="str">
        <f>IFERROR(__xludf.DUMMYFUNCTION("GOOGLEFINANCE(""ASX:AUDEUR=X"", ""price"")"),"#N/A")</f>
        <v>#N/A</v>
      </c>
      <c r="D17" s="21"/>
      <c r="F17" s="20" t="str">
        <f>IFERROR(__xludf.DUMMYFUNCTION("GOOGLEFINANCE(""ASX:AUDEUR=X"", ""closeyest"")"),"#N/A")</f>
        <v>#N/A</v>
      </c>
      <c r="G17" s="20" t="str">
        <f>IFERROR(__xludf.DUMMYFUNCTION("GOOGLEFINANCE(""ASX:AUDEUR=X"", ""high52"")"),"#N/A")</f>
        <v>#N/A</v>
      </c>
      <c r="H17" s="20" t="str">
        <f>IFERROR(__xludf.DUMMYFUNCTION("GOOGLEFINANCE(""ASX:AUDEUR=X"", ""low52"")"),"#N/A")</f>
        <v>#N/A</v>
      </c>
      <c r="I17" s="22">
        <v>0.5768</v>
      </c>
      <c r="J17" s="22">
        <v>0.5762</v>
      </c>
      <c r="K17" s="26">
        <v>0.6113</v>
      </c>
      <c r="L17" s="26">
        <v>0.539</v>
      </c>
    </row>
    <row r="18">
      <c r="A18" s="19" t="s">
        <v>4720</v>
      </c>
      <c r="B18" s="19" t="s">
        <v>4721</v>
      </c>
      <c r="C18" s="24" t="str">
        <f>IFERROR(__xludf.DUMMYFUNCTION("GOOGLEFINANCE(""ASX:AUDJPY=X"", ""price"")"),"#N/A")</f>
        <v>#N/A</v>
      </c>
      <c r="D18" s="24"/>
      <c r="E18" s="25"/>
      <c r="F18" s="25" t="str">
        <f>IFERROR(__xludf.DUMMYFUNCTION("GOOGLEFINANCE(""ASX:AUDJPY=X"", ""closeyest"")"),"#N/A")</f>
        <v>#N/A</v>
      </c>
      <c r="G18" s="25" t="str">
        <f>IFERROR(__xludf.DUMMYFUNCTION("GOOGLEFINANCE(""ASX:AUDJPY=X"", ""high52"")"),"#N/A")</f>
        <v>#N/A</v>
      </c>
      <c r="H18" s="20" t="str">
        <f>IFERROR(__xludf.DUMMYFUNCTION("GOOGLEFINANCE(""ASX:AUDJPY=X"", ""low52"")"),"#N/A")</f>
        <v>#N/A</v>
      </c>
      <c r="I18" s="22">
        <v>105.448</v>
      </c>
      <c r="J18" s="22">
        <v>105.481</v>
      </c>
      <c r="K18" s="26">
        <v>105.936</v>
      </c>
      <c r="L18" s="26">
        <v>86.176</v>
      </c>
    </row>
    <row r="19">
      <c r="A19" s="19" t="s">
        <v>4722</v>
      </c>
      <c r="B19" s="19" t="s">
        <v>4723</v>
      </c>
      <c r="C19" s="24" t="str">
        <f>IFERROR(__xludf.DUMMYFUNCTION("GOOGLEFINANCE(""ASX:AUDNZD=X"", ""price"")"),"#N/A")</f>
        <v>#N/A</v>
      </c>
      <c r="D19" s="24"/>
      <c r="E19" s="25"/>
      <c r="F19" s="25" t="str">
        <f>IFERROR(__xludf.DUMMYFUNCTION("GOOGLEFINANCE(""ASX:AUDNZD=X"", ""closeyest"")"),"#N/A")</f>
        <v>#N/A</v>
      </c>
      <c r="G19" s="25" t="str">
        <f>IFERROR(__xludf.DUMMYFUNCTION("GOOGLEFINANCE(""ASX:AUDNZD=X"", ""high52"")"),"#N/A")</f>
        <v>#N/A</v>
      </c>
      <c r="H19" s="20" t="str">
        <f>IFERROR(__xludf.DUMMYFUNCTION("GOOGLEFINANCE(""ASX:AUDNZD=X"", ""low52"")"),"#N/A")</f>
        <v>#N/A</v>
      </c>
      <c r="I19" s="22">
        <v>1.1656</v>
      </c>
      <c r="J19" s="22">
        <v>1.1644</v>
      </c>
      <c r="K19" s="26">
        <v>1.1693</v>
      </c>
      <c r="L19" s="26">
        <v>1.0646</v>
      </c>
    </row>
    <row r="20">
      <c r="A20" s="19" t="s">
        <v>4724</v>
      </c>
      <c r="B20" s="19" t="s">
        <v>4725</v>
      </c>
      <c r="C20" s="21" t="str">
        <f>IFERROR(__xludf.DUMMYFUNCTION("GOOGLEFINANCE(""ASX:USDTHB=X"", ""price"")"),"#N/A")</f>
        <v>#N/A</v>
      </c>
      <c r="D20" s="21"/>
      <c r="F20" s="20" t="str">
        <f>IFERROR(__xludf.DUMMYFUNCTION("GOOGLEFINANCE(""ASX:USDTHB=X"", ""closeyest"")"),"#N/A")</f>
        <v>#N/A</v>
      </c>
      <c r="G20" s="20" t="str">
        <f>IFERROR(__xludf.DUMMYFUNCTION("GOOGLEFINANCE(""ASX:USDTHB=X"", ""high52"")"),"#N/A")</f>
        <v>#N/A</v>
      </c>
      <c r="H20" s="20" t="str">
        <f>IFERROR(__xludf.DUMMYFUNCTION("GOOGLEFINANCE(""ASX:USDTHB=X"", ""low52"")"),"#N/A")</f>
        <v>#N/A</v>
      </c>
      <c r="I20" s="22">
        <v>31.28</v>
      </c>
      <c r="J20" s="22">
        <v>31.18</v>
      </c>
      <c r="K20" s="22">
        <v>34.98</v>
      </c>
      <c r="L20" s="22">
        <v>30.99</v>
      </c>
    </row>
    <row r="21">
      <c r="A21" s="19" t="s">
        <v>4726</v>
      </c>
      <c r="B21" s="19" t="s">
        <v>4727</v>
      </c>
      <c r="C21" s="21" t="str">
        <f>IFERROR(__xludf.DUMMYFUNCTION("GOOGLEFINANCE(""ASX:BTC-AUD"", ""price"")"),"#N/A")</f>
        <v>#N/A</v>
      </c>
      <c r="D21" s="21"/>
      <c r="F21" s="20" t="str">
        <f>IFERROR(__xludf.DUMMYFUNCTION("GOOGLEFINANCE(""ASX:BTC-AUD"", ""closeyest"")"),"#N/A")</f>
        <v>#N/A</v>
      </c>
      <c r="G21" s="20" t="str">
        <f>IFERROR(__xludf.DUMMYFUNCTION("GOOGLEFINANCE(""ASX:BTC-AUD"", ""high52"")"),"#N/A")</f>
        <v>#N/A</v>
      </c>
      <c r="H21" s="20" t="str">
        <f>IFERROR(__xludf.DUMMYFUNCTION("GOOGLEFINANCE(""ASX:BTC-AUD"", ""low52"")"),"#N/A")</f>
        <v>#N/A</v>
      </c>
      <c r="I21" s="22">
        <v>137629.77</v>
      </c>
      <c r="J21" s="22">
        <v>139136.38</v>
      </c>
      <c r="K21" s="22">
        <v>190699.92</v>
      </c>
      <c r="L21" s="22">
        <v>122046.34</v>
      </c>
    </row>
    <row r="22">
      <c r="A22" s="19" t="s">
        <v>4728</v>
      </c>
      <c r="B22" s="19" t="s">
        <v>4729</v>
      </c>
      <c r="C22" s="21" t="str">
        <f>IFERROR(__xludf.DUMMYFUNCTION("GOOGLEFINANCE(""ASX:BTC-USD"", ""price"")"),"#N/A")</f>
        <v>#N/A</v>
      </c>
      <c r="D22" s="21"/>
      <c r="F22" s="20" t="str">
        <f>IFERROR(__xludf.DUMMYFUNCTION("GOOGLEFINANCE(""ASX:BTC-USD"", ""closeyest"")"),"#N/A")</f>
        <v>#N/A</v>
      </c>
      <c r="G22" s="20" t="str">
        <f>IFERROR(__xludf.DUMMYFUNCTION("GOOGLEFINANCE(""ASX:BTC-USD"", ""high52"")"),"#N/A")</f>
        <v>#N/A</v>
      </c>
      <c r="H22" s="20" t="str">
        <f>IFERROR(__xludf.DUMMYFUNCTION("GOOGLEFINANCE(""ASX:BTC-USD"", ""low52"")"),"#N/A")</f>
        <v>#N/A</v>
      </c>
      <c r="I22" s="22">
        <v>92762.0</v>
      </c>
      <c r="J22" s="22">
        <v>93707.15</v>
      </c>
      <c r="K22" s="22">
        <v>126198.07</v>
      </c>
      <c r="L22" s="22">
        <v>74436.68</v>
      </c>
    </row>
    <row r="23">
      <c r="A23" s="19" t="s">
        <v>4730</v>
      </c>
      <c r="B23" s="19" t="s">
        <v>4731</v>
      </c>
      <c r="C23" s="21" t="str">
        <f>IFERROR(__xludf.DUMMYFUNCTION("GOOGLEFINANCE(""ASX:GC=F"", ""price"")"),"#N/A")</f>
        <v>#N/A</v>
      </c>
      <c r="D23" s="21"/>
      <c r="F23" s="20" t="str">
        <f>IFERROR(__xludf.DUMMYFUNCTION("GOOGLEFINANCE(""ASX:GC=F"", ""closeyest"")"),"#N/A")</f>
        <v>#N/A</v>
      </c>
      <c r="G23" s="20" t="str">
        <f>IFERROR(__xludf.DUMMYFUNCTION("GOOGLEFINANCE(""ASX:GC=F"", ""high52"")"),"#N/A")</f>
        <v>#N/A</v>
      </c>
      <c r="H23" s="20" t="str">
        <f>IFERROR(__xludf.DUMMYFUNCTION("GOOGLEFINANCE(""ASX:GC=F"", ""low52"")"),"#N/A")</f>
        <v>#N/A</v>
      </c>
      <c r="I23" s="22">
        <v>4470.9</v>
      </c>
      <c r="J23" s="22">
        <v>4496.1</v>
      </c>
      <c r="K23" s="22">
        <v>4556.3</v>
      </c>
      <c r="L23" s="22">
        <v>2653.5</v>
      </c>
    </row>
    <row r="24">
      <c r="A24" s="19" t="s">
        <v>4732</v>
      </c>
      <c r="B24" s="19" t="s">
        <v>4733</v>
      </c>
      <c r="C24" s="20" t="str">
        <f>IFERROR(__xludf.DUMMYFUNCTION("GOOGLEFINANCE(""ASX:SI=F"", ""price"")"),"#N/A")</f>
        <v>#N/A</v>
      </c>
      <c r="D24" s="23"/>
      <c r="E24" s="23"/>
      <c r="F24" s="23" t="str">
        <f>IFERROR(__xludf.DUMMYFUNCTION("GOOGLEFINANCE(""ASX:SI=F"", ""closeyest"")"),"#N/A")</f>
        <v>#N/A</v>
      </c>
      <c r="G24" s="23" t="str">
        <f>IFERROR(__xludf.DUMMYFUNCTION("GOOGLEFINANCE(""ASX:SI=F"", ""high52"")"),"#N/A")</f>
        <v>#N/A</v>
      </c>
      <c r="H24" s="20" t="str">
        <f>IFERROR(__xludf.DUMMYFUNCTION("GOOGLEFINANCE(""ASX:SI=F"", ""low52"")"),"#N/A")</f>
        <v>#N/A</v>
      </c>
      <c r="I24" s="22">
        <v>79.625</v>
      </c>
      <c r="J24" s="22">
        <v>81.039</v>
      </c>
      <c r="K24" s="22">
        <v>82.585</v>
      </c>
      <c r="L24" s="22">
        <v>28.31</v>
      </c>
    </row>
    <row r="25">
      <c r="A25" s="19" t="s">
        <v>4734</v>
      </c>
      <c r="B25" s="19" t="s">
        <v>4735</v>
      </c>
      <c r="C25" s="20" t="str">
        <f>IFERROR(__xludf.DUMMYFUNCTION("GOOGLEFINANCE(""ASX:HG=F"", ""price"")"),"#N/A")</f>
        <v>#N/A</v>
      </c>
      <c r="D25" s="21"/>
      <c r="E25" s="21"/>
      <c r="F25" s="20" t="str">
        <f>IFERROR(__xludf.DUMMYFUNCTION("GOOGLEFINANCE(""ASX:HG=F"", ""closeyest"")"),"#N/A")</f>
        <v>#N/A</v>
      </c>
      <c r="G25" s="20" t="str">
        <f>IFERROR(__xludf.DUMMYFUNCTION("GOOGLEFINANCE(""ASX:HG=F"", ""high52"")"),"#N/A")</f>
        <v>#N/A</v>
      </c>
      <c r="H25" s="20" t="str">
        <f>IFERROR(__xludf.DUMMYFUNCTION("GOOGLEFINANCE(""ASX:HG=F"", ""low52"")"),"#N/A")</f>
        <v>#N/A</v>
      </c>
      <c r="I25" s="22">
        <v>5.9955</v>
      </c>
      <c r="J25" s="22">
        <v>6.0625</v>
      </c>
      <c r="K25" s="22">
        <v>6.0695</v>
      </c>
      <c r="L25" s="22">
        <v>4.0985</v>
      </c>
    </row>
    <row r="26">
      <c r="A26" s="19" t="s">
        <v>4736</v>
      </c>
      <c r="B26" s="19" t="s">
        <v>4737</v>
      </c>
      <c r="C26" s="20" t="str">
        <f>IFERROR(__xludf.DUMMYFUNCTION("GOOGLEFINANCE(""ASX:CL=F"", ""price"")"),"#N/A")</f>
        <v>#N/A</v>
      </c>
      <c r="D26" s="21"/>
      <c r="E26" s="21"/>
      <c r="F26" s="20" t="str">
        <f>IFERROR(__xludf.DUMMYFUNCTION("GOOGLEFINANCE(""ASX:CL=F"", ""closeyest"")"),"#N/A")</f>
        <v>#N/A</v>
      </c>
      <c r="G26" s="20" t="str">
        <f>IFERROR(__xludf.DUMMYFUNCTION("GOOGLEFINANCE(""ASX:CL=F"", ""high52"")"),"#N/A")</f>
        <v>#N/A</v>
      </c>
      <c r="H26" s="20" t="str">
        <f>IFERROR(__xludf.DUMMYFUNCTION("GOOGLEFINANCE(""ASX:CL=F"", ""low52"")"),"#N/A")</f>
        <v>#N/A</v>
      </c>
      <c r="I26" s="22">
        <v>56.24</v>
      </c>
      <c r="J26" s="22">
        <v>57.13</v>
      </c>
      <c r="K26" s="22">
        <v>80.77</v>
      </c>
      <c r="L26" s="22">
        <v>54.98</v>
      </c>
    </row>
    <row r="27">
      <c r="A27" s="19" t="s">
        <v>4738</v>
      </c>
      <c r="B27" s="19" t="s">
        <v>4739</v>
      </c>
      <c r="C27" s="20" t="str">
        <f>IFERROR(__xludf.DUMMYFUNCTION("GOOGLEFINANCE(""ASX:BZ=F"", ""price"")"),"#N/A")</f>
        <v>#N/A</v>
      </c>
      <c r="D27" s="21"/>
      <c r="E27" s="21"/>
      <c r="F27" s="20" t="str">
        <f>IFERROR(__xludf.DUMMYFUNCTION("GOOGLEFINANCE(""ASX:BZ=F"", ""closeyest"")"),"#N/A")</f>
        <v>#N/A</v>
      </c>
      <c r="G27" s="20" t="str">
        <f>IFERROR(__xludf.DUMMYFUNCTION("GOOGLEFINANCE(""ASX:BZ=F"", ""high52"")"),"#N/A")</f>
        <v>#N/A</v>
      </c>
      <c r="H27" s="20" t="str">
        <f>IFERROR(__xludf.DUMMYFUNCTION("GOOGLEFINANCE(""ASX:BZ=F"", ""low52"")"),"#N/A")</f>
        <v>#N/A</v>
      </c>
      <c r="I27" s="22">
        <v>59.99</v>
      </c>
      <c r="J27" s="22">
        <v>60.7</v>
      </c>
      <c r="K27" s="22">
        <v>82.63</v>
      </c>
      <c r="L27" s="22">
        <v>58.39</v>
      </c>
    </row>
    <row r="28">
      <c r="A28" s="19" t="s">
        <v>4740</v>
      </c>
      <c r="B28" s="19" t="s">
        <v>4741</v>
      </c>
      <c r="C28" s="27" t="str">
        <f>IFERROR(__xludf.DUMMYFUNCTION("GOOGLEFINANCE(""ASX:TIO=F"", ""price"")"),"#N/A")</f>
        <v>#N/A</v>
      </c>
      <c r="D28" s="21"/>
      <c r="E28" s="21"/>
      <c r="F28" s="20" t="str">
        <f>IFERROR(__xludf.DUMMYFUNCTION("GOOGLEFINANCE(""ASX:TIO=F"", ""closeyest"")"),"#N/A")</f>
        <v>#N/A</v>
      </c>
      <c r="G28" s="20" t="str">
        <f>IFERROR(__xludf.DUMMYFUNCTION("GOOGLEFINANCE(""ASX:TIO=F"", ""high52"")"),"#N/A")</f>
        <v>#N/A</v>
      </c>
      <c r="H28" s="20" t="str">
        <f>IFERROR(__xludf.DUMMYFUNCTION("GOOGLEFINANCE(""ASX:TIO=F"", ""low52"")"),"#N/A")</f>
        <v>#N/A</v>
      </c>
      <c r="I28" s="22">
        <v>161.91</v>
      </c>
      <c r="J28" s="28">
        <v>133.82</v>
      </c>
      <c r="K28" s="22">
        <v>161.91</v>
      </c>
      <c r="L28" s="22">
        <v>93.41</v>
      </c>
    </row>
    <row r="29">
      <c r="A29" s="27"/>
      <c r="B29" s="27"/>
      <c r="C29" s="24"/>
      <c r="D29" s="29"/>
      <c r="E29" s="29"/>
      <c r="F29" s="29"/>
      <c r="G29" s="29"/>
      <c r="K29" s="24"/>
      <c r="L29" s="24"/>
    </row>
    <row r="30">
      <c r="A30" s="27"/>
      <c r="C30" s="24"/>
      <c r="D30" s="29"/>
      <c r="E30" s="29"/>
      <c r="F30" s="29"/>
      <c r="G30" s="29"/>
      <c r="K30" s="24"/>
      <c r="L30" s="24"/>
    </row>
    <row r="31">
      <c r="C31" s="24"/>
      <c r="D31" s="29"/>
      <c r="E31" s="29"/>
      <c r="F31" s="29"/>
      <c r="G31" s="29"/>
      <c r="K31" s="24"/>
      <c r="L31" s="24"/>
    </row>
    <row r="32">
      <c r="C32" s="24"/>
      <c r="D32" s="29"/>
      <c r="E32" s="29"/>
      <c r="F32" s="29"/>
      <c r="G32" s="29"/>
      <c r="K32" s="24"/>
      <c r="L32" s="24"/>
    </row>
    <row r="33">
      <c r="C33" s="24"/>
      <c r="D33" s="29"/>
      <c r="E33" s="29"/>
      <c r="F33" s="29"/>
      <c r="G33" s="29"/>
    </row>
    <row r="34">
      <c r="A34" s="27"/>
      <c r="B34" s="27"/>
      <c r="D34" s="21"/>
      <c r="E34" s="30"/>
      <c r="F34" s="30"/>
      <c r="G34" s="30"/>
    </row>
    <row r="35">
      <c r="A35" s="27"/>
      <c r="B35" s="27"/>
      <c r="D35" s="21"/>
    </row>
    <row r="36">
      <c r="A36" s="27"/>
      <c r="B36" s="27"/>
      <c r="D36" s="21"/>
    </row>
    <row r="37">
      <c r="A37" s="27"/>
      <c r="D37" s="21"/>
    </row>
    <row r="38">
      <c r="D38" s="21"/>
    </row>
    <row r="39">
      <c r="D39" s="21"/>
    </row>
    <row r="40">
      <c r="D40" s="21"/>
    </row>
    <row r="41">
      <c r="D41" s="21"/>
    </row>
    <row r="42">
      <c r="D42" s="21"/>
    </row>
    <row r="43">
      <c r="D43" s="21"/>
    </row>
    <row r="44">
      <c r="D44" s="21"/>
    </row>
    <row r="45">
      <c r="D45" s="21"/>
    </row>
    <row r="46">
      <c r="D46" s="21"/>
    </row>
    <row r="47">
      <c r="D47" s="21"/>
    </row>
    <row r="48">
      <c r="D48" s="21"/>
    </row>
    <row r="49">
      <c r="D49" s="21"/>
    </row>
    <row r="50">
      <c r="D50" s="21"/>
    </row>
    <row r="51">
      <c r="D51" s="21"/>
    </row>
    <row r="52">
      <c r="D52" s="21"/>
    </row>
    <row r="53">
      <c r="D53" s="21"/>
    </row>
    <row r="54">
      <c r="D54" s="21"/>
    </row>
    <row r="55">
      <c r="D55" s="21"/>
    </row>
    <row r="56">
      <c r="D56" s="21"/>
    </row>
    <row r="57">
      <c r="D57" s="21"/>
    </row>
    <row r="58">
      <c r="D58" s="21"/>
    </row>
    <row r="59">
      <c r="D59" s="21"/>
    </row>
    <row r="60">
      <c r="D60" s="21"/>
    </row>
    <row r="61">
      <c r="D61" s="21"/>
    </row>
    <row r="62">
      <c r="D62" s="21"/>
    </row>
    <row r="63">
      <c r="D63" s="21"/>
    </row>
    <row r="64">
      <c r="D64" s="21"/>
    </row>
    <row r="65">
      <c r="D65" s="21"/>
    </row>
    <row r="66">
      <c r="D66" s="21"/>
    </row>
    <row r="67">
      <c r="D67" s="21"/>
    </row>
    <row r="68">
      <c r="D68" s="21"/>
    </row>
    <row r="69">
      <c r="D69" s="21"/>
    </row>
    <row r="70">
      <c r="D70" s="21"/>
    </row>
    <row r="71">
      <c r="D71" s="21"/>
    </row>
    <row r="72">
      <c r="D72" s="21"/>
    </row>
    <row r="73">
      <c r="D73" s="21"/>
    </row>
    <row r="74">
      <c r="D74" s="21"/>
    </row>
    <row r="75">
      <c r="D75" s="21"/>
    </row>
    <row r="76">
      <c r="D76" s="21"/>
    </row>
    <row r="77">
      <c r="D77" s="21"/>
    </row>
    <row r="78">
      <c r="D78" s="21"/>
    </row>
    <row r="79">
      <c r="D79" s="21"/>
    </row>
    <row r="80">
      <c r="D80" s="21"/>
    </row>
    <row r="81">
      <c r="D81" s="21"/>
    </row>
    <row r="82">
      <c r="D82" s="21"/>
    </row>
    <row r="83">
      <c r="D83" s="21"/>
    </row>
    <row r="84">
      <c r="D84" s="21"/>
    </row>
    <row r="85">
      <c r="D85" s="21"/>
    </row>
    <row r="86">
      <c r="D86" s="21"/>
    </row>
    <row r="87">
      <c r="D87" s="21"/>
    </row>
    <row r="88">
      <c r="D88" s="21"/>
    </row>
    <row r="89">
      <c r="D89" s="21"/>
    </row>
    <row r="90">
      <c r="D90" s="21"/>
    </row>
    <row r="91">
      <c r="D91" s="21"/>
    </row>
    <row r="92">
      <c r="D92" s="21"/>
    </row>
    <row r="93">
      <c r="D93" s="21"/>
    </row>
    <row r="94">
      <c r="D94" s="21"/>
    </row>
    <row r="95">
      <c r="D95" s="21"/>
    </row>
    <row r="96">
      <c r="D96" s="21"/>
    </row>
    <row r="97">
      <c r="D97" s="21"/>
    </row>
    <row r="98">
      <c r="D98" s="21"/>
    </row>
    <row r="99">
      <c r="D99" s="21"/>
    </row>
    <row r="100">
      <c r="D100" s="21"/>
    </row>
    <row r="101">
      <c r="D101" s="21"/>
    </row>
    <row r="102">
      <c r="D102" s="21"/>
    </row>
    <row r="103">
      <c r="D103" s="21"/>
    </row>
    <row r="104">
      <c r="D104" s="21"/>
    </row>
    <row r="105">
      <c r="D105" s="21"/>
    </row>
    <row r="106">
      <c r="D106" s="21"/>
    </row>
    <row r="107">
      <c r="D107" s="21"/>
    </row>
    <row r="108">
      <c r="D108" s="21"/>
    </row>
    <row r="109">
      <c r="D109" s="21"/>
    </row>
    <row r="110">
      <c r="D110" s="21"/>
    </row>
    <row r="111">
      <c r="D111" s="21"/>
    </row>
    <row r="112">
      <c r="D112" s="21"/>
    </row>
    <row r="113">
      <c r="D113" s="21"/>
    </row>
    <row r="114">
      <c r="D114" s="21"/>
    </row>
    <row r="115">
      <c r="D115" s="21"/>
    </row>
    <row r="116">
      <c r="D116" s="21"/>
    </row>
    <row r="117">
      <c r="D117" s="21"/>
    </row>
    <row r="118">
      <c r="D118" s="21"/>
    </row>
    <row r="119">
      <c r="D119" s="21"/>
    </row>
    <row r="120">
      <c r="D120" s="21"/>
    </row>
    <row r="121">
      <c r="D121" s="21"/>
    </row>
    <row r="122">
      <c r="D122" s="21"/>
    </row>
    <row r="123">
      <c r="D123" s="21"/>
    </row>
    <row r="124">
      <c r="D124" s="21"/>
    </row>
    <row r="125">
      <c r="D125" s="21"/>
    </row>
    <row r="126">
      <c r="D126" s="21"/>
    </row>
    <row r="127">
      <c r="D127" s="21"/>
    </row>
    <row r="128">
      <c r="D128" s="21"/>
    </row>
    <row r="129">
      <c r="D129" s="21"/>
    </row>
    <row r="130">
      <c r="D130" s="21"/>
    </row>
    <row r="131">
      <c r="D131" s="21"/>
    </row>
    <row r="132">
      <c r="D132" s="21"/>
    </row>
    <row r="133">
      <c r="D133" s="21"/>
    </row>
    <row r="134">
      <c r="D134" s="21"/>
    </row>
    <row r="135">
      <c r="D135" s="21"/>
    </row>
    <row r="136">
      <c r="D136" s="21"/>
    </row>
    <row r="137">
      <c r="D137" s="21"/>
    </row>
    <row r="138">
      <c r="D138" s="21"/>
    </row>
    <row r="139">
      <c r="D139" s="21"/>
    </row>
    <row r="140">
      <c r="D140" s="21"/>
    </row>
    <row r="141">
      <c r="D141" s="21"/>
    </row>
    <row r="142">
      <c r="D142" s="21"/>
    </row>
    <row r="143">
      <c r="D143" s="21"/>
    </row>
    <row r="144">
      <c r="D144" s="21"/>
    </row>
    <row r="145">
      <c r="D145" s="21"/>
    </row>
    <row r="146">
      <c r="D146" s="21"/>
    </row>
    <row r="147">
      <c r="D147" s="21"/>
    </row>
    <row r="148">
      <c r="D148" s="21"/>
    </row>
    <row r="149">
      <c r="D149" s="21"/>
    </row>
    <row r="150">
      <c r="D150" s="21"/>
    </row>
    <row r="151">
      <c r="D151" s="21"/>
    </row>
    <row r="152">
      <c r="D152" s="21"/>
    </row>
    <row r="153">
      <c r="D153" s="21"/>
    </row>
    <row r="154">
      <c r="D154" s="21"/>
    </row>
    <row r="155">
      <c r="D155" s="21"/>
    </row>
    <row r="156">
      <c r="D156" s="21"/>
    </row>
    <row r="157">
      <c r="D157" s="21"/>
    </row>
    <row r="158">
      <c r="D158" s="21"/>
    </row>
    <row r="159">
      <c r="D159" s="21"/>
    </row>
    <row r="160">
      <c r="D160" s="21"/>
    </row>
    <row r="161">
      <c r="D161" s="21"/>
    </row>
    <row r="162">
      <c r="D162" s="21"/>
    </row>
    <row r="163">
      <c r="D163" s="21"/>
    </row>
    <row r="164">
      <c r="D164" s="21"/>
    </row>
    <row r="165">
      <c r="D165" s="21"/>
    </row>
    <row r="166">
      <c r="D166" s="21"/>
    </row>
    <row r="167">
      <c r="D167" s="21"/>
    </row>
    <row r="168">
      <c r="D168" s="21"/>
    </row>
    <row r="169">
      <c r="D169" s="21"/>
    </row>
    <row r="170">
      <c r="D170" s="21"/>
    </row>
    <row r="171">
      <c r="D171" s="21"/>
    </row>
    <row r="172">
      <c r="D172" s="21"/>
    </row>
    <row r="173">
      <c r="D173" s="21"/>
    </row>
    <row r="174">
      <c r="D174" s="21"/>
    </row>
    <row r="175">
      <c r="D175" s="21"/>
    </row>
    <row r="176">
      <c r="D176" s="21"/>
    </row>
    <row r="177">
      <c r="D177" s="21"/>
    </row>
    <row r="178">
      <c r="D178" s="21"/>
    </row>
    <row r="179">
      <c r="D179" s="21"/>
    </row>
    <row r="180">
      <c r="D180" s="21"/>
    </row>
    <row r="181">
      <c r="D181" s="21"/>
    </row>
    <row r="182">
      <c r="D182" s="21"/>
    </row>
    <row r="183">
      <c r="D183" s="21"/>
    </row>
    <row r="184">
      <c r="D184" s="21"/>
    </row>
    <row r="185">
      <c r="D185" s="21"/>
    </row>
    <row r="186">
      <c r="D186" s="21"/>
    </row>
    <row r="187">
      <c r="D187" s="21"/>
    </row>
    <row r="188">
      <c r="D188" s="21"/>
    </row>
    <row r="189">
      <c r="D189" s="21"/>
    </row>
    <row r="190">
      <c r="D190" s="21"/>
    </row>
    <row r="191">
      <c r="D191" s="21"/>
    </row>
    <row r="192">
      <c r="D192" s="21"/>
    </row>
    <row r="193">
      <c r="D193" s="21"/>
    </row>
    <row r="194">
      <c r="D194" s="21"/>
    </row>
    <row r="195">
      <c r="D195" s="21"/>
    </row>
    <row r="196">
      <c r="D196" s="21"/>
    </row>
    <row r="197">
      <c r="D197" s="21"/>
    </row>
    <row r="198">
      <c r="D198" s="21"/>
    </row>
    <row r="199">
      <c r="D199" s="21"/>
    </row>
    <row r="200">
      <c r="D200" s="21"/>
    </row>
    <row r="201">
      <c r="D201" s="21"/>
    </row>
    <row r="202">
      <c r="D202" s="21"/>
    </row>
    <row r="203">
      <c r="D203" s="21"/>
    </row>
    <row r="204">
      <c r="D204" s="21"/>
    </row>
    <row r="205">
      <c r="D205" s="21"/>
    </row>
    <row r="206">
      <c r="D206" s="21"/>
    </row>
    <row r="207">
      <c r="D207" s="21"/>
    </row>
    <row r="208">
      <c r="D208" s="21"/>
    </row>
    <row r="209">
      <c r="D209" s="21"/>
    </row>
    <row r="210">
      <c r="D210" s="21"/>
    </row>
    <row r="211">
      <c r="D211" s="21"/>
    </row>
    <row r="212">
      <c r="D212" s="21"/>
    </row>
    <row r="213">
      <c r="D213" s="21"/>
    </row>
    <row r="214">
      <c r="D214" s="21"/>
    </row>
    <row r="215">
      <c r="D215" s="21"/>
    </row>
    <row r="216">
      <c r="D216" s="21"/>
    </row>
    <row r="217">
      <c r="D217" s="21"/>
    </row>
    <row r="218">
      <c r="D218" s="21"/>
    </row>
    <row r="219">
      <c r="D219" s="21"/>
    </row>
    <row r="220">
      <c r="D220" s="21"/>
    </row>
    <row r="221">
      <c r="D221" s="21"/>
    </row>
    <row r="222">
      <c r="D222" s="21"/>
    </row>
    <row r="223">
      <c r="D223" s="21"/>
    </row>
    <row r="224">
      <c r="D224" s="21"/>
    </row>
    <row r="225">
      <c r="D225" s="21"/>
    </row>
    <row r="226">
      <c r="D226" s="21"/>
    </row>
    <row r="227">
      <c r="D227" s="21"/>
    </row>
    <row r="228">
      <c r="D228" s="21"/>
    </row>
    <row r="229">
      <c r="D229" s="21"/>
    </row>
    <row r="230">
      <c r="D230" s="21"/>
    </row>
    <row r="231">
      <c r="D231" s="21"/>
    </row>
    <row r="232">
      <c r="D232" s="21"/>
    </row>
    <row r="233">
      <c r="D233" s="21"/>
    </row>
    <row r="234">
      <c r="D234" s="21"/>
    </row>
    <row r="235">
      <c r="D235" s="21"/>
    </row>
    <row r="236">
      <c r="D236" s="21"/>
    </row>
    <row r="237">
      <c r="D237" s="21"/>
    </row>
    <row r="238">
      <c r="D238" s="21"/>
    </row>
    <row r="239">
      <c r="D239" s="21"/>
    </row>
    <row r="240">
      <c r="D240" s="21"/>
    </row>
    <row r="241">
      <c r="D241" s="21"/>
    </row>
    <row r="242">
      <c r="D242" s="21"/>
    </row>
    <row r="243">
      <c r="D243" s="21"/>
    </row>
    <row r="244">
      <c r="D244" s="21"/>
    </row>
    <row r="245">
      <c r="D245" s="21"/>
    </row>
    <row r="246">
      <c r="D246" s="21"/>
    </row>
    <row r="247">
      <c r="D247" s="21"/>
    </row>
    <row r="248">
      <c r="D248" s="21"/>
    </row>
    <row r="249">
      <c r="D249" s="21"/>
    </row>
    <row r="250">
      <c r="D250" s="21"/>
    </row>
    <row r="251">
      <c r="D251" s="21"/>
    </row>
    <row r="252">
      <c r="D252" s="21"/>
    </row>
    <row r="253">
      <c r="D253" s="21"/>
    </row>
    <row r="254">
      <c r="D254" s="21"/>
    </row>
    <row r="255">
      <c r="D255" s="21"/>
    </row>
    <row r="256">
      <c r="D256" s="21"/>
    </row>
    <row r="257">
      <c r="D257" s="21"/>
    </row>
    <row r="258">
      <c r="D258" s="21"/>
    </row>
    <row r="259">
      <c r="D259" s="21"/>
    </row>
    <row r="260">
      <c r="D260" s="21"/>
    </row>
    <row r="261">
      <c r="D261" s="21"/>
    </row>
    <row r="262">
      <c r="D262" s="21"/>
    </row>
    <row r="263">
      <c r="D263" s="21"/>
    </row>
    <row r="264">
      <c r="D264" s="21"/>
    </row>
    <row r="265">
      <c r="D265" s="21"/>
    </row>
    <row r="266">
      <c r="D266" s="21"/>
    </row>
    <row r="267">
      <c r="D267" s="21"/>
    </row>
    <row r="268">
      <c r="D268" s="21"/>
    </row>
    <row r="269">
      <c r="D269" s="21"/>
    </row>
    <row r="270">
      <c r="D270" s="21"/>
    </row>
    <row r="271">
      <c r="D271" s="21"/>
    </row>
    <row r="272">
      <c r="D272" s="21"/>
    </row>
    <row r="273">
      <c r="D273" s="21"/>
    </row>
    <row r="274">
      <c r="D274" s="21"/>
    </row>
    <row r="275">
      <c r="D275" s="21"/>
    </row>
    <row r="276">
      <c r="D276" s="21"/>
    </row>
    <row r="277">
      <c r="D277" s="21"/>
    </row>
    <row r="278">
      <c r="D278" s="21"/>
    </row>
    <row r="279">
      <c r="D279" s="21"/>
    </row>
    <row r="280">
      <c r="D280" s="21"/>
    </row>
    <row r="281">
      <c r="D281" s="21"/>
    </row>
    <row r="282">
      <c r="D282" s="21"/>
    </row>
    <row r="283">
      <c r="D283" s="21"/>
    </row>
    <row r="284">
      <c r="D284" s="21"/>
    </row>
    <row r="285">
      <c r="D285" s="21"/>
    </row>
    <row r="286">
      <c r="D286" s="21"/>
    </row>
    <row r="287">
      <c r="D287" s="21"/>
    </row>
    <row r="288">
      <c r="D288" s="21"/>
    </row>
    <row r="289">
      <c r="D289" s="21"/>
    </row>
    <row r="290">
      <c r="D290" s="21"/>
    </row>
    <row r="291">
      <c r="D291" s="21"/>
    </row>
    <row r="292">
      <c r="D292" s="21"/>
    </row>
    <row r="293">
      <c r="D293" s="21"/>
    </row>
    <row r="294">
      <c r="D294" s="21"/>
    </row>
    <row r="295">
      <c r="D295" s="21"/>
    </row>
    <row r="296">
      <c r="D296" s="21"/>
    </row>
    <row r="297">
      <c r="D297" s="21"/>
    </row>
    <row r="298">
      <c r="D298" s="21"/>
    </row>
    <row r="299">
      <c r="D299" s="21"/>
    </row>
    <row r="300">
      <c r="D300" s="21"/>
    </row>
    <row r="301">
      <c r="D301" s="21"/>
    </row>
    <row r="302">
      <c r="D302" s="21"/>
    </row>
    <row r="303">
      <c r="D303" s="21"/>
    </row>
    <row r="304">
      <c r="D304" s="21"/>
    </row>
    <row r="305">
      <c r="D305" s="21"/>
    </row>
    <row r="306">
      <c r="D306" s="21"/>
    </row>
    <row r="307">
      <c r="D307" s="21"/>
    </row>
    <row r="308">
      <c r="D308" s="21"/>
    </row>
    <row r="309">
      <c r="D309" s="21"/>
    </row>
    <row r="310">
      <c r="D310" s="21"/>
    </row>
    <row r="311">
      <c r="D311" s="21"/>
    </row>
    <row r="312">
      <c r="D312" s="21"/>
    </row>
    <row r="313">
      <c r="D313" s="21"/>
    </row>
    <row r="314">
      <c r="D314" s="21"/>
    </row>
    <row r="315">
      <c r="D315" s="21"/>
    </row>
    <row r="316">
      <c r="D316" s="21"/>
    </row>
    <row r="317">
      <c r="D317" s="21"/>
    </row>
    <row r="318">
      <c r="D318" s="21"/>
    </row>
    <row r="319">
      <c r="D319" s="21"/>
    </row>
    <row r="320">
      <c r="D320" s="21"/>
    </row>
    <row r="321">
      <c r="D321" s="21"/>
    </row>
    <row r="322">
      <c r="D322" s="21"/>
    </row>
    <row r="323">
      <c r="D323" s="21"/>
    </row>
    <row r="324">
      <c r="D324" s="21"/>
    </row>
    <row r="325">
      <c r="D325" s="21"/>
    </row>
    <row r="326">
      <c r="D326" s="21"/>
    </row>
    <row r="327">
      <c r="D327" s="21"/>
    </row>
    <row r="328">
      <c r="D328" s="21"/>
    </row>
    <row r="329">
      <c r="D329" s="21"/>
    </row>
    <row r="330">
      <c r="D330" s="21"/>
    </row>
    <row r="331">
      <c r="D331" s="21"/>
    </row>
    <row r="332">
      <c r="D332" s="21"/>
    </row>
    <row r="333">
      <c r="D333" s="21"/>
    </row>
    <row r="334">
      <c r="D334" s="21"/>
    </row>
    <row r="335">
      <c r="D335" s="21"/>
    </row>
    <row r="336">
      <c r="D336" s="21"/>
    </row>
    <row r="337">
      <c r="D337" s="21"/>
    </row>
    <row r="338">
      <c r="D338" s="21"/>
    </row>
    <row r="339">
      <c r="D339" s="21"/>
    </row>
    <row r="340">
      <c r="D340" s="21"/>
    </row>
    <row r="341">
      <c r="D341" s="21"/>
    </row>
    <row r="342">
      <c r="D342" s="21"/>
    </row>
    <row r="343">
      <c r="D343" s="21"/>
    </row>
    <row r="344">
      <c r="D344" s="21"/>
    </row>
    <row r="345">
      <c r="D345" s="21"/>
    </row>
    <row r="346">
      <c r="D346" s="21"/>
    </row>
    <row r="347">
      <c r="D347" s="21"/>
    </row>
    <row r="348">
      <c r="D348" s="21"/>
    </row>
    <row r="349">
      <c r="D349" s="21"/>
    </row>
    <row r="350">
      <c r="D350" s="21"/>
    </row>
    <row r="351">
      <c r="D351" s="21"/>
    </row>
    <row r="352">
      <c r="D352" s="21"/>
    </row>
    <row r="353">
      <c r="D353" s="21"/>
    </row>
    <row r="354">
      <c r="D354" s="21"/>
    </row>
    <row r="355">
      <c r="D355" s="21"/>
    </row>
    <row r="356">
      <c r="D356" s="21"/>
    </row>
    <row r="357">
      <c r="D357" s="21"/>
    </row>
    <row r="358">
      <c r="D358" s="21"/>
    </row>
    <row r="359">
      <c r="D359" s="21"/>
    </row>
    <row r="360">
      <c r="D360" s="21"/>
    </row>
    <row r="361">
      <c r="D361" s="21"/>
    </row>
    <row r="362">
      <c r="D362" s="21"/>
    </row>
    <row r="363">
      <c r="D363" s="21"/>
    </row>
    <row r="364">
      <c r="D364" s="21"/>
    </row>
    <row r="365">
      <c r="D365" s="21"/>
    </row>
    <row r="366">
      <c r="D366" s="21"/>
    </row>
    <row r="367">
      <c r="D367" s="21"/>
    </row>
    <row r="368">
      <c r="D368" s="21"/>
    </row>
    <row r="369">
      <c r="D369" s="21"/>
    </row>
    <row r="370">
      <c r="D370" s="21"/>
    </row>
    <row r="371">
      <c r="D371" s="21"/>
    </row>
    <row r="372">
      <c r="D372" s="21"/>
    </row>
    <row r="373">
      <c r="D373" s="21"/>
    </row>
    <row r="374">
      <c r="D374" s="21"/>
    </row>
    <row r="375">
      <c r="D375" s="21"/>
    </row>
    <row r="376">
      <c r="D376" s="21"/>
    </row>
    <row r="377">
      <c r="D377" s="21"/>
    </row>
    <row r="378">
      <c r="D378" s="21"/>
    </row>
    <row r="379">
      <c r="D379" s="21"/>
    </row>
    <row r="380">
      <c r="D380" s="21"/>
    </row>
    <row r="381">
      <c r="D381" s="21"/>
    </row>
    <row r="382">
      <c r="D382" s="21"/>
    </row>
    <row r="383">
      <c r="D383" s="21"/>
    </row>
    <row r="384">
      <c r="D384" s="21"/>
    </row>
    <row r="385">
      <c r="D385" s="21"/>
    </row>
    <row r="386">
      <c r="D386" s="21"/>
    </row>
    <row r="387">
      <c r="D387" s="21"/>
    </row>
    <row r="388">
      <c r="D388" s="21"/>
    </row>
    <row r="389">
      <c r="D389" s="21"/>
    </row>
    <row r="390">
      <c r="D390" s="21"/>
    </row>
    <row r="391">
      <c r="D391" s="21"/>
    </row>
    <row r="392">
      <c r="D392" s="21"/>
    </row>
    <row r="393">
      <c r="D393" s="21"/>
    </row>
    <row r="394">
      <c r="D394" s="21"/>
    </row>
    <row r="395">
      <c r="D395" s="21"/>
    </row>
    <row r="396">
      <c r="D396" s="21"/>
    </row>
    <row r="397">
      <c r="D397" s="21"/>
    </row>
    <row r="398">
      <c r="D398" s="21"/>
    </row>
    <row r="399">
      <c r="D399" s="21"/>
    </row>
    <row r="400">
      <c r="D400" s="21"/>
    </row>
    <row r="401">
      <c r="D401" s="21"/>
    </row>
    <row r="402">
      <c r="D402" s="21"/>
    </row>
    <row r="403">
      <c r="D403" s="21"/>
    </row>
    <row r="404">
      <c r="D404" s="21"/>
    </row>
    <row r="405">
      <c r="D405" s="21"/>
    </row>
    <row r="406">
      <c r="D406" s="21"/>
    </row>
    <row r="407">
      <c r="D407" s="21"/>
    </row>
    <row r="408">
      <c r="D408" s="21"/>
    </row>
    <row r="409">
      <c r="D409" s="21"/>
    </row>
    <row r="410">
      <c r="D410" s="21"/>
    </row>
    <row r="411">
      <c r="D411" s="21"/>
    </row>
    <row r="412">
      <c r="D412" s="21"/>
    </row>
    <row r="413">
      <c r="D413" s="21"/>
    </row>
    <row r="414">
      <c r="D414" s="21"/>
    </row>
    <row r="415">
      <c r="D415" s="21"/>
    </row>
    <row r="416">
      <c r="D416" s="21"/>
    </row>
    <row r="417">
      <c r="D417" s="21"/>
    </row>
    <row r="418">
      <c r="D418" s="21"/>
    </row>
    <row r="419">
      <c r="D419" s="21"/>
    </row>
    <row r="420">
      <c r="D420" s="21"/>
    </row>
    <row r="421">
      <c r="D421" s="21"/>
    </row>
    <row r="422">
      <c r="D422" s="21"/>
    </row>
    <row r="423">
      <c r="D423" s="21"/>
    </row>
    <row r="424">
      <c r="D424" s="21"/>
    </row>
    <row r="425">
      <c r="D425" s="21"/>
    </row>
    <row r="426">
      <c r="D426" s="21"/>
    </row>
    <row r="427">
      <c r="D427" s="21"/>
    </row>
    <row r="428">
      <c r="D428" s="21"/>
    </row>
    <row r="429">
      <c r="D429" s="21"/>
    </row>
    <row r="430">
      <c r="D430" s="21"/>
    </row>
    <row r="431">
      <c r="D431" s="21"/>
    </row>
    <row r="432">
      <c r="D432" s="21"/>
    </row>
    <row r="433">
      <c r="D433" s="21"/>
    </row>
    <row r="434">
      <c r="D434" s="21"/>
    </row>
    <row r="435">
      <c r="D435" s="21"/>
    </row>
    <row r="436">
      <c r="D436" s="21"/>
    </row>
    <row r="437">
      <c r="D437" s="21"/>
    </row>
    <row r="438">
      <c r="D438" s="21"/>
    </row>
    <row r="439">
      <c r="D439" s="21"/>
    </row>
    <row r="440">
      <c r="D440" s="21"/>
    </row>
    <row r="441">
      <c r="D441" s="21"/>
    </row>
    <row r="442">
      <c r="D442" s="21"/>
    </row>
    <row r="443">
      <c r="D443" s="21"/>
    </row>
    <row r="444">
      <c r="D444" s="21"/>
    </row>
    <row r="445">
      <c r="D445" s="21"/>
    </row>
    <row r="446">
      <c r="D446" s="21"/>
    </row>
    <row r="447">
      <c r="D447" s="21"/>
    </row>
    <row r="448">
      <c r="D448" s="21"/>
    </row>
    <row r="449">
      <c r="D449" s="21"/>
    </row>
    <row r="450">
      <c r="D450" s="21"/>
    </row>
    <row r="451">
      <c r="D451" s="21"/>
    </row>
    <row r="452">
      <c r="D452" s="21"/>
    </row>
    <row r="453">
      <c r="D453" s="21"/>
    </row>
    <row r="454">
      <c r="D454" s="21"/>
    </row>
    <row r="455">
      <c r="D455" s="21"/>
    </row>
    <row r="456">
      <c r="D456" s="21"/>
    </row>
    <row r="457">
      <c r="D457" s="21"/>
    </row>
    <row r="458">
      <c r="D458" s="21"/>
    </row>
    <row r="459">
      <c r="D459" s="21"/>
    </row>
    <row r="460">
      <c r="D460" s="21"/>
    </row>
    <row r="461">
      <c r="D461" s="21"/>
    </row>
    <row r="462">
      <c r="D462" s="21"/>
    </row>
    <row r="463">
      <c r="D463" s="21"/>
    </row>
    <row r="464">
      <c r="D464" s="21"/>
    </row>
    <row r="465">
      <c r="D465" s="21"/>
    </row>
    <row r="466">
      <c r="D466" s="21"/>
    </row>
    <row r="467">
      <c r="D467" s="21"/>
    </row>
    <row r="468">
      <c r="D468" s="21"/>
    </row>
    <row r="469">
      <c r="D469" s="21"/>
    </row>
    <row r="470">
      <c r="D470" s="21"/>
    </row>
    <row r="471">
      <c r="D471" s="21"/>
    </row>
    <row r="472">
      <c r="D472" s="21"/>
    </row>
    <row r="473">
      <c r="D473" s="21"/>
    </row>
    <row r="474">
      <c r="D474" s="21"/>
    </row>
    <row r="475">
      <c r="D475" s="21"/>
    </row>
    <row r="476">
      <c r="D476" s="21"/>
    </row>
    <row r="477">
      <c r="D477" s="21"/>
    </row>
    <row r="478">
      <c r="D478" s="21"/>
    </row>
    <row r="479">
      <c r="D479" s="21"/>
    </row>
    <row r="480">
      <c r="D480" s="21"/>
    </row>
    <row r="481">
      <c r="D481" s="21"/>
    </row>
    <row r="482">
      <c r="D482" s="21"/>
    </row>
    <row r="483">
      <c r="D483" s="21"/>
    </row>
    <row r="484">
      <c r="D484" s="21"/>
    </row>
    <row r="485">
      <c r="D485" s="21"/>
    </row>
    <row r="486">
      <c r="D486" s="21"/>
    </row>
    <row r="487">
      <c r="D487" s="21"/>
    </row>
    <row r="488">
      <c r="D488" s="21"/>
    </row>
    <row r="489">
      <c r="D489" s="21"/>
    </row>
    <row r="490">
      <c r="D490" s="21"/>
    </row>
    <row r="491">
      <c r="D491" s="21"/>
    </row>
    <row r="492">
      <c r="D492" s="21"/>
    </row>
    <row r="493">
      <c r="D493" s="21"/>
    </row>
    <row r="494">
      <c r="D494" s="21"/>
    </row>
    <row r="495">
      <c r="D495" s="21"/>
    </row>
    <row r="496">
      <c r="D496" s="21"/>
    </row>
    <row r="497">
      <c r="D497" s="21"/>
    </row>
    <row r="498">
      <c r="D498" s="21"/>
    </row>
    <row r="499">
      <c r="D499" s="21"/>
    </row>
    <row r="500">
      <c r="D500" s="21"/>
    </row>
    <row r="501">
      <c r="D501" s="21"/>
    </row>
    <row r="502">
      <c r="D502" s="21"/>
    </row>
    <row r="503">
      <c r="D503" s="21"/>
    </row>
    <row r="504">
      <c r="D504" s="21"/>
    </row>
    <row r="505">
      <c r="D505" s="21"/>
    </row>
    <row r="506">
      <c r="D506" s="21"/>
    </row>
    <row r="507">
      <c r="D507" s="21"/>
    </row>
    <row r="508">
      <c r="D508" s="21"/>
    </row>
    <row r="509">
      <c r="D509" s="21"/>
    </row>
    <row r="510">
      <c r="D510" s="21"/>
    </row>
    <row r="511">
      <c r="D511" s="21"/>
    </row>
    <row r="512">
      <c r="D512" s="21"/>
    </row>
    <row r="513">
      <c r="D513" s="21"/>
    </row>
    <row r="514">
      <c r="D514" s="21"/>
    </row>
    <row r="515">
      <c r="D515" s="21"/>
    </row>
    <row r="516">
      <c r="D516" s="21"/>
    </row>
    <row r="517">
      <c r="D517" s="21"/>
    </row>
    <row r="518">
      <c r="D518" s="21"/>
    </row>
    <row r="519">
      <c r="D519" s="21"/>
    </row>
    <row r="520">
      <c r="D520" s="21"/>
    </row>
    <row r="521">
      <c r="D521" s="21"/>
    </row>
    <row r="522">
      <c r="D522" s="21"/>
    </row>
    <row r="523">
      <c r="D523" s="21"/>
    </row>
    <row r="524">
      <c r="D524" s="21"/>
    </row>
    <row r="525">
      <c r="D525" s="21"/>
    </row>
    <row r="526">
      <c r="D526" s="21"/>
    </row>
    <row r="527">
      <c r="D527" s="21"/>
    </row>
    <row r="528">
      <c r="D528" s="21"/>
    </row>
    <row r="529">
      <c r="D529" s="21"/>
    </row>
    <row r="530">
      <c r="D530" s="21"/>
    </row>
    <row r="531">
      <c r="D531" s="21"/>
    </row>
    <row r="532">
      <c r="D532" s="21"/>
    </row>
    <row r="533">
      <c r="D533" s="21"/>
    </row>
    <row r="534">
      <c r="D534" s="21"/>
    </row>
    <row r="535">
      <c r="D535" s="21"/>
    </row>
    <row r="536">
      <c r="D536" s="21"/>
    </row>
    <row r="537">
      <c r="D537" s="21"/>
    </row>
    <row r="538">
      <c r="D538" s="21"/>
    </row>
    <row r="539">
      <c r="D539" s="21"/>
    </row>
    <row r="540">
      <c r="D540" s="21"/>
    </row>
    <row r="541">
      <c r="D541" s="21"/>
    </row>
    <row r="542">
      <c r="D542" s="21"/>
    </row>
    <row r="543">
      <c r="D543" s="21"/>
    </row>
    <row r="544">
      <c r="D544" s="21"/>
    </row>
    <row r="545">
      <c r="D545" s="21"/>
    </row>
    <row r="546">
      <c r="D546" s="21"/>
    </row>
    <row r="547">
      <c r="D547" s="21"/>
    </row>
    <row r="548">
      <c r="D548" s="21"/>
    </row>
    <row r="549">
      <c r="D549" s="21"/>
    </row>
    <row r="550">
      <c r="D550" s="21"/>
    </row>
    <row r="551">
      <c r="D551" s="21"/>
    </row>
    <row r="552">
      <c r="D552" s="21"/>
    </row>
    <row r="553">
      <c r="D553" s="21"/>
    </row>
    <row r="554">
      <c r="D554" s="21"/>
    </row>
    <row r="555">
      <c r="D555" s="21"/>
    </row>
    <row r="556">
      <c r="D556" s="21"/>
    </row>
    <row r="557">
      <c r="D557" s="21"/>
    </row>
    <row r="558">
      <c r="D558" s="21"/>
    </row>
    <row r="559">
      <c r="D559" s="21"/>
    </row>
    <row r="560">
      <c r="D560" s="21"/>
    </row>
    <row r="561">
      <c r="D561" s="21"/>
    </row>
    <row r="562">
      <c r="D562" s="21"/>
    </row>
    <row r="563">
      <c r="D563" s="21"/>
    </row>
    <row r="564">
      <c r="D564" s="21"/>
    </row>
    <row r="565">
      <c r="D565" s="21"/>
    </row>
    <row r="566">
      <c r="D566" s="21"/>
    </row>
    <row r="567">
      <c r="D567" s="21"/>
    </row>
    <row r="568">
      <c r="D568" s="21"/>
    </row>
    <row r="569">
      <c r="D569" s="21"/>
    </row>
    <row r="570">
      <c r="D570" s="21"/>
    </row>
    <row r="571">
      <c r="D571" s="21"/>
    </row>
    <row r="572">
      <c r="D572" s="21"/>
    </row>
    <row r="573">
      <c r="D573" s="21"/>
    </row>
    <row r="574">
      <c r="D574" s="21"/>
    </row>
    <row r="575">
      <c r="D575" s="21"/>
    </row>
    <row r="576">
      <c r="D576" s="21"/>
    </row>
    <row r="577">
      <c r="D577" s="21"/>
    </row>
    <row r="578">
      <c r="D578" s="21"/>
    </row>
    <row r="579">
      <c r="D579" s="21"/>
    </row>
    <row r="580">
      <c r="D580" s="21"/>
    </row>
    <row r="581">
      <c r="D581" s="21"/>
    </row>
    <row r="582">
      <c r="D582" s="21"/>
    </row>
    <row r="583">
      <c r="D583" s="21"/>
    </row>
    <row r="584">
      <c r="D584" s="21"/>
    </row>
    <row r="585">
      <c r="D585" s="21"/>
    </row>
    <row r="586">
      <c r="D586" s="21"/>
    </row>
    <row r="587">
      <c r="D587" s="21"/>
    </row>
    <row r="588">
      <c r="D588" s="21"/>
    </row>
    <row r="589">
      <c r="D589" s="21"/>
    </row>
    <row r="590">
      <c r="D590" s="21"/>
    </row>
    <row r="591">
      <c r="D591" s="21"/>
    </row>
    <row r="592">
      <c r="D592" s="21"/>
    </row>
    <row r="593">
      <c r="D593" s="21"/>
    </row>
    <row r="594">
      <c r="D594" s="21"/>
    </row>
    <row r="595">
      <c r="D595" s="21"/>
    </row>
    <row r="596">
      <c r="D596" s="21"/>
    </row>
    <row r="597">
      <c r="D597" s="21"/>
    </row>
    <row r="598">
      <c r="D598" s="21"/>
    </row>
    <row r="599">
      <c r="D599" s="21"/>
    </row>
    <row r="600">
      <c r="D600" s="21"/>
    </row>
    <row r="601">
      <c r="D601" s="21"/>
    </row>
    <row r="602">
      <c r="D602" s="21"/>
    </row>
    <row r="603">
      <c r="D603" s="21"/>
    </row>
    <row r="604">
      <c r="D604" s="21"/>
    </row>
    <row r="605">
      <c r="D605" s="21"/>
    </row>
    <row r="606">
      <c r="D606" s="21"/>
    </row>
    <row r="607">
      <c r="D607" s="21"/>
    </row>
    <row r="608">
      <c r="D608" s="21"/>
    </row>
    <row r="609">
      <c r="D609" s="21"/>
    </row>
    <row r="610">
      <c r="D610" s="21"/>
    </row>
    <row r="611">
      <c r="D611" s="21"/>
    </row>
    <row r="612">
      <c r="D612" s="21"/>
    </row>
    <row r="613">
      <c r="D613" s="21"/>
    </row>
    <row r="614">
      <c r="D614" s="21"/>
    </row>
    <row r="615">
      <c r="D615" s="21"/>
    </row>
    <row r="616">
      <c r="D616" s="21"/>
    </row>
    <row r="617">
      <c r="D617" s="21"/>
    </row>
    <row r="618">
      <c r="D618" s="21"/>
    </row>
    <row r="619">
      <c r="D619" s="21"/>
    </row>
    <row r="620">
      <c r="D620" s="21"/>
    </row>
    <row r="621">
      <c r="D621" s="21"/>
    </row>
    <row r="622">
      <c r="D622" s="21"/>
    </row>
    <row r="623">
      <c r="D623" s="21"/>
    </row>
    <row r="624">
      <c r="D624" s="21"/>
    </row>
    <row r="625">
      <c r="D625" s="21"/>
    </row>
    <row r="626">
      <c r="D626" s="21"/>
    </row>
    <row r="627">
      <c r="D627" s="21"/>
    </row>
    <row r="628">
      <c r="D628" s="21"/>
    </row>
    <row r="629">
      <c r="D629" s="21"/>
    </row>
    <row r="630">
      <c r="D630" s="21"/>
    </row>
    <row r="631">
      <c r="D631" s="21"/>
    </row>
    <row r="632">
      <c r="D632" s="21"/>
    </row>
    <row r="633">
      <c r="D633" s="21"/>
    </row>
    <row r="634">
      <c r="D634" s="21"/>
    </row>
    <row r="635">
      <c r="D635" s="21"/>
    </row>
    <row r="636">
      <c r="D636" s="21"/>
    </row>
    <row r="637">
      <c r="D637" s="21"/>
    </row>
    <row r="638">
      <c r="D638" s="21"/>
    </row>
    <row r="639">
      <c r="D639" s="21"/>
    </row>
    <row r="640">
      <c r="D640" s="21"/>
    </row>
    <row r="641">
      <c r="D641" s="21"/>
    </row>
    <row r="642">
      <c r="D642" s="21"/>
    </row>
    <row r="643">
      <c r="D643" s="21"/>
    </row>
    <row r="644">
      <c r="D644" s="21"/>
    </row>
    <row r="645">
      <c r="D645" s="21"/>
    </row>
    <row r="646">
      <c r="D646" s="21"/>
    </row>
    <row r="647">
      <c r="D647" s="21"/>
    </row>
    <row r="648">
      <c r="D648" s="21"/>
    </row>
    <row r="649">
      <c r="D649" s="21"/>
    </row>
    <row r="650">
      <c r="D650" s="21"/>
    </row>
    <row r="651">
      <c r="D651" s="21"/>
    </row>
    <row r="652">
      <c r="D652" s="21"/>
    </row>
    <row r="653">
      <c r="D653" s="21"/>
    </row>
    <row r="654">
      <c r="D654" s="21"/>
    </row>
    <row r="655">
      <c r="D655" s="21"/>
    </row>
    <row r="656">
      <c r="D656" s="21"/>
    </row>
    <row r="657">
      <c r="D657" s="21"/>
    </row>
    <row r="658">
      <c r="D658" s="21"/>
    </row>
    <row r="659">
      <c r="D659" s="21"/>
    </row>
    <row r="660">
      <c r="D660" s="21"/>
    </row>
    <row r="661">
      <c r="D661" s="21"/>
    </row>
    <row r="662">
      <c r="D662" s="21"/>
    </row>
    <row r="663">
      <c r="D663" s="21"/>
    </row>
    <row r="664">
      <c r="D664" s="21"/>
    </row>
    <row r="665">
      <c r="D665" s="21"/>
    </row>
    <row r="666">
      <c r="D666" s="21"/>
    </row>
    <row r="667">
      <c r="D667" s="21"/>
    </row>
    <row r="668">
      <c r="D668" s="21"/>
    </row>
    <row r="669">
      <c r="D669" s="21"/>
    </row>
    <row r="670">
      <c r="D670" s="21"/>
    </row>
    <row r="671">
      <c r="D671" s="21"/>
    </row>
    <row r="672">
      <c r="D672" s="21"/>
    </row>
    <row r="673">
      <c r="D673" s="21"/>
    </row>
    <row r="674">
      <c r="D674" s="21"/>
    </row>
    <row r="675">
      <c r="D675" s="21"/>
    </row>
    <row r="676">
      <c r="D676" s="21"/>
    </row>
    <row r="677">
      <c r="D677" s="21"/>
    </row>
    <row r="678">
      <c r="D678" s="21"/>
    </row>
    <row r="679">
      <c r="D679" s="21"/>
    </row>
    <row r="680">
      <c r="D680" s="21"/>
    </row>
    <row r="681">
      <c r="D681" s="21"/>
    </row>
    <row r="682">
      <c r="D682" s="21"/>
    </row>
    <row r="683">
      <c r="D683" s="21"/>
    </row>
    <row r="684">
      <c r="D684" s="21"/>
    </row>
    <row r="685">
      <c r="D685" s="21"/>
    </row>
    <row r="686">
      <c r="D686" s="21"/>
    </row>
    <row r="687">
      <c r="D687" s="21"/>
    </row>
    <row r="688">
      <c r="D688" s="21"/>
    </row>
    <row r="689">
      <c r="D689" s="21"/>
    </row>
    <row r="690">
      <c r="D690" s="21"/>
    </row>
    <row r="691">
      <c r="D691" s="21"/>
    </row>
    <row r="692">
      <c r="D692" s="21"/>
    </row>
    <row r="693">
      <c r="D693" s="21"/>
    </row>
    <row r="694">
      <c r="D694" s="21"/>
    </row>
    <row r="695">
      <c r="D695" s="21"/>
    </row>
    <row r="696">
      <c r="D696" s="21"/>
    </row>
    <row r="697">
      <c r="D697" s="21"/>
    </row>
    <row r="698">
      <c r="D698" s="21"/>
    </row>
    <row r="699">
      <c r="D699" s="21"/>
    </row>
    <row r="700">
      <c r="D700" s="21"/>
    </row>
    <row r="701">
      <c r="D701" s="21"/>
    </row>
    <row r="702">
      <c r="D702" s="21"/>
    </row>
    <row r="703">
      <c r="D703" s="21"/>
    </row>
    <row r="704">
      <c r="D704" s="21"/>
    </row>
    <row r="705">
      <c r="D705" s="21"/>
    </row>
    <row r="706">
      <c r="D706" s="21"/>
    </row>
    <row r="707">
      <c r="D707" s="21"/>
    </row>
    <row r="708">
      <c r="D708" s="21"/>
    </row>
    <row r="709">
      <c r="D709" s="21"/>
    </row>
    <row r="710">
      <c r="D710" s="21"/>
    </row>
    <row r="711">
      <c r="D711" s="21"/>
    </row>
    <row r="712">
      <c r="D712" s="21"/>
    </row>
    <row r="713">
      <c r="D713" s="21"/>
    </row>
    <row r="714">
      <c r="D714" s="21"/>
    </row>
    <row r="715">
      <c r="D715" s="21"/>
    </row>
    <row r="716">
      <c r="D716" s="21"/>
    </row>
    <row r="717">
      <c r="D717" s="21"/>
    </row>
    <row r="718">
      <c r="D718" s="21"/>
    </row>
    <row r="719">
      <c r="D719" s="21"/>
    </row>
    <row r="720">
      <c r="D720" s="21"/>
    </row>
    <row r="721">
      <c r="D721" s="21"/>
    </row>
    <row r="722">
      <c r="D722" s="21"/>
    </row>
    <row r="723">
      <c r="D723" s="21"/>
    </row>
    <row r="724">
      <c r="D724" s="21"/>
    </row>
    <row r="725">
      <c r="D725" s="21"/>
    </row>
    <row r="726">
      <c r="D726" s="21"/>
    </row>
    <row r="727">
      <c r="D727" s="21"/>
    </row>
    <row r="728">
      <c r="D728" s="21"/>
    </row>
    <row r="729">
      <c r="D729" s="21"/>
    </row>
    <row r="730">
      <c r="D730" s="21"/>
    </row>
    <row r="731">
      <c r="D731" s="21"/>
    </row>
    <row r="732">
      <c r="D732" s="21"/>
    </row>
    <row r="733">
      <c r="D733" s="21"/>
    </row>
    <row r="734">
      <c r="D734" s="21"/>
    </row>
    <row r="735">
      <c r="D735" s="21"/>
    </row>
    <row r="736">
      <c r="D736" s="21"/>
    </row>
    <row r="737">
      <c r="D737" s="21"/>
    </row>
    <row r="738">
      <c r="D738" s="21"/>
    </row>
    <row r="739">
      <c r="D739" s="21"/>
    </row>
    <row r="740">
      <c r="D740" s="21"/>
    </row>
    <row r="741">
      <c r="D741" s="21"/>
    </row>
    <row r="742">
      <c r="D742" s="21"/>
    </row>
    <row r="743">
      <c r="D743" s="21"/>
    </row>
    <row r="744">
      <c r="D744" s="21"/>
    </row>
    <row r="745">
      <c r="D745" s="21"/>
    </row>
    <row r="746">
      <c r="D746" s="21"/>
    </row>
    <row r="747">
      <c r="D747" s="21"/>
    </row>
    <row r="748">
      <c r="D748" s="21"/>
    </row>
    <row r="749">
      <c r="D749" s="21"/>
    </row>
    <row r="750">
      <c r="D750" s="21"/>
    </row>
    <row r="751">
      <c r="D751" s="21"/>
    </row>
    <row r="752">
      <c r="D752" s="21"/>
    </row>
    <row r="753">
      <c r="D753" s="21"/>
    </row>
    <row r="754">
      <c r="D754" s="21"/>
    </row>
    <row r="755">
      <c r="D755" s="21"/>
    </row>
    <row r="756">
      <c r="D756" s="21"/>
    </row>
    <row r="757">
      <c r="D757" s="21"/>
    </row>
    <row r="758">
      <c r="D758" s="21"/>
    </row>
    <row r="759">
      <c r="D759" s="21"/>
    </row>
    <row r="760">
      <c r="D760" s="21"/>
    </row>
    <row r="761">
      <c r="D761" s="21"/>
    </row>
    <row r="762">
      <c r="D762" s="21"/>
    </row>
    <row r="763">
      <c r="D763" s="21"/>
    </row>
    <row r="764">
      <c r="D764" s="21"/>
    </row>
    <row r="765">
      <c r="D765" s="21"/>
    </row>
    <row r="766">
      <c r="D766" s="21"/>
    </row>
    <row r="767">
      <c r="D767" s="21"/>
    </row>
    <row r="768">
      <c r="D768" s="21"/>
    </row>
    <row r="769">
      <c r="D769" s="21"/>
    </row>
    <row r="770">
      <c r="D770" s="21"/>
    </row>
    <row r="771">
      <c r="D771" s="21"/>
    </row>
    <row r="772">
      <c r="D772" s="21"/>
    </row>
    <row r="773">
      <c r="D773" s="21"/>
    </row>
    <row r="774">
      <c r="D774" s="21"/>
    </row>
    <row r="775">
      <c r="D775" s="21"/>
    </row>
    <row r="776">
      <c r="D776" s="21"/>
    </row>
    <row r="777">
      <c r="D777" s="21"/>
    </row>
    <row r="778">
      <c r="D778" s="21"/>
    </row>
    <row r="779">
      <c r="D779" s="21"/>
    </row>
    <row r="780">
      <c r="D780" s="21"/>
    </row>
    <row r="781">
      <c r="D781" s="21"/>
    </row>
    <row r="782">
      <c r="D782" s="21"/>
    </row>
    <row r="783">
      <c r="D783" s="21"/>
    </row>
    <row r="784">
      <c r="D784" s="21"/>
    </row>
    <row r="785">
      <c r="D785" s="21"/>
    </row>
    <row r="786">
      <c r="D786" s="21"/>
    </row>
    <row r="787">
      <c r="D787" s="21"/>
    </row>
    <row r="788">
      <c r="D788" s="21"/>
    </row>
    <row r="789">
      <c r="D789" s="21"/>
    </row>
    <row r="790">
      <c r="D790" s="21"/>
    </row>
    <row r="791">
      <c r="D791" s="21"/>
    </row>
    <row r="792">
      <c r="D792" s="21"/>
    </row>
    <row r="793">
      <c r="D793" s="21"/>
    </row>
    <row r="794">
      <c r="D794" s="21"/>
    </row>
    <row r="795">
      <c r="D795" s="21"/>
    </row>
    <row r="796">
      <c r="D796" s="21"/>
    </row>
    <row r="797">
      <c r="D797" s="21"/>
    </row>
    <row r="798">
      <c r="D798" s="21"/>
    </row>
    <row r="799">
      <c r="D799" s="21"/>
    </row>
    <row r="800">
      <c r="D800" s="21"/>
    </row>
    <row r="801">
      <c r="D801" s="21"/>
    </row>
    <row r="802">
      <c r="D802" s="21"/>
    </row>
    <row r="803">
      <c r="D803" s="21"/>
    </row>
    <row r="804">
      <c r="D804" s="21"/>
    </row>
    <row r="805">
      <c r="D805" s="21"/>
    </row>
    <row r="806">
      <c r="D806" s="21"/>
    </row>
    <row r="807">
      <c r="D807" s="21"/>
    </row>
    <row r="808">
      <c r="D808" s="21"/>
    </row>
    <row r="809">
      <c r="D809" s="21"/>
    </row>
    <row r="810">
      <c r="D810" s="21"/>
    </row>
    <row r="811">
      <c r="D811" s="21"/>
    </row>
    <row r="812">
      <c r="D812" s="21"/>
    </row>
    <row r="813">
      <c r="D813" s="21"/>
    </row>
    <row r="814">
      <c r="D814" s="21"/>
    </row>
    <row r="815">
      <c r="D815" s="21"/>
    </row>
    <row r="816">
      <c r="D816" s="21"/>
    </row>
    <row r="817">
      <c r="D817" s="21"/>
    </row>
    <row r="818">
      <c r="D818" s="21"/>
    </row>
    <row r="819">
      <c r="D819" s="21"/>
    </row>
    <row r="820">
      <c r="D820" s="21"/>
    </row>
    <row r="821">
      <c r="D821" s="21"/>
    </row>
    <row r="822">
      <c r="D822" s="21"/>
    </row>
    <row r="823">
      <c r="D823" s="21"/>
    </row>
    <row r="824">
      <c r="D824" s="21"/>
    </row>
    <row r="825">
      <c r="D825" s="21"/>
    </row>
    <row r="826">
      <c r="D826" s="21"/>
    </row>
    <row r="827">
      <c r="D827" s="21"/>
    </row>
    <row r="828">
      <c r="D828" s="21"/>
    </row>
    <row r="829">
      <c r="D829" s="21"/>
    </row>
    <row r="830">
      <c r="D830" s="21"/>
    </row>
    <row r="831">
      <c r="D831" s="21"/>
    </row>
    <row r="832">
      <c r="D832" s="21"/>
    </row>
    <row r="833">
      <c r="D833" s="21"/>
    </row>
    <row r="834">
      <c r="D834" s="21"/>
    </row>
    <row r="835">
      <c r="D835" s="21"/>
    </row>
    <row r="836">
      <c r="D836" s="21"/>
    </row>
    <row r="837">
      <c r="D837" s="21"/>
    </row>
    <row r="838">
      <c r="D838" s="21"/>
    </row>
    <row r="839">
      <c r="D839" s="21"/>
    </row>
    <row r="840">
      <c r="D840" s="21"/>
    </row>
    <row r="841">
      <c r="D841" s="21"/>
    </row>
    <row r="842">
      <c r="D842" s="21"/>
    </row>
    <row r="843">
      <c r="D843" s="21"/>
    </row>
    <row r="844">
      <c r="D844" s="21"/>
    </row>
    <row r="845">
      <c r="D845" s="21"/>
    </row>
    <row r="846">
      <c r="D846" s="21"/>
    </row>
    <row r="847">
      <c r="D847" s="21"/>
    </row>
    <row r="848">
      <c r="D848" s="21"/>
    </row>
    <row r="849">
      <c r="D849" s="21"/>
    </row>
    <row r="850">
      <c r="D850" s="21"/>
    </row>
    <row r="851">
      <c r="D851" s="21"/>
    </row>
    <row r="852">
      <c r="D852" s="21"/>
    </row>
    <row r="853">
      <c r="D853" s="21"/>
    </row>
    <row r="854">
      <c r="D854" s="21"/>
    </row>
    <row r="855">
      <c r="D855" s="21"/>
    </row>
    <row r="856">
      <c r="D856" s="21"/>
    </row>
    <row r="857">
      <c r="D857" s="21"/>
    </row>
    <row r="858">
      <c r="D858" s="21"/>
    </row>
    <row r="859">
      <c r="D859" s="21"/>
    </row>
    <row r="860">
      <c r="D860" s="21"/>
    </row>
    <row r="861">
      <c r="D861" s="21"/>
    </row>
    <row r="862">
      <c r="D862" s="21"/>
    </row>
    <row r="863">
      <c r="D863" s="21"/>
    </row>
    <row r="864">
      <c r="D864" s="21"/>
    </row>
    <row r="865">
      <c r="D865" s="21"/>
    </row>
    <row r="866">
      <c r="D866" s="21"/>
    </row>
    <row r="867">
      <c r="D867" s="21"/>
    </row>
    <row r="868">
      <c r="D868" s="21"/>
    </row>
    <row r="869">
      <c r="D869" s="21"/>
    </row>
    <row r="870">
      <c r="D870" s="21"/>
    </row>
    <row r="871">
      <c r="D871" s="21"/>
    </row>
    <row r="872">
      <c r="D872" s="21"/>
    </row>
    <row r="873">
      <c r="D873" s="21"/>
    </row>
    <row r="874">
      <c r="D874" s="21"/>
    </row>
    <row r="875">
      <c r="D875" s="21"/>
    </row>
    <row r="876">
      <c r="D876" s="21"/>
    </row>
    <row r="877">
      <c r="D877" s="21"/>
    </row>
    <row r="878">
      <c r="D878" s="21"/>
    </row>
    <row r="879">
      <c r="D879" s="21"/>
    </row>
    <row r="880">
      <c r="D880" s="21"/>
    </row>
    <row r="881">
      <c r="D881" s="21"/>
    </row>
    <row r="882">
      <c r="D882" s="21"/>
    </row>
    <row r="883">
      <c r="D883" s="21"/>
    </row>
    <row r="884">
      <c r="D884" s="21"/>
    </row>
    <row r="885">
      <c r="D885" s="21"/>
    </row>
    <row r="886">
      <c r="D886" s="21"/>
    </row>
    <row r="887">
      <c r="D887" s="21"/>
    </row>
    <row r="888">
      <c r="D888" s="21"/>
    </row>
    <row r="889">
      <c r="D889" s="21"/>
    </row>
    <row r="890">
      <c r="D890" s="21"/>
    </row>
    <row r="891">
      <c r="D891" s="21"/>
    </row>
    <row r="892">
      <c r="D892" s="21"/>
    </row>
    <row r="893">
      <c r="D893" s="21"/>
    </row>
    <row r="894">
      <c r="D894" s="21"/>
    </row>
    <row r="895">
      <c r="D895" s="21"/>
    </row>
    <row r="896">
      <c r="D896" s="21"/>
    </row>
    <row r="897">
      <c r="D897" s="21"/>
    </row>
    <row r="898">
      <c r="D898" s="21"/>
    </row>
    <row r="899">
      <c r="D899" s="21"/>
    </row>
    <row r="900">
      <c r="D900" s="21"/>
    </row>
    <row r="901">
      <c r="D901" s="21"/>
    </row>
    <row r="902">
      <c r="D902" s="21"/>
    </row>
    <row r="903">
      <c r="D903" s="21"/>
    </row>
    <row r="904">
      <c r="D904" s="21"/>
    </row>
    <row r="905">
      <c r="D905" s="21"/>
    </row>
    <row r="906">
      <c r="D906" s="21"/>
    </row>
    <row r="907">
      <c r="D907" s="21"/>
    </row>
    <row r="908">
      <c r="D908" s="21"/>
    </row>
    <row r="909">
      <c r="D909" s="21"/>
    </row>
    <row r="910">
      <c r="D910" s="21"/>
    </row>
    <row r="911">
      <c r="D911" s="21"/>
    </row>
    <row r="912">
      <c r="D912" s="21"/>
    </row>
    <row r="913">
      <c r="D913" s="21"/>
    </row>
    <row r="914">
      <c r="D914" s="21"/>
    </row>
    <row r="915">
      <c r="D915" s="21"/>
    </row>
    <row r="916">
      <c r="D916" s="21"/>
    </row>
    <row r="917">
      <c r="D917" s="21"/>
    </row>
    <row r="918">
      <c r="D918" s="21"/>
    </row>
    <row r="919">
      <c r="D919" s="21"/>
    </row>
    <row r="920">
      <c r="D920" s="21"/>
    </row>
    <row r="921">
      <c r="D921" s="21"/>
    </row>
    <row r="922">
      <c r="D922" s="21"/>
    </row>
    <row r="923">
      <c r="D923" s="21"/>
    </row>
    <row r="924">
      <c r="D924" s="21"/>
    </row>
    <row r="925">
      <c r="D925" s="21"/>
    </row>
    <row r="926">
      <c r="D926" s="21"/>
    </row>
    <row r="927">
      <c r="D927" s="21"/>
    </row>
    <row r="928">
      <c r="D928" s="21"/>
    </row>
    <row r="929">
      <c r="D929" s="21"/>
    </row>
    <row r="930">
      <c r="D930" s="21"/>
    </row>
    <row r="931">
      <c r="D931" s="21"/>
    </row>
    <row r="932">
      <c r="D932" s="21"/>
    </row>
    <row r="933">
      <c r="D933" s="21"/>
    </row>
    <row r="934">
      <c r="D934" s="21"/>
    </row>
    <row r="935">
      <c r="D935" s="21"/>
    </row>
    <row r="936">
      <c r="D936" s="21"/>
    </row>
    <row r="937">
      <c r="D937" s="21"/>
    </row>
    <row r="938">
      <c r="D938" s="21"/>
    </row>
    <row r="939">
      <c r="D939" s="21"/>
    </row>
    <row r="940">
      <c r="D940" s="21"/>
    </row>
    <row r="941">
      <c r="D941" s="21"/>
    </row>
    <row r="942">
      <c r="D942" s="21"/>
    </row>
    <row r="943">
      <c r="D943" s="21"/>
    </row>
    <row r="944">
      <c r="D944" s="21"/>
    </row>
    <row r="945">
      <c r="D945" s="21"/>
    </row>
    <row r="946">
      <c r="D946" s="21"/>
    </row>
    <row r="947">
      <c r="D947" s="21"/>
    </row>
    <row r="948">
      <c r="D948" s="21"/>
    </row>
    <row r="949">
      <c r="D949" s="21"/>
    </row>
    <row r="950">
      <c r="D950" s="21"/>
    </row>
    <row r="951">
      <c r="D951" s="21"/>
    </row>
    <row r="952">
      <c r="D952" s="21"/>
    </row>
    <row r="953">
      <c r="D953" s="21"/>
    </row>
    <row r="954">
      <c r="D954" s="21"/>
    </row>
    <row r="955">
      <c r="D955" s="21"/>
    </row>
    <row r="956">
      <c r="D956" s="21"/>
    </row>
    <row r="957">
      <c r="D957" s="21"/>
    </row>
    <row r="958">
      <c r="D958" s="21"/>
    </row>
    <row r="959">
      <c r="D959" s="21"/>
    </row>
    <row r="960">
      <c r="D960" s="21"/>
    </row>
    <row r="961">
      <c r="D961" s="21"/>
    </row>
    <row r="962">
      <c r="D962" s="21"/>
    </row>
    <row r="963">
      <c r="D963" s="21"/>
    </row>
    <row r="964">
      <c r="D964" s="21"/>
    </row>
    <row r="965">
      <c r="D965" s="21"/>
    </row>
    <row r="966">
      <c r="D966" s="21"/>
    </row>
    <row r="967">
      <c r="D967" s="21"/>
    </row>
    <row r="968">
      <c r="D968" s="21"/>
    </row>
    <row r="969">
      <c r="D969" s="21"/>
    </row>
    <row r="970">
      <c r="D970" s="21"/>
    </row>
    <row r="971">
      <c r="D971" s="21"/>
    </row>
    <row r="972">
      <c r="D972" s="21"/>
    </row>
    <row r="973">
      <c r="D973" s="21"/>
    </row>
    <row r="974">
      <c r="D974" s="21"/>
    </row>
    <row r="975">
      <c r="D975" s="21"/>
    </row>
    <row r="976">
      <c r="D976" s="21"/>
    </row>
    <row r="977">
      <c r="D977" s="21"/>
    </row>
    <row r="978">
      <c r="D978" s="21"/>
    </row>
    <row r="979">
      <c r="D979" s="21"/>
    </row>
    <row r="980">
      <c r="D980" s="21"/>
    </row>
    <row r="981">
      <c r="D981" s="21"/>
    </row>
    <row r="982">
      <c r="D982" s="21"/>
    </row>
    <row r="983">
      <c r="D983" s="21"/>
    </row>
    <row r="984">
      <c r="D984" s="21"/>
    </row>
    <row r="985">
      <c r="D985" s="21"/>
    </row>
    <row r="986">
      <c r="D986" s="21"/>
    </row>
    <row r="987">
      <c r="D987" s="21"/>
    </row>
    <row r="988">
      <c r="D988" s="21"/>
    </row>
    <row r="989">
      <c r="D989" s="21"/>
    </row>
    <row r="990">
      <c r="D990" s="21"/>
    </row>
    <row r="991">
      <c r="D991" s="21"/>
    </row>
    <row r="992">
      <c r="D992" s="21"/>
    </row>
    <row r="993">
      <c r="D993" s="21"/>
    </row>
    <row r="994">
      <c r="D994" s="21"/>
    </row>
    <row r="995">
      <c r="D995" s="21"/>
    </row>
    <row r="996">
      <c r="D996" s="21"/>
    </row>
    <row r="997">
      <c r="D997" s="21"/>
    </row>
    <row r="998">
      <c r="D998" s="21"/>
    </row>
    <row r="999">
      <c r="D999" s="21"/>
    </row>
    <row r="1000">
      <c r="D1000" s="2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A3" s="31" t="s">
        <v>4692</v>
      </c>
      <c r="B3" s="31" t="s">
        <v>4693</v>
      </c>
      <c r="C3" s="32">
        <f>IFERROR(__xludf.DUMMYFUNCTION("GOOGLEFINANCE(""INDEXASX:""&amp;A3, ""price"")"),8665.6)</f>
        <v>8665.6</v>
      </c>
      <c r="D3" s="33"/>
      <c r="E3" s="34"/>
      <c r="F3" s="32">
        <f>IFERROR(__xludf.DUMMYFUNCTION("GOOGLEFINANCE(""INDEXASX:""&amp;A3, ""closeyest"")"),8651.3)</f>
        <v>8651.3</v>
      </c>
      <c r="G3" s="35">
        <f>IFERROR(__xludf.DUMMYFUNCTION("GOOGLEFINANCE(""INDEXASX:""&amp;A3, ""high52"")"),9069.9)</f>
        <v>9069.9</v>
      </c>
      <c r="H3" s="34">
        <f>IFERROR(__xludf.DUMMYFUNCTION("GOOGLEFINANCE(""INDEXASX:""&amp;A3, ""low52"")"),7107.6)</f>
        <v>7107.6</v>
      </c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</cols>
  <sheetData>
    <row r="1">
      <c r="A1" s="37">
        <v>1.0</v>
      </c>
      <c r="B1" s="19" t="s">
        <v>4742</v>
      </c>
      <c r="C1" s="38" t="s">
        <v>4743</v>
      </c>
    </row>
    <row r="2">
      <c r="A2" s="37">
        <v>2.0</v>
      </c>
      <c r="B2" s="19" t="s">
        <v>4744</v>
      </c>
      <c r="C2" s="38" t="s">
        <v>4745</v>
      </c>
    </row>
    <row r="3">
      <c r="A3" s="37">
        <v>3.0</v>
      </c>
      <c r="B3" s="19" t="s">
        <v>4746</v>
      </c>
      <c r="C3" s="38" t="s">
        <v>4747</v>
      </c>
    </row>
    <row r="4">
      <c r="A4" s="37">
        <v>4.0</v>
      </c>
      <c r="B4" s="19" t="s">
        <v>4748</v>
      </c>
      <c r="C4" s="38" t="s">
        <v>4749</v>
      </c>
    </row>
    <row r="5">
      <c r="A5" s="37">
        <v>5.0</v>
      </c>
      <c r="B5" s="19" t="s">
        <v>4750</v>
      </c>
      <c r="C5" s="38" t="s">
        <v>4751</v>
      </c>
    </row>
    <row r="6">
      <c r="A6" s="37">
        <v>6.0</v>
      </c>
      <c r="B6" s="19" t="s">
        <v>4752</v>
      </c>
      <c r="C6" s="38" t="s">
        <v>4753</v>
      </c>
    </row>
    <row r="7">
      <c r="A7" s="37">
        <v>7.0</v>
      </c>
      <c r="B7" s="19" t="s">
        <v>4754</v>
      </c>
      <c r="C7" s="38" t="s">
        <v>4755</v>
      </c>
    </row>
    <row r="8">
      <c r="A8" s="37">
        <v>8.0</v>
      </c>
      <c r="B8" s="19" t="s">
        <v>4756</v>
      </c>
      <c r="C8" s="38" t="s">
        <v>4757</v>
      </c>
    </row>
    <row r="9">
      <c r="A9" s="37">
        <v>9.0</v>
      </c>
      <c r="B9" s="19" t="s">
        <v>4758</v>
      </c>
      <c r="C9" s="38" t="s">
        <v>4759</v>
      </c>
    </row>
    <row r="10">
      <c r="A10" s="37">
        <v>10.0</v>
      </c>
      <c r="B10" s="19" t="s">
        <v>4760</v>
      </c>
      <c r="C10" s="38" t="s">
        <v>4761</v>
      </c>
    </row>
    <row r="11">
      <c r="A11" s="37">
        <v>11.0</v>
      </c>
      <c r="B11" s="19" t="s">
        <v>4762</v>
      </c>
      <c r="C11" s="38" t="s">
        <v>4763</v>
      </c>
    </row>
    <row r="12">
      <c r="A12" s="37">
        <v>12.0</v>
      </c>
      <c r="B12" s="19" t="s">
        <v>4764</v>
      </c>
      <c r="C12" s="38" t="s">
        <v>4765</v>
      </c>
    </row>
    <row r="13">
      <c r="A13" s="37">
        <v>13.0</v>
      </c>
      <c r="B13" s="19" t="s">
        <v>4766</v>
      </c>
      <c r="C13" s="38" t="s">
        <v>4767</v>
      </c>
    </row>
    <row r="14">
      <c r="A14" s="37">
        <v>14.0</v>
      </c>
      <c r="B14" s="19" t="s">
        <v>4768</v>
      </c>
      <c r="C14" s="38" t="s">
        <v>4769</v>
      </c>
    </row>
    <row r="15">
      <c r="A15" s="37">
        <v>15.0</v>
      </c>
      <c r="B15" s="19" t="s">
        <v>4770</v>
      </c>
      <c r="C15" s="38" t="s">
        <v>4771</v>
      </c>
    </row>
    <row r="16">
      <c r="A16" s="37">
        <v>16.0</v>
      </c>
      <c r="B16" s="19" t="s">
        <v>4772</v>
      </c>
      <c r="C16" s="38" t="s">
        <v>4773</v>
      </c>
    </row>
    <row r="17">
      <c r="A17" s="37">
        <v>17.0</v>
      </c>
      <c r="B17" s="19" t="s">
        <v>4774</v>
      </c>
      <c r="C17" s="38" t="s">
        <v>4775</v>
      </c>
    </row>
    <row r="18">
      <c r="A18" s="37">
        <v>18.0</v>
      </c>
      <c r="B18" s="19" t="s">
        <v>4776</v>
      </c>
      <c r="C18" s="38" t="s">
        <v>4777</v>
      </c>
    </row>
    <row r="19">
      <c r="A19" s="39"/>
    </row>
    <row r="20">
      <c r="A20" s="39"/>
    </row>
    <row r="21">
      <c r="A21" s="39"/>
    </row>
    <row r="22">
      <c r="A22" s="39"/>
    </row>
    <row r="23">
      <c r="A23" s="39"/>
    </row>
    <row r="24">
      <c r="A24" s="39"/>
    </row>
    <row r="25">
      <c r="A25" s="39"/>
    </row>
    <row r="26">
      <c r="A26" s="39"/>
    </row>
    <row r="27">
      <c r="A27" s="39"/>
    </row>
    <row r="28">
      <c r="A28" s="39"/>
    </row>
    <row r="29">
      <c r="A29" s="39"/>
    </row>
    <row r="30">
      <c r="A30" s="39"/>
    </row>
    <row r="31">
      <c r="A31" s="39"/>
    </row>
    <row r="32">
      <c r="A32" s="39"/>
    </row>
    <row r="33">
      <c r="A33" s="39"/>
    </row>
    <row r="34">
      <c r="A34" s="39"/>
    </row>
    <row r="35">
      <c r="A35" s="39"/>
    </row>
    <row r="36">
      <c r="A36" s="39"/>
    </row>
    <row r="37">
      <c r="A37" s="39"/>
    </row>
    <row r="38">
      <c r="A38" s="39"/>
    </row>
    <row r="39">
      <c r="A39" s="39"/>
    </row>
    <row r="40">
      <c r="A40" s="39"/>
    </row>
    <row r="41">
      <c r="A41" s="39"/>
    </row>
    <row r="42">
      <c r="A42" s="39"/>
    </row>
    <row r="43">
      <c r="A43" s="39"/>
    </row>
    <row r="44">
      <c r="A44" s="39"/>
    </row>
    <row r="45">
      <c r="A45" s="39"/>
    </row>
    <row r="46">
      <c r="A46" s="39"/>
    </row>
    <row r="47">
      <c r="A47" s="39"/>
    </row>
    <row r="48">
      <c r="A48" s="39"/>
    </row>
    <row r="49">
      <c r="A49" s="39"/>
    </row>
    <row r="50">
      <c r="A50" s="39"/>
    </row>
    <row r="51">
      <c r="A51" s="39"/>
    </row>
    <row r="52">
      <c r="A52" s="39"/>
    </row>
    <row r="53">
      <c r="A53" s="39"/>
    </row>
    <row r="54">
      <c r="A54" s="39"/>
    </row>
    <row r="55">
      <c r="A55" s="39"/>
    </row>
    <row r="56">
      <c r="A56" s="39"/>
    </row>
    <row r="57">
      <c r="A57" s="39"/>
    </row>
    <row r="58">
      <c r="A58" s="39"/>
    </row>
    <row r="59">
      <c r="A59" s="39"/>
    </row>
    <row r="60">
      <c r="A60" s="39"/>
    </row>
    <row r="61">
      <c r="A61" s="39"/>
    </row>
    <row r="62">
      <c r="A62" s="39"/>
    </row>
    <row r="63">
      <c r="A63" s="39"/>
    </row>
    <row r="64">
      <c r="A64" s="39"/>
    </row>
    <row r="65">
      <c r="A65" s="39"/>
    </row>
    <row r="66">
      <c r="A66" s="39"/>
    </row>
    <row r="67">
      <c r="A67" s="39"/>
    </row>
    <row r="68">
      <c r="A68" s="39"/>
    </row>
    <row r="69">
      <c r="A69" s="39"/>
    </row>
    <row r="70">
      <c r="A70" s="39"/>
    </row>
    <row r="71">
      <c r="A71" s="39"/>
    </row>
    <row r="72">
      <c r="A72" s="39"/>
    </row>
    <row r="73">
      <c r="A73" s="39"/>
    </row>
    <row r="74">
      <c r="A74" s="39"/>
    </row>
    <row r="75">
      <c r="A75" s="39"/>
    </row>
    <row r="76">
      <c r="A76" s="39"/>
    </row>
    <row r="77">
      <c r="A77" s="39"/>
    </row>
    <row r="78">
      <c r="A78" s="39"/>
    </row>
    <row r="79">
      <c r="A79" s="39"/>
    </row>
    <row r="80">
      <c r="A80" s="39"/>
    </row>
    <row r="81">
      <c r="A81" s="39"/>
    </row>
    <row r="82">
      <c r="A82" s="39"/>
    </row>
    <row r="83">
      <c r="A83" s="39"/>
    </row>
    <row r="84">
      <c r="A84" s="39"/>
    </row>
    <row r="85">
      <c r="A85" s="39"/>
    </row>
    <row r="86">
      <c r="A86" s="39"/>
    </row>
    <row r="87">
      <c r="A87" s="39"/>
    </row>
    <row r="88">
      <c r="A88" s="39"/>
    </row>
    <row r="89">
      <c r="A89" s="39"/>
    </row>
    <row r="90">
      <c r="A90" s="39"/>
    </row>
    <row r="91">
      <c r="A91" s="39"/>
    </row>
    <row r="92">
      <c r="A92" s="39"/>
    </row>
    <row r="93">
      <c r="A93" s="39"/>
    </row>
    <row r="94">
      <c r="A94" s="39"/>
    </row>
    <row r="95">
      <c r="A95" s="39"/>
    </row>
    <row r="96">
      <c r="A96" s="39"/>
    </row>
    <row r="97">
      <c r="A97" s="39"/>
    </row>
    <row r="98">
      <c r="A98" s="39"/>
    </row>
    <row r="99">
      <c r="A99" s="39"/>
    </row>
    <row r="100">
      <c r="A100" s="39"/>
    </row>
    <row r="101">
      <c r="A101" s="39"/>
    </row>
    <row r="102">
      <c r="A102" s="39"/>
    </row>
    <row r="103">
      <c r="A103" s="39"/>
    </row>
    <row r="104">
      <c r="A104" s="39"/>
    </row>
    <row r="105">
      <c r="A105" s="39"/>
    </row>
    <row r="106">
      <c r="A106" s="39"/>
    </row>
    <row r="107">
      <c r="A107" s="39"/>
    </row>
    <row r="108">
      <c r="A108" s="39"/>
    </row>
    <row r="109">
      <c r="A109" s="39"/>
    </row>
    <row r="110">
      <c r="A110" s="39"/>
    </row>
    <row r="111">
      <c r="A111" s="39"/>
    </row>
    <row r="112">
      <c r="A112" s="39"/>
    </row>
    <row r="113">
      <c r="A113" s="39"/>
    </row>
    <row r="114">
      <c r="A114" s="39"/>
    </row>
    <row r="115">
      <c r="A115" s="39"/>
    </row>
    <row r="116">
      <c r="A116" s="39"/>
    </row>
    <row r="117">
      <c r="A117" s="39"/>
    </row>
    <row r="118">
      <c r="A118" s="39"/>
    </row>
    <row r="119">
      <c r="A119" s="39"/>
    </row>
    <row r="120">
      <c r="A120" s="39"/>
    </row>
    <row r="121">
      <c r="A121" s="39"/>
    </row>
    <row r="122">
      <c r="A122" s="39"/>
    </row>
    <row r="123">
      <c r="A123" s="39"/>
    </row>
    <row r="124">
      <c r="A124" s="39"/>
    </row>
    <row r="125">
      <c r="A125" s="39"/>
    </row>
    <row r="126">
      <c r="A126" s="39"/>
    </row>
    <row r="127">
      <c r="A127" s="39"/>
    </row>
    <row r="128">
      <c r="A128" s="39"/>
    </row>
    <row r="129">
      <c r="A129" s="39"/>
    </row>
    <row r="130">
      <c r="A130" s="39"/>
    </row>
    <row r="131">
      <c r="A131" s="39"/>
    </row>
    <row r="132">
      <c r="A132" s="39"/>
    </row>
    <row r="133">
      <c r="A133" s="39"/>
    </row>
    <row r="134">
      <c r="A134" s="39"/>
    </row>
    <row r="135">
      <c r="A135" s="39"/>
    </row>
    <row r="136">
      <c r="A136" s="39"/>
    </row>
    <row r="137">
      <c r="A137" s="39"/>
    </row>
    <row r="138">
      <c r="A138" s="39"/>
    </row>
    <row r="139">
      <c r="A139" s="39"/>
    </row>
    <row r="140">
      <c r="A140" s="39"/>
    </row>
    <row r="141">
      <c r="A141" s="39"/>
    </row>
    <row r="142">
      <c r="A142" s="39"/>
    </row>
    <row r="143">
      <c r="A143" s="39"/>
    </row>
    <row r="144">
      <c r="A144" s="39"/>
    </row>
    <row r="145">
      <c r="A145" s="39"/>
    </row>
    <row r="146">
      <c r="A146" s="39"/>
    </row>
    <row r="147">
      <c r="A147" s="39"/>
    </row>
    <row r="148">
      <c r="A148" s="39"/>
    </row>
    <row r="149">
      <c r="A149" s="39"/>
    </row>
    <row r="150">
      <c r="A150" s="39"/>
    </row>
    <row r="151">
      <c r="A151" s="39"/>
    </row>
    <row r="152">
      <c r="A152" s="39"/>
    </row>
    <row r="153">
      <c r="A153" s="39"/>
    </row>
    <row r="154">
      <c r="A154" s="39"/>
    </row>
    <row r="155">
      <c r="A155" s="39"/>
    </row>
    <row r="156">
      <c r="A156" s="39"/>
    </row>
    <row r="157">
      <c r="A157" s="39"/>
    </row>
    <row r="158">
      <c r="A158" s="39"/>
    </row>
    <row r="159">
      <c r="A159" s="39"/>
    </row>
    <row r="160">
      <c r="A160" s="39"/>
    </row>
    <row r="161">
      <c r="A161" s="39"/>
    </row>
    <row r="162">
      <c r="A162" s="39"/>
    </row>
    <row r="163">
      <c r="A163" s="39"/>
    </row>
    <row r="164">
      <c r="A164" s="39"/>
    </row>
    <row r="165">
      <c r="A165" s="39"/>
    </row>
    <row r="166">
      <c r="A166" s="39"/>
    </row>
    <row r="167">
      <c r="A167" s="39"/>
    </row>
    <row r="168">
      <c r="A168" s="39"/>
    </row>
    <row r="169">
      <c r="A169" s="39"/>
    </row>
    <row r="170">
      <c r="A170" s="39"/>
    </row>
    <row r="171">
      <c r="A171" s="39"/>
    </row>
    <row r="172">
      <c r="A172" s="39"/>
    </row>
    <row r="173">
      <c r="A173" s="39"/>
    </row>
    <row r="174">
      <c r="A174" s="39"/>
    </row>
    <row r="175">
      <c r="A175" s="39"/>
    </row>
    <row r="176">
      <c r="A176" s="39"/>
    </row>
    <row r="177">
      <c r="A177" s="39"/>
    </row>
    <row r="178">
      <c r="A178" s="39"/>
    </row>
    <row r="179">
      <c r="A179" s="39"/>
    </row>
    <row r="180">
      <c r="A180" s="39"/>
    </row>
    <row r="181">
      <c r="A181" s="39"/>
    </row>
    <row r="182">
      <c r="A182" s="39"/>
    </row>
    <row r="183">
      <c r="A183" s="39"/>
    </row>
    <row r="184">
      <c r="A184" s="39"/>
    </row>
    <row r="185">
      <c r="A185" s="39"/>
    </row>
    <row r="186">
      <c r="A186" s="39"/>
    </row>
    <row r="187">
      <c r="A187" s="39"/>
    </row>
    <row r="188">
      <c r="A188" s="39"/>
    </row>
    <row r="189">
      <c r="A189" s="39"/>
    </row>
    <row r="190">
      <c r="A190" s="39"/>
    </row>
    <row r="191">
      <c r="A191" s="39"/>
    </row>
    <row r="192">
      <c r="A192" s="39"/>
    </row>
    <row r="193">
      <c r="A193" s="39"/>
    </row>
    <row r="194">
      <c r="A194" s="39"/>
    </row>
    <row r="195">
      <c r="A195" s="39"/>
    </row>
    <row r="196">
      <c r="A196" s="39"/>
    </row>
    <row r="197">
      <c r="A197" s="39"/>
    </row>
    <row r="198">
      <c r="A198" s="39"/>
    </row>
    <row r="199">
      <c r="A199" s="39"/>
    </row>
    <row r="200">
      <c r="A200" s="39"/>
    </row>
    <row r="201">
      <c r="A201" s="39"/>
    </row>
    <row r="202">
      <c r="A202" s="39"/>
    </row>
    <row r="203">
      <c r="A203" s="39"/>
    </row>
    <row r="204">
      <c r="A204" s="39"/>
    </row>
    <row r="205">
      <c r="A205" s="39"/>
    </row>
    <row r="206">
      <c r="A206" s="39"/>
    </row>
    <row r="207">
      <c r="A207" s="39"/>
    </row>
    <row r="208">
      <c r="A208" s="39"/>
    </row>
    <row r="209">
      <c r="A209" s="39"/>
    </row>
    <row r="210">
      <c r="A210" s="39"/>
    </row>
    <row r="211">
      <c r="A211" s="39"/>
    </row>
    <row r="212">
      <c r="A212" s="39"/>
    </row>
    <row r="213">
      <c r="A213" s="39"/>
    </row>
    <row r="214">
      <c r="A214" s="39"/>
    </row>
    <row r="215">
      <c r="A215" s="39"/>
    </row>
    <row r="216">
      <c r="A216" s="39"/>
    </row>
    <row r="217">
      <c r="A217" s="39"/>
    </row>
    <row r="218">
      <c r="A218" s="39"/>
    </row>
    <row r="219">
      <c r="A219" s="39"/>
    </row>
    <row r="220">
      <c r="A220" s="39"/>
    </row>
    <row r="221">
      <c r="A221" s="39"/>
    </row>
    <row r="222">
      <c r="A222" s="39"/>
    </row>
    <row r="223">
      <c r="A223" s="39"/>
    </row>
    <row r="224">
      <c r="A224" s="39"/>
    </row>
    <row r="225">
      <c r="A225" s="39"/>
    </row>
    <row r="226">
      <c r="A226" s="39"/>
    </row>
    <row r="227">
      <c r="A227" s="39"/>
    </row>
    <row r="228">
      <c r="A228" s="39"/>
    </row>
    <row r="229">
      <c r="A229" s="39"/>
    </row>
    <row r="230">
      <c r="A230" s="39"/>
    </row>
    <row r="231">
      <c r="A231" s="39"/>
    </row>
    <row r="232">
      <c r="A232" s="39"/>
    </row>
    <row r="233">
      <c r="A233" s="39"/>
    </row>
    <row r="234">
      <c r="A234" s="39"/>
    </row>
    <row r="235">
      <c r="A235" s="39"/>
    </row>
    <row r="236">
      <c r="A236" s="39"/>
    </row>
    <row r="237">
      <c r="A237" s="39"/>
    </row>
    <row r="238">
      <c r="A238" s="39"/>
    </row>
    <row r="239">
      <c r="A239" s="39"/>
    </row>
    <row r="240">
      <c r="A240" s="39"/>
    </row>
    <row r="241">
      <c r="A241" s="39"/>
    </row>
    <row r="242">
      <c r="A242" s="39"/>
    </row>
    <row r="243">
      <c r="A243" s="39"/>
    </row>
    <row r="244">
      <c r="A244" s="39"/>
    </row>
    <row r="245">
      <c r="A245" s="39"/>
    </row>
    <row r="246">
      <c r="A246" s="39"/>
    </row>
    <row r="247">
      <c r="A247" s="39"/>
    </row>
    <row r="248">
      <c r="A248" s="39"/>
    </row>
    <row r="249">
      <c r="A249" s="39"/>
    </row>
    <row r="250">
      <c r="A250" s="39"/>
    </row>
    <row r="251">
      <c r="A251" s="39"/>
    </row>
    <row r="252">
      <c r="A252" s="39"/>
    </row>
    <row r="253">
      <c r="A253" s="39"/>
    </row>
    <row r="254">
      <c r="A254" s="39"/>
    </row>
    <row r="255">
      <c r="A255" s="39"/>
    </row>
    <row r="256">
      <c r="A256" s="39"/>
    </row>
    <row r="257">
      <c r="A257" s="39"/>
    </row>
    <row r="258">
      <c r="A258" s="39"/>
    </row>
    <row r="259">
      <c r="A259" s="39"/>
    </row>
    <row r="260">
      <c r="A260" s="39"/>
    </row>
    <row r="261">
      <c r="A261" s="39"/>
    </row>
    <row r="262">
      <c r="A262" s="39"/>
    </row>
    <row r="263">
      <c r="A263" s="39"/>
    </row>
    <row r="264">
      <c r="A264" s="39"/>
    </row>
    <row r="265">
      <c r="A265" s="39"/>
    </row>
    <row r="266">
      <c r="A266" s="39"/>
    </row>
    <row r="267">
      <c r="A267" s="39"/>
    </row>
    <row r="268">
      <c r="A268" s="39"/>
    </row>
    <row r="269">
      <c r="A269" s="39"/>
    </row>
    <row r="270">
      <c r="A270" s="39"/>
    </row>
    <row r="271">
      <c r="A271" s="39"/>
    </row>
    <row r="272">
      <c r="A272" s="39"/>
    </row>
    <row r="273">
      <c r="A273" s="39"/>
    </row>
    <row r="274">
      <c r="A274" s="39"/>
    </row>
    <row r="275">
      <c r="A275" s="39"/>
    </row>
    <row r="276">
      <c r="A276" s="39"/>
    </row>
    <row r="277">
      <c r="A277" s="39"/>
    </row>
    <row r="278">
      <c r="A278" s="39"/>
    </row>
    <row r="279">
      <c r="A279" s="39"/>
    </row>
    <row r="280">
      <c r="A280" s="39"/>
    </row>
    <row r="281">
      <c r="A281" s="39"/>
    </row>
    <row r="282">
      <c r="A282" s="39"/>
    </row>
    <row r="283">
      <c r="A283" s="39"/>
    </row>
    <row r="284">
      <c r="A284" s="39"/>
    </row>
    <row r="285">
      <c r="A285" s="39"/>
    </row>
    <row r="286">
      <c r="A286" s="39"/>
    </row>
    <row r="287">
      <c r="A287" s="39"/>
    </row>
    <row r="288">
      <c r="A288" s="39"/>
    </row>
    <row r="289">
      <c r="A289" s="39"/>
    </row>
    <row r="290">
      <c r="A290" s="39"/>
    </row>
    <row r="291">
      <c r="A291" s="39"/>
    </row>
    <row r="292">
      <c r="A292" s="39"/>
    </row>
    <row r="293">
      <c r="A293" s="39"/>
    </row>
    <row r="294">
      <c r="A294" s="39"/>
    </row>
    <row r="295">
      <c r="A295" s="39"/>
    </row>
    <row r="296">
      <c r="A296" s="39"/>
    </row>
    <row r="297">
      <c r="A297" s="39"/>
    </row>
    <row r="298">
      <c r="A298" s="39"/>
    </row>
    <row r="299">
      <c r="A299" s="39"/>
    </row>
    <row r="300">
      <c r="A300" s="39"/>
    </row>
    <row r="301">
      <c r="A301" s="39"/>
    </row>
    <row r="302">
      <c r="A302" s="39"/>
    </row>
    <row r="303">
      <c r="A303" s="39"/>
    </row>
    <row r="304">
      <c r="A304" s="39"/>
    </row>
    <row r="305">
      <c r="A305" s="39"/>
    </row>
    <row r="306">
      <c r="A306" s="39"/>
    </row>
    <row r="307">
      <c r="A307" s="39"/>
    </row>
    <row r="308">
      <c r="A308" s="39"/>
    </row>
    <row r="309">
      <c r="A309" s="39"/>
    </row>
    <row r="310">
      <c r="A310" s="39"/>
    </row>
    <row r="311">
      <c r="A311" s="39"/>
    </row>
    <row r="312">
      <c r="A312" s="39"/>
    </row>
    <row r="313">
      <c r="A313" s="39"/>
    </row>
    <row r="314">
      <c r="A314" s="39"/>
    </row>
    <row r="315">
      <c r="A315" s="39"/>
    </row>
    <row r="316">
      <c r="A316" s="39"/>
    </row>
    <row r="317">
      <c r="A317" s="39"/>
    </row>
    <row r="318">
      <c r="A318" s="39"/>
    </row>
    <row r="319">
      <c r="A319" s="39"/>
    </row>
    <row r="320">
      <c r="A320" s="39"/>
    </row>
    <row r="321">
      <c r="A321" s="39"/>
    </row>
    <row r="322">
      <c r="A322" s="39"/>
    </row>
    <row r="323">
      <c r="A323" s="39"/>
    </row>
    <row r="324">
      <c r="A324" s="39"/>
    </row>
    <row r="325">
      <c r="A325" s="39"/>
    </row>
    <row r="326">
      <c r="A326" s="39"/>
    </row>
    <row r="327">
      <c r="A327" s="39"/>
    </row>
    <row r="328">
      <c r="A328" s="39"/>
    </row>
    <row r="329">
      <c r="A329" s="39"/>
    </row>
    <row r="330">
      <c r="A330" s="39"/>
    </row>
    <row r="331">
      <c r="A331" s="39"/>
    </row>
    <row r="332">
      <c r="A332" s="39"/>
    </row>
    <row r="333">
      <c r="A333" s="39"/>
    </row>
    <row r="334">
      <c r="A334" s="39"/>
    </row>
    <row r="335">
      <c r="A335" s="39"/>
    </row>
    <row r="336">
      <c r="A336" s="39"/>
    </row>
    <row r="337">
      <c r="A337" s="39"/>
    </row>
    <row r="338">
      <c r="A338" s="39"/>
    </row>
    <row r="339">
      <c r="A339" s="39"/>
    </row>
    <row r="340">
      <c r="A340" s="39"/>
    </row>
    <row r="341">
      <c r="A341" s="39"/>
    </row>
    <row r="342">
      <c r="A342" s="39"/>
    </row>
    <row r="343">
      <c r="A343" s="39"/>
    </row>
    <row r="344">
      <c r="A344" s="39"/>
    </row>
    <row r="345">
      <c r="A345" s="39"/>
    </row>
    <row r="346">
      <c r="A346" s="39"/>
    </row>
    <row r="347">
      <c r="A347" s="39"/>
    </row>
    <row r="348">
      <c r="A348" s="39"/>
    </row>
    <row r="349">
      <c r="A349" s="39"/>
    </row>
    <row r="350">
      <c r="A350" s="39"/>
    </row>
    <row r="351">
      <c r="A351" s="39"/>
    </row>
    <row r="352">
      <c r="A352" s="39"/>
    </row>
    <row r="353">
      <c r="A353" s="39"/>
    </row>
    <row r="354">
      <c r="A354" s="39"/>
    </row>
    <row r="355">
      <c r="A355" s="39"/>
    </row>
    <row r="356">
      <c r="A356" s="39"/>
    </row>
    <row r="357">
      <c r="A357" s="39"/>
    </row>
    <row r="358">
      <c r="A358" s="39"/>
    </row>
    <row r="359">
      <c r="A359" s="39"/>
    </row>
    <row r="360">
      <c r="A360" s="39"/>
    </row>
    <row r="361">
      <c r="A361" s="39"/>
    </row>
    <row r="362">
      <c r="A362" s="39"/>
    </row>
    <row r="363">
      <c r="A363" s="39"/>
    </row>
    <row r="364">
      <c r="A364" s="39"/>
    </row>
    <row r="365">
      <c r="A365" s="39"/>
    </row>
    <row r="366">
      <c r="A366" s="39"/>
    </row>
    <row r="367">
      <c r="A367" s="39"/>
    </row>
    <row r="368">
      <c r="A368" s="39"/>
    </row>
    <row r="369">
      <c r="A369" s="39"/>
    </row>
    <row r="370">
      <c r="A370" s="39"/>
    </row>
    <row r="371">
      <c r="A371" s="39"/>
    </row>
    <row r="372">
      <c r="A372" s="39"/>
    </row>
    <row r="373">
      <c r="A373" s="39"/>
    </row>
    <row r="374">
      <c r="A374" s="39"/>
    </row>
    <row r="375">
      <c r="A375" s="39"/>
    </row>
    <row r="376">
      <c r="A376" s="39"/>
    </row>
    <row r="377">
      <c r="A377" s="39"/>
    </row>
    <row r="378">
      <c r="A378" s="39"/>
    </row>
    <row r="379">
      <c r="A379" s="39"/>
    </row>
    <row r="380">
      <c r="A380" s="39"/>
    </row>
    <row r="381">
      <c r="A381" s="39"/>
    </row>
    <row r="382">
      <c r="A382" s="39"/>
    </row>
    <row r="383">
      <c r="A383" s="39"/>
    </row>
    <row r="384">
      <c r="A384" s="39"/>
    </row>
    <row r="385">
      <c r="A385" s="39"/>
    </row>
    <row r="386">
      <c r="A386" s="39"/>
    </row>
    <row r="387">
      <c r="A387" s="39"/>
    </row>
    <row r="388">
      <c r="A388" s="39"/>
    </row>
    <row r="389">
      <c r="A389" s="39"/>
    </row>
    <row r="390">
      <c r="A390" s="39"/>
    </row>
    <row r="391">
      <c r="A391" s="39"/>
    </row>
    <row r="392">
      <c r="A392" s="39"/>
    </row>
    <row r="393">
      <c r="A393" s="39"/>
    </row>
    <row r="394">
      <c r="A394" s="39"/>
    </row>
    <row r="395">
      <c r="A395" s="39"/>
    </row>
    <row r="396">
      <c r="A396" s="39"/>
    </row>
    <row r="397">
      <c r="A397" s="39"/>
    </row>
    <row r="398">
      <c r="A398" s="39"/>
    </row>
    <row r="399">
      <c r="A399" s="39"/>
    </row>
    <row r="400">
      <c r="A400" s="39"/>
    </row>
    <row r="401">
      <c r="A401" s="39"/>
    </row>
    <row r="402">
      <c r="A402" s="39"/>
    </row>
    <row r="403">
      <c r="A403" s="39"/>
    </row>
    <row r="404">
      <c r="A404" s="39"/>
    </row>
    <row r="405">
      <c r="A405" s="39"/>
    </row>
    <row r="406">
      <c r="A406" s="39"/>
    </row>
    <row r="407">
      <c r="A407" s="39"/>
    </row>
    <row r="408">
      <c r="A408" s="39"/>
    </row>
    <row r="409">
      <c r="A409" s="39"/>
    </row>
    <row r="410">
      <c r="A410" s="39"/>
    </row>
    <row r="411">
      <c r="A411" s="39"/>
    </row>
    <row r="412">
      <c r="A412" s="39"/>
    </row>
    <row r="413">
      <c r="A413" s="39"/>
    </row>
    <row r="414">
      <c r="A414" s="39"/>
    </row>
    <row r="415">
      <c r="A415" s="39"/>
    </row>
    <row r="416">
      <c r="A416" s="39"/>
    </row>
    <row r="417">
      <c r="A417" s="39"/>
    </row>
    <row r="418">
      <c r="A418" s="39"/>
    </row>
    <row r="419">
      <c r="A419" s="39"/>
    </row>
    <row r="420">
      <c r="A420" s="39"/>
    </row>
    <row r="421">
      <c r="A421" s="39"/>
    </row>
    <row r="422">
      <c r="A422" s="39"/>
    </row>
    <row r="423">
      <c r="A423" s="39"/>
    </row>
    <row r="424">
      <c r="A424" s="39"/>
    </row>
    <row r="425">
      <c r="A425" s="39"/>
    </row>
    <row r="426">
      <c r="A426" s="39"/>
    </row>
    <row r="427">
      <c r="A427" s="39"/>
    </row>
    <row r="428">
      <c r="A428" s="39"/>
    </row>
    <row r="429">
      <c r="A429" s="39"/>
    </row>
    <row r="430">
      <c r="A430" s="39"/>
    </row>
    <row r="431">
      <c r="A431" s="39"/>
    </row>
    <row r="432">
      <c r="A432" s="39"/>
    </row>
    <row r="433">
      <c r="A433" s="39"/>
    </row>
    <row r="434">
      <c r="A434" s="39"/>
    </row>
    <row r="435">
      <c r="A435" s="39"/>
    </row>
    <row r="436">
      <c r="A436" s="39"/>
    </row>
    <row r="437">
      <c r="A437" s="39"/>
    </row>
    <row r="438">
      <c r="A438" s="39"/>
    </row>
    <row r="439">
      <c r="A439" s="39"/>
    </row>
    <row r="440">
      <c r="A440" s="39"/>
    </row>
    <row r="441">
      <c r="A441" s="39"/>
    </row>
    <row r="442">
      <c r="A442" s="39"/>
    </row>
    <row r="443">
      <c r="A443" s="39"/>
    </row>
    <row r="444">
      <c r="A444" s="39"/>
    </row>
    <row r="445">
      <c r="A445" s="39"/>
    </row>
    <row r="446">
      <c r="A446" s="39"/>
    </row>
    <row r="447">
      <c r="A447" s="39"/>
    </row>
    <row r="448">
      <c r="A448" s="39"/>
    </row>
    <row r="449">
      <c r="A449" s="39"/>
    </row>
    <row r="450">
      <c r="A450" s="39"/>
    </row>
    <row r="451">
      <c r="A451" s="39"/>
    </row>
    <row r="452">
      <c r="A452" s="39"/>
    </row>
    <row r="453">
      <c r="A453" s="39"/>
    </row>
    <row r="454">
      <c r="A454" s="39"/>
    </row>
    <row r="455">
      <c r="A455" s="39"/>
    </row>
    <row r="456">
      <c r="A456" s="39"/>
    </row>
    <row r="457">
      <c r="A457" s="39"/>
    </row>
    <row r="458">
      <c r="A458" s="39"/>
    </row>
    <row r="459">
      <c r="A459" s="39"/>
    </row>
    <row r="460">
      <c r="A460" s="39"/>
    </row>
    <row r="461">
      <c r="A461" s="39"/>
    </row>
    <row r="462">
      <c r="A462" s="39"/>
    </row>
    <row r="463">
      <c r="A463" s="39"/>
    </row>
    <row r="464">
      <c r="A464" s="39"/>
    </row>
    <row r="465">
      <c r="A465" s="39"/>
    </row>
    <row r="466">
      <c r="A466" s="39"/>
    </row>
    <row r="467">
      <c r="A467" s="39"/>
    </row>
    <row r="468">
      <c r="A468" s="39"/>
    </row>
    <row r="469">
      <c r="A469" s="39"/>
    </row>
    <row r="470">
      <c r="A470" s="39"/>
    </row>
    <row r="471">
      <c r="A471" s="39"/>
    </row>
    <row r="472">
      <c r="A472" s="39"/>
    </row>
    <row r="473">
      <c r="A473" s="39"/>
    </row>
    <row r="474">
      <c r="A474" s="39"/>
    </row>
    <row r="475">
      <c r="A475" s="39"/>
    </row>
    <row r="476">
      <c r="A476" s="39"/>
    </row>
    <row r="477">
      <c r="A477" s="39"/>
    </row>
    <row r="478">
      <c r="A478" s="39"/>
    </row>
    <row r="479">
      <c r="A479" s="39"/>
    </row>
    <row r="480">
      <c r="A480" s="39"/>
    </row>
    <row r="481">
      <c r="A481" s="39"/>
    </row>
    <row r="482">
      <c r="A482" s="39"/>
    </row>
    <row r="483">
      <c r="A483" s="39"/>
    </row>
    <row r="484">
      <c r="A484" s="39"/>
    </row>
    <row r="485">
      <c r="A485" s="39"/>
    </row>
    <row r="486">
      <c r="A486" s="39"/>
    </row>
    <row r="487">
      <c r="A487" s="39"/>
    </row>
    <row r="488">
      <c r="A488" s="39"/>
    </row>
    <row r="489">
      <c r="A489" s="39"/>
    </row>
    <row r="490">
      <c r="A490" s="39"/>
    </row>
    <row r="491">
      <c r="A491" s="39"/>
    </row>
    <row r="492">
      <c r="A492" s="39"/>
    </row>
    <row r="493">
      <c r="A493" s="39"/>
    </row>
    <row r="494">
      <c r="A494" s="39"/>
    </row>
    <row r="495">
      <c r="A495" s="39"/>
    </row>
    <row r="496">
      <c r="A496" s="39"/>
    </row>
    <row r="497">
      <c r="A497" s="39"/>
    </row>
    <row r="498">
      <c r="A498" s="39"/>
    </row>
    <row r="499">
      <c r="A499" s="39"/>
    </row>
    <row r="500">
      <c r="A500" s="39"/>
    </row>
    <row r="501">
      <c r="A501" s="39"/>
    </row>
    <row r="502">
      <c r="A502" s="39"/>
    </row>
    <row r="503">
      <c r="A503" s="39"/>
    </row>
    <row r="504">
      <c r="A504" s="39"/>
    </row>
    <row r="505">
      <c r="A505" s="39"/>
    </row>
    <row r="506">
      <c r="A506" s="39"/>
    </row>
    <row r="507">
      <c r="A507" s="39"/>
    </row>
    <row r="508">
      <c r="A508" s="39"/>
    </row>
    <row r="509">
      <c r="A509" s="39"/>
    </row>
    <row r="510">
      <c r="A510" s="39"/>
    </row>
    <row r="511">
      <c r="A511" s="39"/>
    </row>
    <row r="512">
      <c r="A512" s="39"/>
    </row>
    <row r="513">
      <c r="A513" s="39"/>
    </row>
    <row r="514">
      <c r="A514" s="39"/>
    </row>
    <row r="515">
      <c r="A515" s="39"/>
    </row>
    <row r="516">
      <c r="A516" s="39"/>
    </row>
    <row r="517">
      <c r="A517" s="39"/>
    </row>
    <row r="518">
      <c r="A518" s="39"/>
    </row>
    <row r="519">
      <c r="A519" s="39"/>
    </row>
    <row r="520">
      <c r="A520" s="39"/>
    </row>
    <row r="521">
      <c r="A521" s="39"/>
    </row>
    <row r="522">
      <c r="A522" s="39"/>
    </row>
    <row r="523">
      <c r="A523" s="39"/>
    </row>
    <row r="524">
      <c r="A524" s="39"/>
    </row>
    <row r="525">
      <c r="A525" s="39"/>
    </row>
    <row r="526">
      <c r="A526" s="39"/>
    </row>
    <row r="527">
      <c r="A527" s="39"/>
    </row>
    <row r="528">
      <c r="A528" s="39"/>
    </row>
    <row r="529">
      <c r="A529" s="39"/>
    </row>
    <row r="530">
      <c r="A530" s="39"/>
    </row>
    <row r="531">
      <c r="A531" s="39"/>
    </row>
    <row r="532">
      <c r="A532" s="39"/>
    </row>
    <row r="533">
      <c r="A533" s="39"/>
    </row>
    <row r="534">
      <c r="A534" s="39"/>
    </row>
    <row r="535">
      <c r="A535" s="39"/>
    </row>
    <row r="536">
      <c r="A536" s="39"/>
    </row>
    <row r="537">
      <c r="A537" s="39"/>
    </row>
    <row r="538">
      <c r="A538" s="39"/>
    </row>
    <row r="539">
      <c r="A539" s="39"/>
    </row>
    <row r="540">
      <c r="A540" s="39"/>
    </row>
    <row r="541">
      <c r="A541" s="39"/>
    </row>
    <row r="542">
      <c r="A542" s="39"/>
    </row>
    <row r="543">
      <c r="A543" s="39"/>
    </row>
    <row r="544">
      <c r="A544" s="39"/>
    </row>
    <row r="545">
      <c r="A545" s="39"/>
    </row>
    <row r="546">
      <c r="A546" s="39"/>
    </row>
    <row r="547">
      <c r="A547" s="39"/>
    </row>
    <row r="548">
      <c r="A548" s="39"/>
    </row>
    <row r="549">
      <c r="A549" s="39"/>
    </row>
    <row r="550">
      <c r="A550" s="39"/>
    </row>
    <row r="551">
      <c r="A551" s="39"/>
    </row>
    <row r="552">
      <c r="A552" s="39"/>
    </row>
    <row r="553">
      <c r="A553" s="39"/>
    </row>
    <row r="554">
      <c r="A554" s="39"/>
    </row>
    <row r="555">
      <c r="A555" s="39"/>
    </row>
    <row r="556">
      <c r="A556" s="39"/>
    </row>
    <row r="557">
      <c r="A557" s="39"/>
    </row>
    <row r="558">
      <c r="A558" s="39"/>
    </row>
    <row r="559">
      <c r="A559" s="39"/>
    </row>
    <row r="560">
      <c r="A560" s="39"/>
    </row>
    <row r="561">
      <c r="A561" s="39"/>
    </row>
    <row r="562">
      <c r="A562" s="39"/>
    </row>
    <row r="563">
      <c r="A563" s="39"/>
    </row>
    <row r="564">
      <c r="A564" s="39"/>
    </row>
    <row r="565">
      <c r="A565" s="39"/>
    </row>
    <row r="566">
      <c r="A566" s="39"/>
    </row>
    <row r="567">
      <c r="A567" s="39"/>
    </row>
    <row r="568">
      <c r="A568" s="39"/>
    </row>
    <row r="569">
      <c r="A569" s="39"/>
    </row>
    <row r="570">
      <c r="A570" s="39"/>
    </row>
    <row r="571">
      <c r="A571" s="39"/>
    </row>
    <row r="572">
      <c r="A572" s="39"/>
    </row>
    <row r="573">
      <c r="A573" s="39"/>
    </row>
    <row r="574">
      <c r="A574" s="39"/>
    </row>
    <row r="575">
      <c r="A575" s="39"/>
    </row>
    <row r="576">
      <c r="A576" s="39"/>
    </row>
    <row r="577">
      <c r="A577" s="39"/>
    </row>
    <row r="578">
      <c r="A578" s="39"/>
    </row>
    <row r="579">
      <c r="A579" s="39"/>
    </row>
    <row r="580">
      <c r="A580" s="39"/>
    </row>
    <row r="581">
      <c r="A581" s="39"/>
    </row>
    <row r="582">
      <c r="A582" s="39"/>
    </row>
    <row r="583">
      <c r="A583" s="39"/>
    </row>
    <row r="584">
      <c r="A584" s="39"/>
    </row>
    <row r="585">
      <c r="A585" s="39"/>
    </row>
    <row r="586">
      <c r="A586" s="39"/>
    </row>
    <row r="587">
      <c r="A587" s="39"/>
    </row>
    <row r="588">
      <c r="A588" s="39"/>
    </row>
    <row r="589">
      <c r="A589" s="39"/>
    </row>
    <row r="590">
      <c r="A590" s="39"/>
    </row>
    <row r="591">
      <c r="A591" s="39"/>
    </row>
    <row r="592">
      <c r="A592" s="39"/>
    </row>
    <row r="593">
      <c r="A593" s="39"/>
    </row>
    <row r="594">
      <c r="A594" s="39"/>
    </row>
    <row r="595">
      <c r="A595" s="39"/>
    </row>
    <row r="596">
      <c r="A596" s="39"/>
    </row>
    <row r="597">
      <c r="A597" s="39"/>
    </row>
    <row r="598">
      <c r="A598" s="39"/>
    </row>
    <row r="599">
      <c r="A599" s="39"/>
    </row>
    <row r="600">
      <c r="A600" s="39"/>
    </row>
    <row r="601">
      <c r="A601" s="39"/>
    </row>
    <row r="602">
      <c r="A602" s="39"/>
    </row>
    <row r="603">
      <c r="A603" s="39"/>
    </row>
    <row r="604">
      <c r="A604" s="39"/>
    </row>
    <row r="605">
      <c r="A605" s="39"/>
    </row>
    <row r="606">
      <c r="A606" s="39"/>
    </row>
    <row r="607">
      <c r="A607" s="39"/>
    </row>
    <row r="608">
      <c r="A608" s="39"/>
    </row>
    <row r="609">
      <c r="A609" s="39"/>
    </row>
    <row r="610">
      <c r="A610" s="39"/>
    </row>
    <row r="611">
      <c r="A611" s="39"/>
    </row>
    <row r="612">
      <c r="A612" s="39"/>
    </row>
    <row r="613">
      <c r="A613" s="39"/>
    </row>
    <row r="614">
      <c r="A614" s="39"/>
    </row>
    <row r="615">
      <c r="A615" s="39"/>
    </row>
    <row r="616">
      <c r="A616" s="39"/>
    </row>
    <row r="617">
      <c r="A617" s="39"/>
    </row>
    <row r="618">
      <c r="A618" s="39"/>
    </row>
    <row r="619">
      <c r="A619" s="39"/>
    </row>
    <row r="620">
      <c r="A620" s="39"/>
    </row>
    <row r="621">
      <c r="A621" s="39"/>
    </row>
    <row r="622">
      <c r="A622" s="39"/>
    </row>
    <row r="623">
      <c r="A623" s="39"/>
    </row>
    <row r="624">
      <c r="A624" s="39"/>
    </row>
    <row r="625">
      <c r="A625" s="39"/>
    </row>
    <row r="626">
      <c r="A626" s="39"/>
    </row>
    <row r="627">
      <c r="A627" s="39"/>
    </row>
    <row r="628">
      <c r="A628" s="39"/>
    </row>
    <row r="629">
      <c r="A629" s="39"/>
    </row>
    <row r="630">
      <c r="A630" s="39"/>
    </row>
    <row r="631">
      <c r="A631" s="39"/>
    </row>
    <row r="632">
      <c r="A632" s="39"/>
    </row>
    <row r="633">
      <c r="A633" s="39"/>
    </row>
    <row r="634">
      <c r="A634" s="39"/>
    </row>
    <row r="635">
      <c r="A635" s="39"/>
    </row>
    <row r="636">
      <c r="A636" s="39"/>
    </row>
    <row r="637">
      <c r="A637" s="39"/>
    </row>
    <row r="638">
      <c r="A638" s="39"/>
    </row>
    <row r="639">
      <c r="A639" s="39"/>
    </row>
    <row r="640">
      <c r="A640" s="39"/>
    </row>
    <row r="641">
      <c r="A641" s="39"/>
    </row>
    <row r="642">
      <c r="A642" s="39"/>
    </row>
    <row r="643">
      <c r="A643" s="39"/>
    </row>
    <row r="644">
      <c r="A644" s="39"/>
    </row>
    <row r="645">
      <c r="A645" s="39"/>
    </row>
    <row r="646">
      <c r="A646" s="39"/>
    </row>
    <row r="647">
      <c r="A647" s="39"/>
    </row>
    <row r="648">
      <c r="A648" s="39"/>
    </row>
    <row r="649">
      <c r="A649" s="39"/>
    </row>
    <row r="650">
      <c r="A650" s="39"/>
    </row>
    <row r="651">
      <c r="A651" s="39"/>
    </row>
    <row r="652">
      <c r="A652" s="39"/>
    </row>
    <row r="653">
      <c r="A653" s="39"/>
    </row>
    <row r="654">
      <c r="A654" s="39"/>
    </row>
    <row r="655">
      <c r="A655" s="39"/>
    </row>
    <row r="656">
      <c r="A656" s="39"/>
    </row>
    <row r="657">
      <c r="A657" s="39"/>
    </row>
    <row r="658">
      <c r="A658" s="39"/>
    </row>
    <row r="659">
      <c r="A659" s="39"/>
    </row>
    <row r="660">
      <c r="A660" s="39"/>
    </row>
    <row r="661">
      <c r="A661" s="39"/>
    </row>
    <row r="662">
      <c r="A662" s="39"/>
    </row>
    <row r="663">
      <c r="A663" s="39"/>
    </row>
    <row r="664">
      <c r="A664" s="39"/>
    </row>
    <row r="665">
      <c r="A665" s="39"/>
    </row>
    <row r="666">
      <c r="A666" s="39"/>
    </row>
    <row r="667">
      <c r="A667" s="39"/>
    </row>
    <row r="668">
      <c r="A668" s="39"/>
    </row>
    <row r="669">
      <c r="A669" s="39"/>
    </row>
    <row r="670">
      <c r="A670" s="39"/>
    </row>
    <row r="671">
      <c r="A671" s="39"/>
    </row>
    <row r="672">
      <c r="A672" s="39"/>
    </row>
    <row r="673">
      <c r="A673" s="39"/>
    </row>
    <row r="674">
      <c r="A674" s="39"/>
    </row>
    <row r="675">
      <c r="A675" s="39"/>
    </row>
    <row r="676">
      <c r="A676" s="39"/>
    </row>
    <row r="677">
      <c r="A677" s="39"/>
    </row>
    <row r="678">
      <c r="A678" s="39"/>
    </row>
    <row r="679">
      <c r="A679" s="39"/>
    </row>
    <row r="680">
      <c r="A680" s="39"/>
    </row>
    <row r="681">
      <c r="A681" s="39"/>
    </row>
    <row r="682">
      <c r="A682" s="39"/>
    </row>
    <row r="683">
      <c r="A683" s="39"/>
    </row>
    <row r="684">
      <c r="A684" s="39"/>
    </row>
    <row r="685">
      <c r="A685" s="39"/>
    </row>
    <row r="686">
      <c r="A686" s="39"/>
    </row>
    <row r="687">
      <c r="A687" s="39"/>
    </row>
    <row r="688">
      <c r="A688" s="39"/>
    </row>
    <row r="689">
      <c r="A689" s="39"/>
    </row>
    <row r="690">
      <c r="A690" s="39"/>
    </row>
    <row r="691">
      <c r="A691" s="39"/>
    </row>
    <row r="692">
      <c r="A692" s="39"/>
    </row>
    <row r="693">
      <c r="A693" s="39"/>
    </row>
    <row r="694">
      <c r="A694" s="39"/>
    </row>
    <row r="695">
      <c r="A695" s="39"/>
    </row>
    <row r="696">
      <c r="A696" s="39"/>
    </row>
    <row r="697">
      <c r="A697" s="39"/>
    </row>
    <row r="698">
      <c r="A698" s="39"/>
    </row>
    <row r="699">
      <c r="A699" s="39"/>
    </row>
    <row r="700">
      <c r="A700" s="39"/>
    </row>
    <row r="701">
      <c r="A701" s="39"/>
    </row>
    <row r="702">
      <c r="A702" s="39"/>
    </row>
    <row r="703">
      <c r="A703" s="39"/>
    </row>
    <row r="704">
      <c r="A704" s="39"/>
    </row>
    <row r="705">
      <c r="A705" s="39"/>
    </row>
    <row r="706">
      <c r="A706" s="39"/>
    </row>
    <row r="707">
      <c r="A707" s="39"/>
    </row>
    <row r="708">
      <c r="A708" s="39"/>
    </row>
    <row r="709">
      <c r="A709" s="39"/>
    </row>
    <row r="710">
      <c r="A710" s="39"/>
    </row>
    <row r="711">
      <c r="A711" s="39"/>
    </row>
    <row r="712">
      <c r="A712" s="39"/>
    </row>
    <row r="713">
      <c r="A713" s="39"/>
    </row>
    <row r="714">
      <c r="A714" s="39"/>
    </row>
    <row r="715">
      <c r="A715" s="39"/>
    </row>
    <row r="716">
      <c r="A716" s="39"/>
    </row>
    <row r="717">
      <c r="A717" s="39"/>
    </row>
    <row r="718">
      <c r="A718" s="39"/>
    </row>
    <row r="719">
      <c r="A719" s="39"/>
    </row>
    <row r="720">
      <c r="A720" s="39"/>
    </row>
    <row r="721">
      <c r="A721" s="39"/>
    </row>
    <row r="722">
      <c r="A722" s="39"/>
    </row>
    <row r="723">
      <c r="A723" s="39"/>
    </row>
    <row r="724">
      <c r="A724" s="39"/>
    </row>
    <row r="725">
      <c r="A725" s="39"/>
    </row>
    <row r="726">
      <c r="A726" s="39"/>
    </row>
    <row r="727">
      <c r="A727" s="39"/>
    </row>
    <row r="728">
      <c r="A728" s="39"/>
    </row>
    <row r="729">
      <c r="A729" s="39"/>
    </row>
    <row r="730">
      <c r="A730" s="39"/>
    </row>
    <row r="731">
      <c r="A731" s="39"/>
    </row>
    <row r="732">
      <c r="A732" s="39"/>
    </row>
    <row r="733">
      <c r="A733" s="39"/>
    </row>
    <row r="734">
      <c r="A734" s="39"/>
    </row>
    <row r="735">
      <c r="A735" s="39"/>
    </row>
    <row r="736">
      <c r="A736" s="39"/>
    </row>
    <row r="737">
      <c r="A737" s="39"/>
    </row>
    <row r="738">
      <c r="A738" s="39"/>
    </row>
    <row r="739">
      <c r="A739" s="39"/>
    </row>
    <row r="740">
      <c r="A740" s="39"/>
    </row>
    <row r="741">
      <c r="A741" s="39"/>
    </row>
    <row r="742">
      <c r="A742" s="39"/>
    </row>
    <row r="743">
      <c r="A743" s="39"/>
    </row>
    <row r="744">
      <c r="A744" s="39"/>
    </row>
    <row r="745">
      <c r="A745" s="39"/>
    </row>
    <row r="746">
      <c r="A746" s="39"/>
    </row>
    <row r="747">
      <c r="A747" s="39"/>
    </row>
    <row r="748">
      <c r="A748" s="39"/>
    </row>
    <row r="749">
      <c r="A749" s="39"/>
    </row>
    <row r="750">
      <c r="A750" s="39"/>
    </row>
    <row r="751">
      <c r="A751" s="39"/>
    </row>
    <row r="752">
      <c r="A752" s="39"/>
    </row>
    <row r="753">
      <c r="A753" s="39"/>
    </row>
    <row r="754">
      <c r="A754" s="39"/>
    </row>
    <row r="755">
      <c r="A755" s="39"/>
    </row>
    <row r="756">
      <c r="A756" s="39"/>
    </row>
    <row r="757">
      <c r="A757" s="39"/>
    </row>
    <row r="758">
      <c r="A758" s="39"/>
    </row>
    <row r="759">
      <c r="A759" s="39"/>
    </row>
    <row r="760">
      <c r="A760" s="39"/>
    </row>
    <row r="761">
      <c r="A761" s="39"/>
    </row>
    <row r="762">
      <c r="A762" s="39"/>
    </row>
    <row r="763">
      <c r="A763" s="39"/>
    </row>
    <row r="764">
      <c r="A764" s="39"/>
    </row>
    <row r="765">
      <c r="A765" s="39"/>
    </row>
    <row r="766">
      <c r="A766" s="39"/>
    </row>
    <row r="767">
      <c r="A767" s="39"/>
    </row>
    <row r="768">
      <c r="A768" s="39"/>
    </row>
    <row r="769">
      <c r="A769" s="39"/>
    </row>
    <row r="770">
      <c r="A770" s="39"/>
    </row>
    <row r="771">
      <c r="A771" s="39"/>
    </row>
    <row r="772">
      <c r="A772" s="39"/>
    </row>
    <row r="773">
      <c r="A773" s="39"/>
    </row>
    <row r="774">
      <c r="A774" s="39"/>
    </row>
    <row r="775">
      <c r="A775" s="39"/>
    </row>
    <row r="776">
      <c r="A776" s="39"/>
    </row>
    <row r="777">
      <c r="A777" s="39"/>
    </row>
    <row r="778">
      <c r="A778" s="39"/>
    </row>
    <row r="779">
      <c r="A779" s="39"/>
    </row>
    <row r="780">
      <c r="A780" s="39"/>
    </row>
    <row r="781">
      <c r="A781" s="39"/>
    </row>
    <row r="782">
      <c r="A782" s="39"/>
    </row>
    <row r="783">
      <c r="A783" s="39"/>
    </row>
    <row r="784">
      <c r="A784" s="39"/>
    </row>
    <row r="785">
      <c r="A785" s="39"/>
    </row>
    <row r="786">
      <c r="A786" s="39"/>
    </row>
    <row r="787">
      <c r="A787" s="39"/>
    </row>
    <row r="788">
      <c r="A788" s="39"/>
    </row>
    <row r="789">
      <c r="A789" s="39"/>
    </row>
    <row r="790">
      <c r="A790" s="39"/>
    </row>
    <row r="791">
      <c r="A791" s="39"/>
    </row>
    <row r="792">
      <c r="A792" s="39"/>
    </row>
    <row r="793">
      <c r="A793" s="39"/>
    </row>
    <row r="794">
      <c r="A794" s="39"/>
    </row>
    <row r="795">
      <c r="A795" s="39"/>
    </row>
    <row r="796">
      <c r="A796" s="39"/>
    </row>
    <row r="797">
      <c r="A797" s="39"/>
    </row>
    <row r="798">
      <c r="A798" s="39"/>
    </row>
    <row r="799">
      <c r="A799" s="39"/>
    </row>
    <row r="800">
      <c r="A800" s="39"/>
    </row>
    <row r="801">
      <c r="A801" s="39"/>
    </row>
    <row r="802">
      <c r="A802" s="39"/>
    </row>
    <row r="803">
      <c r="A803" s="39"/>
    </row>
    <row r="804">
      <c r="A804" s="39"/>
    </row>
    <row r="805">
      <c r="A805" s="39"/>
    </row>
    <row r="806">
      <c r="A806" s="39"/>
    </row>
    <row r="807">
      <c r="A807" s="39"/>
    </row>
    <row r="808">
      <c r="A808" s="39"/>
    </row>
    <row r="809">
      <c r="A809" s="39"/>
    </row>
    <row r="810">
      <c r="A810" s="39"/>
    </row>
    <row r="811">
      <c r="A811" s="39"/>
    </row>
    <row r="812">
      <c r="A812" s="39"/>
    </row>
    <row r="813">
      <c r="A813" s="39"/>
    </row>
    <row r="814">
      <c r="A814" s="39"/>
    </row>
    <row r="815">
      <c r="A815" s="39"/>
    </row>
    <row r="816">
      <c r="A816" s="39"/>
    </row>
    <row r="817">
      <c r="A817" s="39"/>
    </row>
    <row r="818">
      <c r="A818" s="39"/>
    </row>
    <row r="819">
      <c r="A819" s="39"/>
    </row>
    <row r="820">
      <c r="A820" s="39"/>
    </row>
    <row r="821">
      <c r="A821" s="39"/>
    </row>
    <row r="822">
      <c r="A822" s="39"/>
    </row>
    <row r="823">
      <c r="A823" s="39"/>
    </row>
    <row r="824">
      <c r="A824" s="39"/>
    </row>
    <row r="825">
      <c r="A825" s="39"/>
    </row>
    <row r="826">
      <c r="A826" s="39"/>
    </row>
    <row r="827">
      <c r="A827" s="39"/>
    </row>
    <row r="828">
      <c r="A828" s="39"/>
    </row>
    <row r="829">
      <c r="A829" s="39"/>
    </row>
    <row r="830">
      <c r="A830" s="39"/>
    </row>
    <row r="831">
      <c r="A831" s="39"/>
    </row>
    <row r="832">
      <c r="A832" s="39"/>
    </row>
    <row r="833">
      <c r="A833" s="39"/>
    </row>
    <row r="834">
      <c r="A834" s="39"/>
    </row>
    <row r="835">
      <c r="A835" s="39"/>
    </row>
    <row r="836">
      <c r="A836" s="39"/>
    </row>
    <row r="837">
      <c r="A837" s="39"/>
    </row>
    <row r="838">
      <c r="A838" s="39"/>
    </row>
    <row r="839">
      <c r="A839" s="39"/>
    </row>
    <row r="840">
      <c r="A840" s="39"/>
    </row>
    <row r="841">
      <c r="A841" s="39"/>
    </row>
    <row r="842">
      <c r="A842" s="39"/>
    </row>
    <row r="843">
      <c r="A843" s="39"/>
    </row>
    <row r="844">
      <c r="A844" s="39"/>
    </row>
    <row r="845">
      <c r="A845" s="39"/>
    </row>
    <row r="846">
      <c r="A846" s="39"/>
    </row>
    <row r="847">
      <c r="A847" s="39"/>
    </row>
    <row r="848">
      <c r="A848" s="39"/>
    </row>
    <row r="849">
      <c r="A849" s="39"/>
    </row>
    <row r="850">
      <c r="A850" s="39"/>
    </row>
    <row r="851">
      <c r="A851" s="39"/>
    </row>
    <row r="852">
      <c r="A852" s="39"/>
    </row>
    <row r="853">
      <c r="A853" s="39"/>
    </row>
    <row r="854">
      <c r="A854" s="39"/>
    </row>
    <row r="855">
      <c r="A855" s="39"/>
    </row>
    <row r="856">
      <c r="A856" s="39"/>
    </row>
    <row r="857">
      <c r="A857" s="39"/>
    </row>
    <row r="858">
      <c r="A858" s="39"/>
    </row>
    <row r="859">
      <c r="A859" s="39"/>
    </row>
    <row r="860">
      <c r="A860" s="39"/>
    </row>
    <row r="861">
      <c r="A861" s="39"/>
    </row>
    <row r="862">
      <c r="A862" s="39"/>
    </row>
    <row r="863">
      <c r="A863" s="39"/>
    </row>
    <row r="864">
      <c r="A864" s="39"/>
    </row>
    <row r="865">
      <c r="A865" s="39"/>
    </row>
    <row r="866">
      <c r="A866" s="39"/>
    </row>
    <row r="867">
      <c r="A867" s="39"/>
    </row>
    <row r="868">
      <c r="A868" s="39"/>
    </row>
    <row r="869">
      <c r="A869" s="39"/>
    </row>
    <row r="870">
      <c r="A870" s="39"/>
    </row>
    <row r="871">
      <c r="A871" s="39"/>
    </row>
    <row r="872">
      <c r="A872" s="39"/>
    </row>
    <row r="873">
      <c r="A873" s="39"/>
    </row>
    <row r="874">
      <c r="A874" s="39"/>
    </row>
    <row r="875">
      <c r="A875" s="39"/>
    </row>
    <row r="876">
      <c r="A876" s="39"/>
    </row>
    <row r="877">
      <c r="A877" s="39"/>
    </row>
    <row r="878">
      <c r="A878" s="39"/>
    </row>
    <row r="879">
      <c r="A879" s="39"/>
    </row>
    <row r="880">
      <c r="A880" s="39"/>
    </row>
    <row r="881">
      <c r="A881" s="39"/>
    </row>
    <row r="882">
      <c r="A882" s="39"/>
    </row>
    <row r="883">
      <c r="A883" s="39"/>
    </row>
    <row r="884">
      <c r="A884" s="39"/>
    </row>
    <row r="885">
      <c r="A885" s="39"/>
    </row>
    <row r="886">
      <c r="A886" s="39"/>
    </row>
    <row r="887">
      <c r="A887" s="39"/>
    </row>
    <row r="888">
      <c r="A888" s="39"/>
    </row>
    <row r="889">
      <c r="A889" s="39"/>
    </row>
    <row r="890">
      <c r="A890" s="39"/>
    </row>
    <row r="891">
      <c r="A891" s="39"/>
    </row>
    <row r="892">
      <c r="A892" s="39"/>
    </row>
    <row r="893">
      <c r="A893" s="39"/>
    </row>
    <row r="894">
      <c r="A894" s="39"/>
    </row>
    <row r="895">
      <c r="A895" s="39"/>
    </row>
    <row r="896">
      <c r="A896" s="39"/>
    </row>
    <row r="897">
      <c r="A897" s="39"/>
    </row>
    <row r="898">
      <c r="A898" s="39"/>
    </row>
    <row r="899">
      <c r="A899" s="39"/>
    </row>
    <row r="900">
      <c r="A900" s="39"/>
    </row>
    <row r="901">
      <c r="A901" s="39"/>
    </row>
    <row r="902">
      <c r="A902" s="39"/>
    </row>
    <row r="903">
      <c r="A903" s="39"/>
    </row>
    <row r="904">
      <c r="A904" s="39"/>
    </row>
    <row r="905">
      <c r="A905" s="39"/>
    </row>
    <row r="906">
      <c r="A906" s="39"/>
    </row>
    <row r="907">
      <c r="A907" s="39"/>
    </row>
    <row r="908">
      <c r="A908" s="39"/>
    </row>
    <row r="909">
      <c r="A909" s="39"/>
    </row>
    <row r="910">
      <c r="A910" s="39"/>
    </row>
    <row r="911">
      <c r="A911" s="39"/>
    </row>
    <row r="912">
      <c r="A912" s="39"/>
    </row>
    <row r="913">
      <c r="A913" s="39"/>
    </row>
    <row r="914">
      <c r="A914" s="39"/>
    </row>
    <row r="915">
      <c r="A915" s="39"/>
    </row>
    <row r="916">
      <c r="A916" s="39"/>
    </row>
    <row r="917">
      <c r="A917" s="39"/>
    </row>
    <row r="918">
      <c r="A918" s="39"/>
    </row>
    <row r="919">
      <c r="A919" s="39"/>
    </row>
    <row r="920">
      <c r="A920" s="39"/>
    </row>
    <row r="921">
      <c r="A921" s="39"/>
    </row>
    <row r="922">
      <c r="A922" s="39"/>
    </row>
    <row r="923">
      <c r="A923" s="39"/>
    </row>
    <row r="924">
      <c r="A924" s="39"/>
    </row>
    <row r="925">
      <c r="A925" s="39"/>
    </row>
    <row r="926">
      <c r="A926" s="39"/>
    </row>
    <row r="927">
      <c r="A927" s="39"/>
    </row>
    <row r="928">
      <c r="A928" s="39"/>
    </row>
    <row r="929">
      <c r="A929" s="39"/>
    </row>
    <row r="930">
      <c r="A930" s="39"/>
    </row>
    <row r="931">
      <c r="A931" s="39"/>
    </row>
    <row r="932">
      <c r="A932" s="39"/>
    </row>
    <row r="933">
      <c r="A933" s="39"/>
    </row>
    <row r="934">
      <c r="A934" s="39"/>
    </row>
    <row r="935">
      <c r="A935" s="39"/>
    </row>
    <row r="936">
      <c r="A936" s="39"/>
    </row>
    <row r="937">
      <c r="A937" s="39"/>
    </row>
    <row r="938">
      <c r="A938" s="39"/>
    </row>
    <row r="939">
      <c r="A939" s="39"/>
    </row>
    <row r="940">
      <c r="A940" s="39"/>
    </row>
    <row r="941">
      <c r="A941" s="39"/>
    </row>
    <row r="942">
      <c r="A942" s="39"/>
    </row>
    <row r="943">
      <c r="A943" s="39"/>
    </row>
    <row r="944">
      <c r="A944" s="39"/>
    </row>
    <row r="945">
      <c r="A945" s="39"/>
    </row>
    <row r="946">
      <c r="A946" s="39"/>
    </row>
    <row r="947">
      <c r="A947" s="39"/>
    </row>
    <row r="948">
      <c r="A948" s="39"/>
    </row>
    <row r="949">
      <c r="A949" s="39"/>
    </row>
    <row r="950">
      <c r="A950" s="39"/>
    </row>
    <row r="951">
      <c r="A951" s="39"/>
    </row>
    <row r="952">
      <c r="A952" s="39"/>
    </row>
    <row r="953">
      <c r="A953" s="39"/>
    </row>
    <row r="954">
      <c r="A954" s="39"/>
    </row>
    <row r="955">
      <c r="A955" s="39"/>
    </row>
    <row r="956">
      <c r="A956" s="39"/>
    </row>
    <row r="957">
      <c r="A957" s="39"/>
    </row>
    <row r="958">
      <c r="A958" s="39"/>
    </row>
    <row r="959">
      <c r="A959" s="39"/>
    </row>
    <row r="960">
      <c r="A960" s="39"/>
    </row>
    <row r="961">
      <c r="A961" s="39"/>
    </row>
    <row r="962">
      <c r="A962" s="39"/>
    </row>
    <row r="963">
      <c r="A963" s="39"/>
    </row>
    <row r="964">
      <c r="A964" s="39"/>
    </row>
    <row r="965">
      <c r="A965" s="39"/>
    </row>
    <row r="966">
      <c r="A966" s="39"/>
    </row>
    <row r="967">
      <c r="A967" s="39"/>
    </row>
    <row r="968">
      <c r="A968" s="39"/>
    </row>
    <row r="969">
      <c r="A969" s="39"/>
    </row>
    <row r="970">
      <c r="A970" s="39"/>
    </row>
    <row r="971">
      <c r="A971" s="39"/>
    </row>
    <row r="972">
      <c r="A972" s="39"/>
    </row>
    <row r="973">
      <c r="A973" s="39"/>
    </row>
    <row r="974">
      <c r="A974" s="39"/>
    </row>
    <row r="975">
      <c r="A975" s="39"/>
    </row>
    <row r="976">
      <c r="A976" s="39"/>
    </row>
    <row r="977">
      <c r="A977" s="39"/>
    </row>
    <row r="978">
      <c r="A978" s="39"/>
    </row>
    <row r="979">
      <c r="A979" s="39"/>
    </row>
    <row r="980">
      <c r="A980" s="39"/>
    </row>
    <row r="981">
      <c r="A981" s="39"/>
    </row>
    <row r="982">
      <c r="A982" s="39"/>
    </row>
    <row r="983">
      <c r="A983" s="39"/>
    </row>
    <row r="984">
      <c r="A984" s="39"/>
    </row>
    <row r="985">
      <c r="A985" s="39"/>
    </row>
    <row r="986">
      <c r="A986" s="39"/>
    </row>
    <row r="987">
      <c r="A987" s="39"/>
    </row>
    <row r="988">
      <c r="A988" s="39"/>
    </row>
    <row r="989">
      <c r="A989" s="39"/>
    </row>
    <row r="990">
      <c r="A990" s="39"/>
    </row>
    <row r="991">
      <c r="A991" s="39"/>
    </row>
    <row r="992">
      <c r="A992" s="39"/>
    </row>
    <row r="993">
      <c r="A993" s="39"/>
    </row>
    <row r="994">
      <c r="A994" s="39"/>
    </row>
    <row r="995">
      <c r="A995" s="39"/>
    </row>
    <row r="996">
      <c r="A996" s="39"/>
    </row>
    <row r="997">
      <c r="A997" s="39"/>
    </row>
    <row r="998">
      <c r="A998" s="39"/>
    </row>
    <row r="999">
      <c r="A999" s="39"/>
    </row>
    <row r="1000">
      <c r="A1000" s="39"/>
    </row>
  </sheetData>
  <hyperlinks>
    <hyperlink r:id="rId1" ref="C1"/>
    <hyperlink r:id="rId2" ref="C2"/>
    <hyperlink r:id="rId3" ref="C3"/>
    <hyperlink r:id="rId4" ref="C4"/>
    <hyperlink r:id="rId5" ref="C5"/>
    <hyperlink r:id="rId6" ref="C6"/>
    <hyperlink r:id="rId7" ref="C7"/>
    <hyperlink r:id="rId8" ref="C8"/>
    <hyperlink r:id="rId9" ref="C9"/>
    <hyperlink r:id="rId10" ref="C10"/>
    <hyperlink r:id="rId11" ref="C11"/>
    <hyperlink r:id="rId12" ref="C12"/>
    <hyperlink r:id="rId13" ref="C13"/>
    <hyperlink r:id="rId14" ref="C14"/>
    <hyperlink r:id="rId15" ref="C15"/>
    <hyperlink r:id="rId16" ref="C16"/>
    <hyperlink r:id="rId17" ref="C17"/>
    <hyperlink r:id="rId18" ref="C18"/>
  </hyperlinks>
  <drawing r:id="rId19"/>
</worksheet>
</file>